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e globale" sheetId="1" r:id="rId5"/>
    <sheet state="visible" name="Effectifs" sheetId="2" r:id="rId6"/>
    <sheet state="visible" name="Présences" sheetId="3" r:id="rId7"/>
    <sheet state="visible" name="Ravitaillement" sheetId="4" r:id="rId8"/>
    <sheet state="visible" name="Amendes" sheetId="5" r:id="rId9"/>
    <sheet state="visible" name="Prison" sheetId="6" r:id="rId10"/>
    <sheet state="visible" name="Garde de Blancherive" sheetId="7" r:id="rId11"/>
    <sheet state="visible" name="Garde des Faubourgs" sheetId="8" r:id="rId12"/>
    <sheet state="visible" name="Hird du Jarl" sheetId="9" r:id="rId13"/>
    <sheet state="visible" name="Garde de Bois-de-Chêne" sheetId="10" r:id="rId14"/>
    <sheet state="visible" name="Garde de Rivebois" sheetId="11" r:id="rId15"/>
    <sheet state="visible" name="Garde de Cap Granite" sheetId="12" r:id="rId16"/>
    <sheet state="visible" name="Corps des éclaireurs" sheetId="13" r:id="rId17"/>
    <sheet state="visible" name="Données" sheetId="14" r:id="rId18"/>
    <sheet state="visible" name="SyncCodex" sheetId="15" r:id="rId19"/>
  </sheets>
  <definedNames>
    <definedName hidden="1" localSheetId="2" name="_xlnm._FilterDatabase">'Présences'!$A$1:$Z$117</definedName>
    <definedName hidden="1" localSheetId="4" name="_xlnm._FilterDatabase">Amendes!$A$1:$Z$996</definedName>
  </definedNames>
  <calcPr/>
</workbook>
</file>

<file path=xl/sharedStrings.xml><?xml version="1.0" encoding="utf-8"?>
<sst xmlns="http://schemas.openxmlformats.org/spreadsheetml/2006/main" count="2093" uniqueCount="932">
  <si>
    <t>Assermenté</t>
  </si>
  <si>
    <t>Grade</t>
  </si>
  <si>
    <t>Prénom</t>
  </si>
  <si>
    <t>Nom</t>
  </si>
  <si>
    <t>Corps</t>
  </si>
  <si>
    <t>Spécialité</t>
  </si>
  <si>
    <t>Status</t>
  </si>
  <si>
    <t>Métier</t>
  </si>
  <si>
    <t>Recrutement</t>
  </si>
  <si>
    <t>Jours travaillés</t>
  </si>
  <si>
    <t>Grade Order</t>
  </si>
  <si>
    <t>Element</t>
  </si>
  <si>
    <t>Quantité</t>
  </si>
  <si>
    <t>Semaine</t>
  </si>
  <si>
    <t>Corps de garde</t>
  </si>
  <si>
    <t>Vegetal Soup</t>
  </si>
  <si>
    <t>Beef Stew</t>
  </si>
  <si>
    <t>Maréchal</t>
  </si>
  <si>
    <t>Venison Stew</t>
  </si>
  <si>
    <t>Lazabard</t>
  </si>
  <si>
    <t>Lun</t>
  </si>
  <si>
    <t>Jemelred</t>
  </si>
  <si>
    <t>Mar</t>
  </si>
  <si>
    <t>Mer</t>
  </si>
  <si>
    <t>Jeu</t>
  </si>
  <si>
    <t>Ven</t>
  </si>
  <si>
    <t>Sam</t>
  </si>
  <si>
    <t>Dim</t>
  </si>
  <si>
    <t>Jours présents</t>
  </si>
  <si>
    <t>Solde</t>
  </si>
  <si>
    <t>Payé</t>
  </si>
  <si>
    <t>Etat-Major</t>
  </si>
  <si>
    <t>Cap Granite</t>
  </si>
  <si>
    <t>Garde, Collecteur de la garde</t>
  </si>
  <si>
    <t>Garde</t>
  </si>
  <si>
    <t>Bakhir</t>
  </si>
  <si>
    <t>En service actif</t>
  </si>
  <si>
    <t>Barnabas</t>
  </si>
  <si>
    <t>Tharmr</t>
  </si>
  <si>
    <t>Drakgor</t>
  </si>
  <si>
    <t>gro-Drakar</t>
  </si>
  <si>
    <t>Commander</t>
  </si>
  <si>
    <t>Filoki</t>
  </si>
  <si>
    <t>N'ajoutez jamais de ligne sur cette feuille. Si l'effectif a été modifié dans la page Effectifs, lancez le script "regenererSemaineCourante" pour ajouter les entrées manquantes ou changés tout en conservant les données précédentes.</t>
  </si>
  <si>
    <t>Capitaine</t>
  </si>
  <si>
    <t>Hastelvin</t>
  </si>
  <si>
    <t>Malivor</t>
  </si>
  <si>
    <t>Xernes</t>
  </si>
  <si>
    <t>Lieutenant-Chef</t>
  </si>
  <si>
    <t>Pavis</t>
  </si>
  <si>
    <t>Gurdalval</t>
  </si>
  <si>
    <t>Major</t>
  </si>
  <si>
    <t>Dagbara</t>
  </si>
  <si>
    <t>Gronez</t>
  </si>
  <si>
    <t>Mis en réserve</t>
  </si>
  <si>
    <t>Ragniir</t>
  </si>
  <si>
    <t>Coeurebene</t>
  </si>
  <si>
    <t>Astrid</t>
  </si>
  <si>
    <t>Lame-Fine</t>
  </si>
  <si>
    <t>Starkos</t>
  </si>
  <si>
    <t>Cité de Blancherive</t>
  </si>
  <si>
    <t>Chasseur</t>
  </si>
  <si>
    <t>Glaemorandir</t>
  </si>
  <si>
    <t>Oeil-Perçant</t>
  </si>
  <si>
    <t>Eclaireur</t>
  </si>
  <si>
    <t>Eclaireur, Garde</t>
  </si>
  <si>
    <t>Al'Dran</t>
  </si>
  <si>
    <t>Edward</t>
  </si>
  <si>
    <t>Winters</t>
  </si>
  <si>
    <t>Hird</t>
  </si>
  <si>
    <t>Recrue</t>
  </si>
  <si>
    <t>Aldric</t>
  </si>
  <si>
    <t>Cendre-coeur</t>
  </si>
  <si>
    <t>Kah-Shir</t>
  </si>
  <si>
    <t>Sombre Griffe</t>
  </si>
  <si>
    <t>Faubourgs de Blancherive</t>
  </si>
  <si>
    <t>Andor</t>
  </si>
  <si>
    <t>Viraes</t>
  </si>
  <si>
    <t>Clemnir</t>
  </si>
  <si>
    <t>Arc-Vif</t>
  </si>
  <si>
    <t>Mort en service actif</t>
  </si>
  <si>
    <t>Athlan</t>
  </si>
  <si>
    <t>Sigurd</t>
  </si>
  <si>
    <t>Grisetoison</t>
  </si>
  <si>
    <t>Rivebois</t>
  </si>
  <si>
    <t>Bjorn</t>
  </si>
  <si>
    <t>Kornseen</t>
  </si>
  <si>
    <t>Sergent</t>
  </si>
  <si>
    <t>Daric</t>
  </si>
  <si>
    <t>Ulfar</t>
  </si>
  <si>
    <t>Garde, Instructeur</t>
  </si>
  <si>
    <t>Lieutenant</t>
  </si>
  <si>
    <t>Ronin</t>
  </si>
  <si>
    <t>Aspirant-Garde</t>
  </si>
  <si>
    <t>Eldrim</t>
  </si>
  <si>
    <t>Hache-Grise</t>
  </si>
  <si>
    <t>Garde, Intendant de la garde, Collecteur de la garde</t>
  </si>
  <si>
    <t>Guerrier</t>
  </si>
  <si>
    <t>Thorin</t>
  </si>
  <si>
    <t>Rivegel</t>
  </si>
  <si>
    <t>Encore-Un-Espoir</t>
  </si>
  <si>
    <t>Gisbern</t>
  </si>
  <si>
    <t>Isenbjorn</t>
  </si>
  <si>
    <t>Erwan</t>
  </si>
  <si>
    <t>Sergent-Chef</t>
  </si>
  <si>
    <t>Rorik</t>
  </si>
  <si>
    <t>Marche-Hiver</t>
  </si>
  <si>
    <t>Grub</t>
  </si>
  <si>
    <t>Caporal-Chef</t>
  </si>
  <si>
    <t>Ilflynn</t>
  </si>
  <si>
    <t>Solde anticipée totale de la semaine courante</t>
  </si>
  <si>
    <t>Magnar</t>
  </si>
  <si>
    <t>Traquebrume</t>
  </si>
  <si>
    <t>Pethiceor</t>
  </si>
  <si>
    <t>Le Borgne</t>
  </si>
  <si>
    <t>Solde totale à payer des semaines passés</t>
  </si>
  <si>
    <t>Laureen</t>
  </si>
  <si>
    <t>Toison-de-Sang</t>
  </si>
  <si>
    <t>Kendall</t>
  </si>
  <si>
    <t>Delamare</t>
  </si>
  <si>
    <t>Ma'arl</t>
  </si>
  <si>
    <t>Mineur</t>
  </si>
  <si>
    <t>Soldes impayés des semaines passés</t>
  </si>
  <si>
    <t>Léonce</t>
  </si>
  <si>
    <t>Réve-épine</t>
  </si>
  <si>
    <t>Astrild</t>
  </si>
  <si>
    <t>Ro'minet</t>
  </si>
  <si>
    <t>Démissionnaire</t>
  </si>
  <si>
    <t>Garde, Tortionnaire, Instructeur</t>
  </si>
  <si>
    <t>Wulfgar</t>
  </si>
  <si>
    <t>Durrock</t>
  </si>
  <si>
    <t>Kronk</t>
  </si>
  <si>
    <t>Grognon</t>
  </si>
  <si>
    <t>Hird du Jarl</t>
  </si>
  <si>
    <t>Gronk</t>
  </si>
  <si>
    <t>Do'Rhazir</t>
  </si>
  <si>
    <t>S'Khar</t>
  </si>
  <si>
    <t>Menuisier-Charbonnier</t>
  </si>
  <si>
    <t>Cadet</t>
  </si>
  <si>
    <t>Radié du service actif</t>
  </si>
  <si>
    <t xml:space="preserve">Lyosha </t>
  </si>
  <si>
    <t>Sullapierre</t>
  </si>
  <si>
    <t>Commandant</t>
  </si>
  <si>
    <t xml:space="preserve">Brandon </t>
  </si>
  <si>
    <t>Alprazz</t>
  </si>
  <si>
    <t xml:space="preserve">Il-draz </t>
  </si>
  <si>
    <t>De Chasse-au-bois</t>
  </si>
  <si>
    <t>Gorvin</t>
  </si>
  <si>
    <t>Le-Moite</t>
  </si>
  <si>
    <t>Bernis</t>
  </si>
  <si>
    <t>Smaug</t>
  </si>
  <si>
    <t>Darina</t>
  </si>
  <si>
    <t>Njalda</t>
  </si>
  <si>
    <t>Il-draz</t>
  </si>
  <si>
    <t>Jeebam-dee</t>
  </si>
  <si>
    <t>Ina'ra</t>
  </si>
  <si>
    <t>Torald</t>
  </si>
  <si>
    <t>Brise-Roche</t>
  </si>
  <si>
    <t>Ja'Shanir</t>
  </si>
  <si>
    <t>Gorbash</t>
  </si>
  <si>
    <t>Tête-de-Pierre</t>
  </si>
  <si>
    <t>Armand</t>
  </si>
  <si>
    <t>De Valclair</t>
  </si>
  <si>
    <t>Si'Yara</t>
  </si>
  <si>
    <t>dite Fou</t>
  </si>
  <si>
    <t>Grise-Toison</t>
  </si>
  <si>
    <t>Lokh</t>
  </si>
  <si>
    <t>Tar</t>
  </si>
  <si>
    <t>Theodrek</t>
  </si>
  <si>
    <t>Heid</t>
  </si>
  <si>
    <t>Bois-de-Chêne</t>
  </si>
  <si>
    <t>Darius</t>
  </si>
  <si>
    <t>Blacktorn</t>
  </si>
  <si>
    <t>Selene</t>
  </si>
  <si>
    <t>Rusco</t>
  </si>
  <si>
    <t>Lucius</t>
  </si>
  <si>
    <t>Ravenshield</t>
  </si>
  <si>
    <t xml:space="preserve">Krakan </t>
  </si>
  <si>
    <t>Valyn</t>
  </si>
  <si>
    <t>Date</t>
  </si>
  <si>
    <t>Contrevenant</t>
  </si>
  <si>
    <t>Infraction</t>
  </si>
  <si>
    <t>Montant</t>
  </si>
  <si>
    <t>Reversé</t>
  </si>
  <si>
    <t>Sigurd Grisetoison</t>
  </si>
  <si>
    <t>Jean Eude</t>
  </si>
  <si>
    <t>Art. 117 — Du vol dans les fermes</t>
  </si>
  <si>
    <t>Faynir</t>
  </si>
  <si>
    <t xml:space="preserve">Erwan </t>
  </si>
  <si>
    <t>'Lechatblanc''</t>
  </si>
  <si>
    <t>Art. 114 — De la marche obligatoire</t>
  </si>
  <si>
    <t>Wulfgar Durrock</t>
  </si>
  <si>
    <t>Daran la collectionneur</t>
  </si>
  <si>
    <t xml:space="preserve">Ulfar </t>
  </si>
  <si>
    <t>Emric de la tour</t>
  </si>
  <si>
    <t>Art. 115 — Du visage découvert</t>
  </si>
  <si>
    <t>Varaa</t>
  </si>
  <si>
    <t>Uzgar</t>
  </si>
  <si>
    <t>Moren Mont Sombre</t>
  </si>
  <si>
    <t>Glaemorandir Oeil-Perçant</t>
  </si>
  <si>
    <t>Lucor</t>
  </si>
  <si>
    <t>Aldrok</t>
  </si>
  <si>
    <t>Ri'Jhan</t>
  </si>
  <si>
    <t>MoonShadow</t>
  </si>
  <si>
    <t>Garde, Eclaireur</t>
  </si>
  <si>
    <t>Zeid</t>
  </si>
  <si>
    <t>Le Brise-Lames</t>
  </si>
  <si>
    <t>Gruseldorf</t>
  </si>
  <si>
    <t>E. Jackeet</t>
  </si>
  <si>
    <t>Vranx</t>
  </si>
  <si>
    <t>Thorgar</t>
  </si>
  <si>
    <t>Mordecai</t>
  </si>
  <si>
    <t>Hakon</t>
  </si>
  <si>
    <t>Lous</t>
  </si>
  <si>
    <t>Bois</t>
  </si>
  <si>
    <t>Brand</t>
  </si>
  <si>
    <t>Krakan</t>
  </si>
  <si>
    <t>Détenu</t>
  </si>
  <si>
    <t>Cellule</t>
  </si>
  <si>
    <t>Durée prévue</t>
  </si>
  <si>
    <t>Heure d'entrée</t>
  </si>
  <si>
    <t>Heure de sortie prévue</t>
  </si>
  <si>
    <t>Libéré</t>
  </si>
  <si>
    <t>Saisies sur la personne</t>
  </si>
  <si>
    <t>Motif / Notes</t>
  </si>
  <si>
    <t>Effectif total de la garde en service</t>
  </si>
  <si>
    <t>Solde hebdomadaire individuelle</t>
  </si>
  <si>
    <t>Garde ayant une absence supérieure à 5 jours</t>
  </si>
  <si>
    <t>Budget hebdomadaire maximal</t>
  </si>
  <si>
    <t>Dernière présence</t>
  </si>
  <si>
    <t>Source</t>
  </si>
  <si>
    <t>Article</t>
  </si>
  <si>
    <t>Titre</t>
  </si>
  <si>
    <t>Classification</t>
  </si>
  <si>
    <t>Amende</t>
  </si>
  <si>
    <t>Travaux forcés (heures)</t>
  </si>
  <si>
    <t>Cachot (heures)</t>
  </si>
  <si>
    <t>Sanction complète</t>
  </si>
  <si>
    <t>Texte</t>
  </si>
  <si>
    <t>Alerte parsing</t>
  </si>
  <si>
    <t>Dropdown Amende</t>
  </si>
  <si>
    <t>Dropdown Prison</t>
  </si>
  <si>
    <t>Dropdown Garde</t>
  </si>
  <si>
    <t>Codex Judiciaire de Blancherive</t>
  </si>
  <si>
    <t>Préambule</t>
  </si>
  <si>
    <t>Grades</t>
  </si>
  <si>
    <t>Element de ravitaillement</t>
  </si>
  <si>
    <t>CHÂTELLERIE DE BLANCHERIVE
CODEX JUDICIAIRE
DE BLANCHERIVE
Code pénal de la Châtellerie de Blancherive
Par l’autorité du Jarl Lucius Haldor, Seigneur des terres de Blancherive,
Sous l’autorité de l’Empereur de Tamriel et dans le respect des prérogatives de l’Empire,
Conformément au Corpus Juriscivilis Imperialis, au Corpus Proceduralis Imperialis, au Codex Penitus Imperialis et au De Re Nobilitatis,
Considérant que :
le 	Jarl est Seigneur des terres de la Châtellerie, protecteur du 	peuple et gardien des serments prêtés sous son autorité ;
la 	paix, la justice et la prospérité du domaine reposent sur des lois 	connues de tous, claires dans leur énoncé et prévisibles dans 	leur application ;
le 	droit propre de la Châtellerie s’est constitué par sédimentation 	successive, au prix de redites, de renvois incertains et de 	dispositions divergentes qu’il convient d’unifier ;
le 	Corpus Juriscivilis Imperialis autorise les châtelleries à 	promulguer des lois supplémentaires conformes à leurs coutumes, 	dans le respect de ses dispositions ;
nulle 	coutume locale ne saurait prévaloir sur le droit impérial, ni sur 	les compétences réservées aux juridictions de l’Empire ;
il 	convient de refondre en un texte unique l’ensemble des 	incriminations applicables sur le territoire de la Châtellerie ;
Le Jarl de Blancherive décrète ce qui suit :
Titre préliminaire — Dispositions générales</t>
  </si>
  <si>
    <t>Art. 6 — Des sanctions</t>
  </si>
  <si>
    <t>De l’autorité du Jarl</t>
  </si>
  <si>
    <t>Le Jarl est Seigneur des terres de la Châtellerie, protecteur du peuple et gardien des serments prêtés sous son autorité. Il veille à la paix, à la justice et à la prospérité de son domaine.
Il est la plus haute autorité civile, militaire et judiciaire de la Châtellerie. Les serments prêtés en son nom possèdent valeur juridique et morale.
Cette autorité s’exerce dans le respect du droit impérial et des compétences réservées à l’Empire.</t>
  </si>
  <si>
    <t>Art. 8 — De la tentative et de la complicité</t>
  </si>
  <si>
    <t>Aldric Cendre-coeur</t>
  </si>
  <si>
    <t>Du champ d’application</t>
  </si>
  <si>
    <t>Le présent Codex s’applique à l’ensemble des habitants, résidents, passants et visiteurs se trouvant sur le territoire de la Châtellerie de Blancherive.
L’ignorance des présentes dispositions ne saurait constituer un moyen de défense.</t>
  </si>
  <si>
    <t>Art. 15 — Des menaces</t>
  </si>
  <si>
    <t>Art. 23 — Des violences et agressions aggravées</t>
  </si>
  <si>
    <t>Andor Viraes</t>
  </si>
  <si>
    <t>De la constitution d’une infraction</t>
  </si>
  <si>
    <t>Une infraction n’est constituée que si trois éléments sont réunis :
un 	élément légal 	: un texte prévoit et interdit le comportement en cause ;
un 	élément matériel 	: un acte ou un fait concret a été commis ou tenté ;
un 	élément moral 	: l’auteur a agi volontairement ou en connaissance de cause.
À défaut de l’un de ces éléments, aucune infraction ne peut être retenue.</t>
  </si>
  <si>
    <t>Art. 16 — Des menaces aggravées</t>
  </si>
  <si>
    <t>Art. 24 — De la séquestration, de l’enlèvement et de la prise d’otage</t>
  </si>
  <si>
    <t>Armand De Valclair</t>
  </si>
  <si>
    <t>De la classification des infractions</t>
  </si>
  <si>
    <t>Les infractions sont classées selon leur gravité, conformément au Corpus Juriscivilis Imperialis :
contraventions 	: infractions mineures, jusqu’à cinq cents (500) septims ;
délits 	: infractions de gravité moyenne, de cinq cents (500) à deux mille 	cinq cents (2500) septims ;
crimes 	: infractions les plus graves, au-delà de deux mille cinq cents 	(2500) septims.
Lorsque la valeur du préjudice détermine la qualification, celle-ci est appréciée selon les seuils ci-dessus.</t>
  </si>
  <si>
    <t>Art. 17 — De la rébellion</t>
  </si>
  <si>
    <t>Art. 25 — De la séquestration aggravée</t>
  </si>
  <si>
    <t>Astrid Lame-Fine</t>
  </si>
  <si>
    <t>De la présomption de culpabilité</t>
  </si>
  <si>
    <t>La culpabilité d’une personne est établie conformément aux règles prévues par le Corpus Proceduralis Imperialis et par le présent Codex.
 La Cour apprécie l’ensemble des éléments constitutifs de l’infraction, notamment ses éléments légal, matériel et moral, tels que définis à l’article 3.
 Aucun de ces éléments ne saurait, sauf disposition expresse du présent Codex, être considéré comme prépondérant sur les autres.
 La culpabilité ne peut être retenue qu’au terme de l’examen des faits et des preuves selon la procédure applicable.</t>
  </si>
  <si>
    <t>Art. 18 — Du chantage</t>
  </si>
  <si>
    <t>Art. 27 — De l’homicide volontaire</t>
  </si>
  <si>
    <t>Des sanctions</t>
  </si>
  <si>
    <t>Peuvent être prononcées, selon les circonstances et la gravité des faits : l’amende, la réparation ou la restitution, les travaux forcés, les travaux d’intérêt général, le cachot, la saisie ou confiscation de biens, le bannissement du territoire de la Châtellerie et, dans les cas expressément prévus, la peine de mort.
La peine de mort ne peut être prononcée qu’à l’issue d’un verdict public et motivé du magistrat, conformément à l’article 11 du Corpus Proceduralis Imperialis.
En cas d’insolvabilité réelle, l’amende peut être convertie en travaux forcés, en travaux d’intérêt général ou en saisie de biens.</t>
  </si>
  <si>
    <t>La sanction comporte une mesure non numérique. Peine capitale mentionnée.</t>
  </si>
  <si>
    <t>Art. 21 — De la mise en danger de la vie d’autrui</t>
  </si>
  <si>
    <t>Art. 28 — De l’assassinat</t>
  </si>
  <si>
    <t>De la récidive</t>
  </si>
  <si>
    <t>En cas de récidive, la peine encourue est multipliée par deux. La récidive se compte à partir du jour de la dernière condamnation, constatée au registre judiciaire de la Cour.</t>
  </si>
  <si>
    <t>Art. 22 — Des violences et agressions simples</t>
  </si>
  <si>
    <t>Art. 29 — De la torture, de la mutilation et de la barbarie</t>
  </si>
  <si>
    <t>Barnabas Tharmr</t>
  </si>
  <si>
    <t>De la tentative et de la complicité</t>
  </si>
  <si>
    <t>La tentative est constituée dès lors que, manifestée par un commencement d’exécution, elle n’a pas été suspendue volontairement ou a manqué son effet. Elle est sanctionnée comme l’infraction consommée.
Est complice quiconque, sciemment, par aide, assistance, don, promesse, menace, ordre ou abus d’autorité, a facilité la préparation ou la consommation d’une infraction, ou a omis de dénoncer ce dont il a été témoin. La complicité est sanctionnée comme le fait de l’auteur.</t>
  </si>
  <si>
    <t>Peine capitale mentionnée.</t>
  </si>
  <si>
    <t>Art. 30 — De la torture aggravée</t>
  </si>
  <si>
    <t>Des circonstances aggravantes générales</t>
  </si>
  <si>
    <t>Constituent des circonstances aggravantes, lorsque l’article applicable le prévoit ou lorsque le magistrat les retient expressément :
la 	commission à main armée ou avec usage de magie ;
la 	commission en réunion, soit par deux auteurs ou plus ;
la 	commission à l’encontre d’un représentant de l’Empire, d’un 	membre de la Garde ou d’un dépositaire de l’autorité dans 	l’exercice de ses fonctions ;
la 	commission à l’encontre d’une personne vulnérable, d’un 	enfant ou d’un prêtre des Huit Divins ;
la 	préméditation ;
la 	mutilation ou l’atteinte durable à l’intégrité de la victime 	;
la 	commission dans l’enceinte du Temple de Kynareth ou de tout lieu 	consacré.
Titre I — Des garanties fondamentales</t>
  </si>
  <si>
    <t>Art. 32 — De la destruction ou dégradation de bien public</t>
  </si>
  <si>
    <t>Bjorn Kornseen</t>
  </si>
  <si>
    <t>Du droit à un procès équitable</t>
  </si>
  <si>
    <t>Toute personne accusée d’une infraction a le droit d’être entendue devant une autorité compétente et de présenter sa défense, en produisant témoins et preuves lorsque ceux-ci existent.
Nul ne peut être condamné sans avoir eu la possibilité de répondre aux accusations portées contre lui.</t>
  </si>
  <si>
    <t>Art. 33 — De la destruction ou dégradation de bien privé</t>
  </si>
  <si>
    <t>Brand Grisetoison</t>
  </si>
  <si>
    <t>Du serment devant les Divins</t>
  </si>
  <si>
    <t>Toute personne prêtant serment devant les Divins est tenue de dire la vérité. Le serment possède une valeur sacrée : le trompeur offense les hommes et les Divins.
Le faux témoignage ou le mensonge sous serment est réprimé au titre du parjure, prévu à l’article 80 du présent Codex.</t>
  </si>
  <si>
    <t>Art. 26 — De l’homicide involontaire</t>
  </si>
  <si>
    <t>Art. 34 — De l’intrusion en propriété privée extérieure</t>
  </si>
  <si>
    <t>Du duel judiciaire</t>
  </si>
  <si>
    <t>Les crimes de sang peuvent, avec l’autorisation du Jarl ou du juge compétent, être soumis à un duel judiciaire lorsque les preuves sont insuffisantes ou que les deux parties en acceptent le principe.
Cette ancienne coutume nordique ne constitue pas un droit et demeure une procédure exceptionnelle.</t>
  </si>
  <si>
    <t>Art. 35 — De l’intrusion en propriété privée intérieure</t>
  </si>
  <si>
    <t>Du droit d’asile religieux</t>
  </si>
  <si>
    <t>Délit</t>
  </si>
  <si>
    <t>Les prêtres des temples reconnus par la Châtellerie peuvent accorder un asile temporaire aux personnes poursuivies injustement, dans l’attente d’une décision des autorités compétentes.
Cet asile ne constitue pas une immunité. Il ne fait obstacle ni à une arrestation en cas de flagrant délit, ni aux infractions relevant de la compétence exclusive des juridictions impériales.
Titre II — Des atteintes aux personnes</t>
  </si>
  <si>
    <t>Art. 36 — De l’intrusion aggravée</t>
  </si>
  <si>
    <t>Darius Blacktorn</t>
  </si>
  <si>
    <t>De l’usurpation d’identité</t>
  </si>
  <si>
    <t>Sanction — appréciation de la Cour ; niveau délictuel en cas d’usurpation d’une qualité noble ou d’une fonction officielle.</t>
  </si>
  <si>
    <t>Constitue une usurpation d’identité le fait de se faire passer pour autrui afin d’obtenir un avantage ou d’échapper à ses obligations. [Contravention]
L’infraction devient un délit lorsqu’elle porte sur une qualité noble ou une fonction officielle.
Sanction — appréciation de la Cour ; niveau délictuel en cas d’usurpation d’une qualité noble ou d’une fonction officielle.</t>
  </si>
  <si>
    <t>Art. 37 — Du vol simple</t>
  </si>
  <si>
    <t>Des menaces</t>
  </si>
  <si>
    <t>Contravention</t>
  </si>
  <si>
    <t>Sanction — 250 septims et 1 heure de travaux forcés.</t>
  </si>
  <si>
    <t>Constitue une menace toute parole, écrit ou geste annonçant à autrui un mal à venir. [Contravention]
Sanction — 250 septims et 1 heure de travaux forcés.</t>
  </si>
  <si>
    <t>Art. 44 — Des ouvrages publics</t>
  </si>
  <si>
    <t>Drakgor gro-Drakar</t>
  </si>
  <si>
    <t>Des menaces aggravées</t>
  </si>
  <si>
    <t>Sanction — 500 septims, 3 heures de travaux forcés et, si l’auteur exerce une fonction publique, radiation de celle-ci.</t>
  </si>
  <si>
    <t>La menace est aggravée lorsqu’elle vise la famille de la victime, une personne vulnérable, une personne en raison de sa race ou de sa foi envers les Huit Divins, un dépositaire de l’autorité ou un prêtre, ou lorsqu’elle est proférée à main armée ou avec usage de magie. [Délit]
Sanction — 500 septims, 3 heures de travaux forcés et, si l’auteur exerce une fonction publique, radiation de celle-ci.</t>
  </si>
  <si>
    <t>Art. 46 — De la violation de la propriété de la Châtellerie</t>
  </si>
  <si>
    <t>Eldrim Hache-Grise</t>
  </si>
  <si>
    <t>De la rébellion</t>
  </si>
  <si>
    <t>Enchenteur</t>
  </si>
  <si>
    <t>Sanction — 100 septims et 1 heure de travaux forcés ; qualification délictuelle et sanction aggravée en cas de refus violent ou actif.</t>
  </si>
  <si>
    <t>Constitue une rébellion le refus opposé à une injonction d’un garde ou d’un dépositaire de la loi. Le refus non violent constitue une contravention ; le refus violent ou actif constitue un délit.
Sanction — 100 septims et 1 heure de travaux forcés ; qualification délictuelle et sanction aggravée en cas de refus violent ou actif.</t>
  </si>
  <si>
    <t>Art. 47 — De la corruption passive</t>
  </si>
  <si>
    <t>Intendant de la garde</t>
  </si>
  <si>
    <t>Du chantage</t>
  </si>
  <si>
    <t>Alchimiste</t>
  </si>
  <si>
    <t>Constitue un chantage la pression exercée sur autrui en vue d’obtenir un avantage. [Contravention]
Sanction — 250 septims et 1 heure de travaux forcés.</t>
  </si>
  <si>
    <t>Art. 48 — De la corruption active</t>
  </si>
  <si>
    <t>Instructeur</t>
  </si>
  <si>
    <t>Déserteur</t>
  </si>
  <si>
    <t>De la diffamation</t>
  </si>
  <si>
    <t>Sanction — réparation du dommage et 1 heure de travaux forcés.</t>
  </si>
  <si>
    <t>Constitue une diffamation l’atteinte portée à la réputation d’autrui par des propos mensongers ou dommageables. [Contravention]
Sanction — réparation du dommage et 1 heure de travaux forcés.</t>
  </si>
  <si>
    <t>Art. 49 — De l’abus de pouvoir public</t>
  </si>
  <si>
    <t>Du harcèlement</t>
  </si>
  <si>
    <t>Tortionnaire</t>
  </si>
  <si>
    <t>Couturier</t>
  </si>
  <si>
    <t>Constitue un harcèlement tout comportement répété portant atteinte à une personne. [Contravention]
Sanction — réparation du dommage et 1 heure de travaux forcés.</t>
  </si>
  <si>
    <t>Art. 55 — De l’exhibition</t>
  </si>
  <si>
    <t>De la mise en danger de la vie d’autrui</t>
  </si>
  <si>
    <t>Sanction — 500 septims et 1 heure de travaux forcés.</t>
  </si>
  <si>
    <t>Collecteur de la garde</t>
  </si>
  <si>
    <t>Constitue une mise en danger le fait d’exposer autrui à un risque sérieux pour sa vie ou son intégrité. [Délit]
Sanction — 500 septims et 1 heure de travaux forcés.</t>
  </si>
  <si>
    <t>Art. 58 — Des rixes et bagarres</t>
  </si>
  <si>
    <t>Gisbern Isenbjorn</t>
  </si>
  <si>
    <t>Des violences et agressions simples</t>
  </si>
  <si>
    <t>Sanction — réparation, 550 septims et 3 heures de travaux forcés.</t>
  </si>
  <si>
    <t>Constituent des violences ou agressions tous actes portant atteinte à l’intégrité physique d’une personne et ayant entraîné blessures, contusions ou incapacité, sans circonstance aggravante. [Délit]
Sanction — réparation, 550 septims et 3 heures de travaux forcés.</t>
  </si>
  <si>
    <t>Art. 38 — Du vol aggravé</t>
  </si>
  <si>
    <t>Art. 70 — De l’espionnage</t>
  </si>
  <si>
    <t>Des violences et agressions aggravées</t>
  </si>
  <si>
    <t>Crime</t>
  </si>
  <si>
    <t>Sanction — réparation, 2 heures de travaux forcés et 1 heure de cachot ; amende de niveau criminel à l’appréciation du magistrat.</t>
  </si>
  <si>
    <t>Les violences sont aggravées lorsqu’elles sont commises dans l’une des circonstances prévues à l’article 9. [Crime]
Sanction — réparation, 2 heures de travaux forcés et 1 heure de cachot ; amende de niveau criminel à l’appréciation du magistrat.</t>
  </si>
  <si>
    <t>Plusieurs durées de travaux détectées.</t>
  </si>
  <si>
    <t>Caporal</t>
  </si>
  <si>
    <t>Art. 41 — Du recel</t>
  </si>
  <si>
    <t>Art. 71 — De la désertion</t>
  </si>
  <si>
    <t>Gorbash Tête-de-Pierre</t>
  </si>
  <si>
    <t>De la séquestration, de l’enlèvement et de la prise d’otage</t>
  </si>
  <si>
    <t>Sanction — 650 septims, 3 heures de travaux forcés et 1 heure de cachot.</t>
  </si>
  <si>
    <t>Constitue une séquestration, un enlèvement ou une prise d’otage le fait de priver autrui de sa liberté d’aller et venir sans droit. [Crime]
Sanction — 650 septims, 3 heures de travaux forcés et 1 heure de cachot.</t>
  </si>
  <si>
    <t>Art. 42 — Du recel en bande organisée</t>
  </si>
  <si>
    <t>Art. 74 — De l’outrage</t>
  </si>
  <si>
    <t>Gorvin Le-Moite</t>
  </si>
  <si>
    <t>De la séquestration aggravée</t>
  </si>
  <si>
    <t>Sanction — 800 septims, 3 heures de travaux forcés et 1 heure de cachot.</t>
  </si>
  <si>
    <t>L’infraction est aggravée lorsqu’elle est commise en réunion, avec violence, ou lorsqu’elle se prolonge dans la durée. [Crime]
L’aggravation s’apprécie selon le nombre d’auteurs, la violence employée et la durée de la privation de liberté, et non selon le nombre de victimes.
Sanction — 800 septims, 3 heures de travaux forcés et 1 heure de cachot.</t>
  </si>
  <si>
    <t>Art. 77 — De l’entrave à la justice</t>
  </si>
  <si>
    <t>Gronk Grognon</t>
  </si>
  <si>
    <t>De l’homicide involontaire</t>
  </si>
  <si>
    <t>Sanction — à l’appréciation du magistrat. Barème indicatif : 800 septims, réparation à la famille et 5 heures de travaux forcés.</t>
  </si>
  <si>
    <t>Constitue un homicide involontaire le décès d’autrui causé par imprudence, négligence ou manquement caractérisé à une obligation de prudence. [Crime]
Sanction — à l’appréciation du magistrat. Barème indicatif : 800 septims, réparation à la famille et 5 heures de travaux forcés.</t>
  </si>
  <si>
    <t>Art. 45 — Des recours abusifs</t>
  </si>
  <si>
    <t>Art. 78 — Du faux</t>
  </si>
  <si>
    <t>:C&amp;" "</t>
  </si>
  <si>
    <t>Hakon Grisetoison</t>
  </si>
  <si>
    <t>De l’homicide volontaire</t>
  </si>
  <si>
    <t>Sanction — à l’appréciation du magistrat. Barème indicatif : 1000 septims, réparation à la famille, 3 heures de travaux forcés et 2 heures de cachot.</t>
  </si>
  <si>
    <t>Constitue un homicide volontaire tout acte ayant entraîné volontairement la mort d’autrui. [Crime]
Ne peuvent être qualifiés d’homicide les décès résultant d’une guerre déclarée, d’un usage légitime et proportionné de la force par les autorités, d’une exécution judiciaire régulière ou d’un duel légal consenti.
Sanction — à l’appréciation du magistrat. Barème indicatif : 1000 septims, réparation à la famille, 3 heures de travaux forcés et 2 heures de cachot.</t>
  </si>
  <si>
    <t>Art. 79 — De l’usage de faux</t>
  </si>
  <si>
    <t>De l’assassinat</t>
  </si>
  <si>
    <t>Sanction — à l’appréciation du magistrat. Barème indicatif : 1200 septims, 5 heures de travaux forcés et 3 heures de cachot.</t>
  </si>
  <si>
    <t>Constitue un assassinat l’homicide volontaire commis avec préméditation. La préméditation suppose une préparation et une réflexion préalables. [Crime]
Sont également aggravants les faits commis contre la famille, une personne vulnérable, un représentant de l’autorité, ou en raison de la race ou de la foi de la victime, ainsi que ceux commis en bande organisée ou à des fins d’intimidation.
Sanction — à l’appréciation du magistrat. Barème indicatif : 1200 septims, 5 heures de travaux forcés et 3 heures de cachot.</t>
  </si>
  <si>
    <t>Art. 83 — Des armes interdites</t>
  </si>
  <si>
    <t>Il-draz De Chasse-au-bois</t>
  </si>
  <si>
    <t>De la torture, de la mutilation et de la barbarie</t>
  </si>
  <si>
    <t>Sanction — à l’appréciation du magistrat. Barème indicatif : réparation, 800 septims, 5 heures de travaux forcés et 1 heure de cachot.</t>
  </si>
  <si>
    <t>Constitue un acte de torture tout acte de barbarie, mutilation, violence extrême ou souffrance délibérément infligée. [Crime]
Sanction — à l’appréciation du magistrat. Barème indicatif : réparation, 800 septims, 5 heures de travaux forcés et 1 heure de cachot.</t>
  </si>
  <si>
    <t>Art. 96 — De la magie de foudre</t>
  </si>
  <si>
    <t>De la torture aggravée</t>
  </si>
  <si>
    <t>Sanction — à l’appréciation du magistrat. Barème indicatif : réparation, 1000 septims, 5 heures de travaux forcés et 3 heures de cachot.</t>
  </si>
  <si>
    <t>L’infraction est aggravée dans les circonstances prévues à l’article 9. [Crime]
Sanction — à l’appréciation du magistrat. Barème indicatif : réparation, 1000 septims, 5 heures de travaux forcés et 3 heures de cachot.</t>
  </si>
  <si>
    <t>Art. 103 — De la fraude commerciale</t>
  </si>
  <si>
    <t>Du viol et des atteintes sexuelles sur enfant</t>
  </si>
  <si>
    <t>Sanction — peine maximale encourue : mort et saisie des biens, sur verdict public et motivé du magistrat.
Titre III — Des atteintes aux biens</t>
  </si>
  <si>
    <t>Le viol et les atteintes sexuelles commises sur un enfant constituent les crimes les plus graves contre la personne. [Crime]
Sanction — peine maximale encourue : mort et saisie des biens, sur verdict public et motivé du magistrat.
Titre III — Des atteintes aux biens</t>
  </si>
  <si>
    <t>Art. 50 — De l’abus de pouvoir lié à un statut</t>
  </si>
  <si>
    <t>Art. 105 — De la vente à la criée</t>
  </si>
  <si>
    <t>De la destruction ou dégradation de bien public</t>
  </si>
  <si>
    <t>Sanction — 100 septims, réparation et 1 heure de travaux forcés lorsque le dommage n’excède pas 500 septims ; requalification en délit ou en crime au-delà.</t>
  </si>
  <si>
    <t>Constitue une infraction la destruction ou la dégradation volontaire d’un bien appartenant à la Châtellerie ou affecté à l’usage public. La qualification suit la valeur du dommage selon l’article 4.
Sanction — 100 septims, réparation et 1 heure de travaux forcés lorsque le dommage n’excède pas 500 septims ; requalification en délit ou en crime au-delà.</t>
  </si>
  <si>
    <t>Plusieurs montants d'amende détectés.</t>
  </si>
  <si>
    <t>Art. 51 — De l’usurpation de fonction</t>
  </si>
  <si>
    <t>Art. 106 — De la contrebande</t>
  </si>
  <si>
    <t>Kah-Shir Sombre Griffe</t>
  </si>
  <si>
    <t>De la destruction ou dégradation de bien privé</t>
  </si>
  <si>
    <t>Constitue une infraction la destruction ou la dégradation volontaire du bien d’autrui. La qualification suit la valeur du dommage selon l’article 4.
Sanction — 100 septims, réparation et 1 heure de travaux forcés lorsque le dommage n’excède pas 500 septims ; requalification en délit ou en crime au-delà.</t>
  </si>
  <si>
    <t>Art. 52 — De l’usage non autorisé de matériel de la Châtellerie</t>
  </si>
  <si>
    <t>Art. 111 — De la protection des géants</t>
  </si>
  <si>
    <t>Kendall Delamare</t>
  </si>
  <si>
    <t>De l’intrusion en propriété privée extérieure</t>
  </si>
  <si>
    <t>Sanction — 50 septims et 30 minutes de cachot.</t>
  </si>
  <si>
    <t>Constitue une intrusion le fait de pénétrer ou de se maintenir sans autorisation sur un terrain, un enclos ou une dépendance appartenant à autrui. [Contravention]
Chacun peut défendre ses terres et ses propriétés, dans les conditions autorisées par la Châtellerie.
Sanction — 50 septims et 30 minutes de cachot.</t>
  </si>
  <si>
    <t>Art. 53 — De la divulgation d’information secrète de la Châtellerie</t>
  </si>
  <si>
    <t>Krakan Valyn</t>
  </si>
  <si>
    <t>De l’intrusion en propriété privée intérieure</t>
  </si>
  <si>
    <t>Sanction — 500 septims et 1 heure de cachot.</t>
  </si>
  <si>
    <t>Constitue une intrusion aggravée par le lieu le fait de pénétrer ou de se maintenir sans autorisation à l’intérieur de la demeure d’autrui. [Délit]
Le propriétaire est déclaré en état de légitime défense après trois sommations demeurées sans effet.
Sanction — 500 septims et 1 heure de cachot.</t>
  </si>
  <si>
    <t>Art. 54 — De la dissimulation du visage</t>
  </si>
  <si>
    <t>Kronk Grognon</t>
  </si>
  <si>
    <t>De l’intrusion aggravée</t>
  </si>
  <si>
    <t>Sanction — 70 septims et 1 heure de cachot ; qualification délictuelle en propriété publique.</t>
  </si>
  <si>
    <t>L’intrusion est aggravée lorsqu’elle est commise par force, à main armée, ou contre une personne vulnérable ou un dépositaire de l’autorité. Elle constitue un délit lorsqu’elle porte sur une propriété publique.
Sanction — 70 septims et 1 heure de cachot ; qualification délictuelle en propriété publique.</t>
  </si>
  <si>
    <t>Laureen Toison-de-Sang</t>
  </si>
  <si>
    <t>Du vol simple</t>
  </si>
  <si>
    <t>Sanction — réparation, amende de 50 septims au minimum ajustée à la valeur du bien, et 1 heure de travaux forcés.</t>
  </si>
  <si>
    <t>Constitue un vol toute appropriation frauduleuse d’un bien appartenant à autrui. [Délit]
Les faits d’une valeur infime peuvent être traités en contravention sur appréciation du magistrat. Le vol devient un crime lorsque le bien est d’une valeur particulièrement élevée ou qu’il s’agit d’un objet sous licence.
Sanction — réparation, amende de 50 septims au minimum ajustée à la valeur du bien, et 1 heure de travaux forcés.</t>
  </si>
  <si>
    <t>La sanction comporte une borne minimale ou maximale.</t>
  </si>
  <si>
    <t>Lazabard Jemelred</t>
  </si>
  <si>
    <t>Du vol aggravé</t>
  </si>
  <si>
    <t>Sanction — réparation, 70 septims et 2 heures de travaux forcés.</t>
  </si>
  <si>
    <t>Le vol est aggravé lorsqu’il est commis contre une personne vulnérable ou un dépositaire de l’autorité, en raison de la race ou de la foi de la victime, à main armée, avec préméditation ou en bande organisée. [Délit]
Sanction — réparation, 70 septims et 2 heures de travaux forcés.</t>
  </si>
  <si>
    <t>Art. 59 — Du rassemblement illégal</t>
  </si>
  <si>
    <t>Léonce Réve-épine</t>
  </si>
  <si>
    <t>Du vol de bétail</t>
  </si>
  <si>
    <t>Sanction — restitution ou remboursement au triple, cumulé avec la peine prévue aux articles 37 et 38.</t>
  </si>
  <si>
    <t>Le bétail constitue une richesse essentielle des fermes et villages de la Châtellerie. Quiconque en est reconnu coupable doit restituer ou rembourser au triple du préjudice subi.
Cette réparation civile s’ajoute à la peine principale, déterminée selon la gravité des faits.
Sanction — restitution ou remboursement au triple, cumulé avec la peine prévue aux articles 37 et 38.</t>
  </si>
  <si>
    <t>Art. 60 — De l’association de malfaiteurs</t>
  </si>
  <si>
    <t>Lokh Tar</t>
  </si>
  <si>
    <t>De la récidive en matière de vol</t>
  </si>
  <si>
    <t>Sanction — perte du droit de cité et bannissement, sur décision motivée.</t>
  </si>
  <si>
    <t>Toute récidive en matière de vol peut entraîner une aggravation de la peine conformément aux dispositions relatives à la récidive prévues par le présent Codex.
 Lorsque les faits sont répétés, graves ou démontrent une volonté manifeste de persister dans une activité criminelle, la Cour peut prononcer des sanctions complémentaires.
 La perte du droit de cité ou le bannissement ne peuvent être prononcés que par décision motivée de la Cour, lorsque les sanctions ordinaires apparaissent manifestement insuffisantes au regard du nombre de récidives, de leur gravité et du comportement du condamné.
 Ces mesures ne peuvent résulter automatiquement de la seule existence d’une récidive.
Sanction — perte du droit de cité et bannissement, sur décision motivée.</t>
  </si>
  <si>
    <t>Art. 62 — De la divulgation d’un secret professionnel</t>
  </si>
  <si>
    <t>Lous Bois</t>
  </si>
  <si>
    <t>Du recel</t>
  </si>
  <si>
    <t>Sanction — 100 septims par bien, en sus de la valeur estimée du bien, et 2 heures de travaux forcés.</t>
  </si>
  <si>
    <t>Constitue un recel le fait de transporter, détenir, commercialiser, transformer ou dissimuler un bien provenant d’une infraction, en ne pouvant raisonnablement en ignorer l’origine illicite. [Délit]
Sanction — 100 septims par bien, en sus de la valeur estimée du bien, et 2 heures de travaux forcés.</t>
  </si>
  <si>
    <t>Art. 63 — Du refus d’obtempérer</t>
  </si>
  <si>
    <t>Lucius Ravenshield</t>
  </si>
  <si>
    <t>Du recel en bande organisée</t>
  </si>
  <si>
    <t>Sanction — 150 septims par bien, en sus de la valeur estimée du bien, et 2 heures de travaux forcés.</t>
  </si>
  <si>
    <t>Le recel commis de manière organisée ou concertée est aggravé. [Délit]
Sanction — 150 septims par bien, en sus de la valeur estimée du bien, et 2 heures de travaux forcés.</t>
  </si>
  <si>
    <t>Art. 64 — De la fabrication et de la vente de substances illégales</t>
  </si>
  <si>
    <t>Du pillage</t>
  </si>
  <si>
    <t>Sanction — restitution ; sanction déterminée selon la classification de l’article 4 d’après la gravité et la valeur du dommage.</t>
  </si>
  <si>
    <t>Le pillage des terres alliées, des villages protégés par le Jarl ou des biens des sujets fidèles de la Châtellerie est interdit, y compris en temps de guerre.
Sanction — restitution ; sanction déterminée selon la classification de l’article 4 d’après la gravité et la valeur du dommage.</t>
  </si>
  <si>
    <t>Art. 65 — De la fausse alerte</t>
  </si>
  <si>
    <t>Magnar Traquebrume</t>
  </si>
  <si>
    <t>Des ouvrages publics</t>
  </si>
  <si>
    <t>Sanction — réparation et 50 septims ; 200 septims en cas de récidive ; requalification selon la valeur du dommage.
Titre IV — Des atteintes aux services de la Châtellerie</t>
  </si>
  <si>
    <t>Les moulins, ponts, puits et tout ouvrage d’utilité publique sont placés sous la protection de la loi. Toute dégradation, sabotage ou destruction volontaire constitue une infraction grave.
Sanction — réparation et 50 septims ; 200 septims en cas de récidive ; requalification selon la valeur du dommage.
Titre IV — Des atteintes aux services de la Châtellerie</t>
  </si>
  <si>
    <t>Malivor Xernes</t>
  </si>
  <si>
    <t>Des recours abusifs</t>
  </si>
  <si>
    <t>Sanction — 200 septims.</t>
  </si>
  <si>
    <t>Constitue un recours abusif l’usage manifestement injustifié des procédures ou demandes adressées aux services de la Châtellerie. [Contravention]
Sanction — 200 septims.</t>
  </si>
  <si>
    <t>De la violation de la propriété de la Châtellerie</t>
  </si>
  <si>
    <t>Sanction — amende de niveau délictuel, 100 septims au minimum.</t>
  </si>
  <si>
    <t>Constitue un délit l’intrusion ou le maintien sans droit dans une propriété de la Châtellerie.
Sanction — amende de niveau délictuel, 100 septims au minimum.</t>
  </si>
  <si>
    <t>Pavis Gurdalval</t>
  </si>
  <si>
    <t>De la corruption passive</t>
  </si>
  <si>
    <t>Sanction — 1000 septims, 3 heures de cachot et bannissement des offices publics à titre de mesure accessoire.</t>
  </si>
  <si>
    <t>Commet une corruption passive l’agent qui sollicite ou accepte un avantage indu en vue d’influencer une décision, une action ou une omission relevant de ses fonctions. [Crime]
Sanction — 1000 septims, 3 heures de cachot et bannissement des offices publics à titre de mesure accessoire.</t>
  </si>
  <si>
    <t>Ri'Jhan MoonShadow</t>
  </si>
  <si>
    <t>De la corruption active</t>
  </si>
  <si>
    <t>Sanction — 2000 septims, 2 heures de travaux forcés, 2 heures de cachot et bannissement des offices publics à titre de mesure accessoire.</t>
  </si>
  <si>
    <t>Commet une corruption active quiconque offre ou promet un avantage indu à une personne investie d’une autorité ou d’une fonction. [Crime]
Sanction — 2000 septims, 2 heures de travaux forcés, 2 heures de cachot et bannissement des offices publics à titre de mesure accessoire.</t>
  </si>
  <si>
    <t>De l’abus de pouvoir public</t>
  </si>
  <si>
    <t>Sanction — 500 septims, 2 heures de travaux forcés, 2 heures de cachot et bannissement des offices publics à titre de mesure accessoire.</t>
  </si>
  <si>
    <t>Commet un abus de pouvoir toute personne investie d’une fonction publique locale qui en use de manière détournée, excessive ou illégitime. [Crime]
Sanction — 500 septims, 2 heures de travaux forcés, 2 heures de cachot et bannissement des offices publics à titre de mesure accessoire.</t>
  </si>
  <si>
    <t>Rorik Marche-Hiver</t>
  </si>
  <si>
    <t>De l’abus de pouvoir lié à un statut</t>
  </si>
  <si>
    <t>Sanction — 500 septims et 3 heures de travaux forcés.</t>
  </si>
  <si>
    <t>Le présent article vise les abus commis au titre d’un statut nobiliaire, corporatif ou de guilde, à l’exclusion des fonctions publiques locales régies par l’article 49. [Crime]
Sanction — 500 septims et 3 heures de travaux forcés.</t>
  </si>
  <si>
    <t>Art. 80 — Du parjure</t>
  </si>
  <si>
    <t>De l’usurpation de fonction</t>
  </si>
  <si>
    <t>Commet une usurpation de fonction quiconque se prétend titulaire d’une charge ou d’une fonction sans en avoir le titre. [Délit]
Sanction — 500 septims et 3 heures de travaux forcés.</t>
  </si>
  <si>
    <t>Art. 81 — De l’évasion</t>
  </si>
  <si>
    <t>De l’usage non autorisé de matériel de la Châtellerie</t>
  </si>
  <si>
    <t>Sanction — saisie des biens, 150 septims par équipement et 30 minutes de travaux forcés.</t>
  </si>
  <si>
    <t>Constitue une infraction l’utilisation sans droit d’un équipement appartenant à la Châtellerie. [Contravention]
Sanction — saisie des biens, 150 septims par équipement et 30 minutes de travaux forcés.</t>
  </si>
  <si>
    <t>Si'Yara dite Fou</t>
  </si>
  <si>
    <t>De la divulgation d’information secrète de la Châtellerie</t>
  </si>
  <si>
    <t>Sanction — 1000 septims et 5 heures de travaux forcés.
Titre V — Des atteintes à l’ordre public et à la société</t>
  </si>
  <si>
    <t>Constitue une infraction la divulgation volontaire, sans autorisation légitime, d’une information officiellement tenue secrète par la Châtellerie lorsque cette divulgation est susceptible de porter atteinte à ses intérêts, à son administration, à sa sécurité ou à celle de ses habitants.
 Le présent article ne s’applique qu’aux informations relevant de la compétence propre de la Châtellerie.
 Lorsque les informations concernées touchent également à la sécurité de l’Empire, à la Légion impériale, au renseignement impérial ou à toute matière relevant du Codex Penitus Imperialis, la compétence des autorités impériales prévaut.
 Dans ce cas, la Cour de Blancherive se dessaisit de l’affaire et transmet aux autorités impériales compétentes les informations et éléments recueillis.
Sanction — 1000 septims et 5 heures de travaux forcés.
Titre V — Des atteintes à l’ordre public et à la société</t>
  </si>
  <si>
    <t>Art. 87 — De la possession d’artefact daedrique</t>
  </si>
  <si>
    <t>De la dissimulation du visage</t>
  </si>
  <si>
    <t>Sanction — 20 septims.</t>
  </si>
  <si>
    <t>Le fait de dissimuler son visage en violation des dispositions prévues à l’article 115 du présent Codex constitue une infraction.
 Les interdictions, exceptions éventuelles et limites territoriales applicables à la dissimulation du visage sont celles définies à l’article 115.
 Toute dissimulation volontaire destinée à empêcher l’identification d’une personne par la Garde ou par une autre autorité légitime peut être retenue comme circonstance aggravante.
 Le refus de découvrir son visage après une injonction légitime d’une autorité peut également donner lieu à l’application des dispositions relatives au refus d’obtempérer.
Sanction — 20 septims.</t>
  </si>
  <si>
    <t>Art. 88 — De la profanation de lieu saint</t>
  </si>
  <si>
    <t>De l’exhibition</t>
  </si>
  <si>
    <t>Sanction — 50 septims et 1 heure de cachot.</t>
  </si>
  <si>
    <t>Constitue une exhibition tout dénuement ou comportement indécent exposé au regard du public. [Contravention]
Sanction — 50 septims et 1 heure de cachot.</t>
  </si>
  <si>
    <t>Starkos Coeurebene</t>
  </si>
  <si>
    <t>De l’ivresse manifeste sur la voie publique</t>
  </si>
  <si>
    <t>Sanction — à l’appréciation des forces de l’ordre.</t>
  </si>
  <si>
    <t>L’état d’ivresse manifeste sur la voie publique constitue une contravention.
Sanction — à l’appréciation des forces de l’ordre.</t>
  </si>
  <si>
    <t>Art. 101 — De la taxe citoyenne</t>
  </si>
  <si>
    <t>Theodrek Heid</t>
  </si>
  <si>
    <t>Du trouble à l’ordre public</t>
  </si>
  <si>
    <t>Constitue un trouble à l’ordre public tout comportement perturbant la tranquillité ou la sécurité publique. [Contravention]
Sanction — à l’appréciation des forces de l’ordre.</t>
  </si>
  <si>
    <t>Thorin Rivegel</t>
  </si>
  <si>
    <t>Des rixes et bagarres</t>
  </si>
  <si>
    <t>Sanction — 35 septims et 20 minutes de cachot ; qualification supérieure en cas de blessures.</t>
  </si>
  <si>
    <t>Toute bagarre, rixe ou altercation violente sur la voie publique est interdite sur l’ensemble du territoire de la Châtellerie, hormis dans les tavernes et avec l’accord du tenancier.
Le trouble sans blessure constitue une contravention ; l’altercation ayant causé des blessures constitue un délit relevant de l’article 22, aggravé le cas échéant selon l’article 9.
Sanction — 35 septims et 20 minutes de cachot ; qualification supérieure en cas de blessures.</t>
  </si>
  <si>
    <t>Art. 104 — De la vente de gros et des étals</t>
  </si>
  <si>
    <t>Torald Brise-Roche</t>
  </si>
  <si>
    <t>Du rassemblement illégal</t>
  </si>
  <si>
    <t>Sanction — 25 septims et 1 heure de travaux forcés.</t>
  </si>
  <si>
    <t>Constitue un rassemblement illégal tout regroupement interdit ou tenu sans autorisation. [Contravention]
Sanction — 25 septims et 1 heure de travaux forcés.</t>
  </si>
  <si>
    <t>De l’association de malfaiteurs</t>
  </si>
  <si>
    <t>Sanction — 100 septims et 2 heures de travaux forcés.</t>
  </si>
  <si>
    <t>Constitue une association de malfaiteurs tout groupement formé en vue de commettre des infractions. [Délit]
Cette qualification peut également être retenue à titre de circonstance aggravante.
Sanction — 100 septims et 2 heures de travaux forcés.</t>
  </si>
  <si>
    <t>Varaa Uzgar</t>
  </si>
  <si>
    <t>De l’exercice illégal d’une profession réglementée</t>
  </si>
  <si>
    <t>Sanction — selon les régimes spéciaux applicables et l’appréciation de la Cour.</t>
  </si>
  <si>
    <t>Sont réglementés notamment le commerce, l’alchimie, la guérison et la chasse. Leur exercice sans droit constitue une contravention. [Contravention]
Sanction — selon les régimes spéciaux applicables et l’appréciation de la Cour.</t>
  </si>
  <si>
    <t>Art. 108 — De la chasse sans permis</t>
  </si>
  <si>
    <t>Vranx Thorgar</t>
  </si>
  <si>
    <t>De la divulgation d’un secret professionnel</t>
  </si>
  <si>
    <t>Constitue une infraction la divulgation d’informations couvertes par un secret professionnel, commercial, industriel, religieux ou médical. [Contravention]
Sanction — 500 septims et 3 heures de travaux forcés.</t>
  </si>
  <si>
    <t>Art. 109 — De la cruauté envers les bêtes</t>
  </si>
  <si>
    <t>Du refus d’obtempérer</t>
  </si>
  <si>
    <t>Sanction — 50 septims et 1 heure de travaux forcés ; mise en état de travail ou retrait de charrette possible.</t>
  </si>
  <si>
    <t>Constitue un refus d’obtempérer le fait de se soustraire volontairement à un contrôle ou à une injonction d’une autorité légitime. [Contravention]
L’infraction devient un délit en cas d’usage de violence, de magie ou de potions.
Sanction — 50 septims et 1 heure de travaux forcés ; mise en état de travail ou retrait de charrette possible.</t>
  </si>
  <si>
    <t>Art. 110 — De la chasse au mammouth</t>
  </si>
  <si>
    <t>Zeid Le Brise-Lames</t>
  </si>
  <si>
    <t>De la fabrication et de la vente de substances illégales</t>
  </si>
  <si>
    <t>Sanction — 250 septims par unité et 3 heures de travaux forcés.</t>
  </si>
  <si>
    <t>Sont prohibés la fabrication et le commerce de poisons, de skooma et de sucre-lune. [Délit]
En cas de trafic de grande ampleur, notamment lorsque le cumul excède 2500 septims, l’infraction est requalifiée en crime.
Sanction — 250 septims par unité et 3 heures de travaux forcés.</t>
  </si>
  <si>
    <t>De la fausse alerte</t>
  </si>
  <si>
    <t>Sanction — 100 septims et 1 heure de travaux forcés.</t>
  </si>
  <si>
    <t>Constitue une fausse alerte toute alerte mensongère ou abusive donnée à la Garde ou aux autorités. [Contravention]
Sanction — 100 septims et 1 heure de travaux forcés.</t>
  </si>
  <si>
    <t>Des horaires des tavernes</t>
  </si>
  <si>
    <t>Sanction — à l’appréciation des forces de l’ordre ; fermeture administrative possible en cas de récidive.
Titre VI — Des atteintes à la Châtellerie
Les infractions du présent titre s’appliquent sans préjudice de la compétence exclusive des juridictions impériales lorsque les faits portent également atteinte à l’autorité impériale directe, à la Légion ou aux services de renseignement impériaux, au sens du Codex Penitus Imperialis.</t>
  </si>
  <si>
    <t>Les tavernes, auberges et établissements servant des boissons ferment au troisième appel de cloche, sauf autorisation exceptionnelle du Jarl ou de son représentant.
Sanction — à l’appréciation des forces de l’ordre ; fermeture administrative possible en cas de récidive.
Titre VI — Des atteintes à la Châtellerie
Les infractions du présent titre s’appliquent sans préjudice de la compétence exclusive des juridictions impériales lorsque les faits portent également atteinte à l’autorité impériale directe, à la Légion ou aux services de renseignement impériaux, au sens du Codex Penitus Imperialis.</t>
  </si>
  <si>
    <t>De la trahison envers la Châtellerie</t>
  </si>
  <si>
    <t>Sanction — peine maximale encourue : mort et saisie des biens, sur verdict public et motivé.</t>
  </si>
  <si>
    <t>Commet un acte de haute trahison quiconque apporte volontairement aide, assistance, refuge, renseignements ou ravitaillement à un dragon hostile, à un culte draconique ennemi ou à toute organisation cherchant à nuire à la Châtellerie. [Crime]
Le présent article vise exclusivement les atteintes portées à la Châtellerie elle-même.
Sanction — peine maximale encourue : mort et saisie des biens, sur verdict public et motivé.</t>
  </si>
  <si>
    <t>Art. 116 — Du saut des murailles</t>
  </si>
  <si>
    <t>Du terrorisme</t>
  </si>
  <si>
    <t>Constitue un acte de terrorisme toute entreprise visant à répandre la terreur au sein de la population ou à contraindre les autorités par la violence. [Crime]
Sanction — peine maximale encourue : mort et saisie des biens, sur verdict public et motivé.</t>
  </si>
  <si>
    <t>De la conspiration</t>
  </si>
  <si>
    <t>Constitue une conspiration tout projet concerté dirigé contre la Châtellerie ou ses institutions. [Crime]
Sanction — peine maximale encourue : mort et saisie des biens, sur verdict public et motivé.</t>
  </si>
  <si>
    <t>De l’espionnage</t>
  </si>
  <si>
    <t>Sanction — 1000 septims et 5 heures de cachot.</t>
  </si>
  <si>
    <t>Constitue un espionnage la collecte ou la transmission d’informations au profit d’une puissance ou d’une organisation hostile à la Châtellerie. [Crime]
Sanction — 1000 septims et 5 heures de cachot.</t>
  </si>
  <si>
    <t>De la désertion</t>
  </si>
  <si>
    <t>Sanction — exil ; peine de mort encourue sur verdict public et motivé lorsque les circonstances l’exigent.</t>
  </si>
  <si>
    <t>Est coupable de désertion quiconque abandonne volontairement son poste durant une bataille ou fuit devant l’ennemi sans ordre de son commandement. [Crime]
La peine de mort ne peut être prononcée que par une autorité judiciaire compétente, à l’issue d’une procédure régulière, et non par simple décision de commandement — sans préjudice du droit de tout chef militaire de faire cesser sur-le-champ un péril immédiat par la force.
Sanction — exil ; peine de mort encourue sur verdict public et motivé lorsque les circonstances l’exigent.</t>
  </si>
  <si>
    <t>De l’obligation militaire</t>
  </si>
  <si>
    <t>Sanction — fourniture d’un combattant ou compensation financière fixée par l’Intendance.</t>
  </si>
  <si>
    <t>Chaque foyer est tenu de fournir au moins un combattant lorsque le Cor de Guerre est sonné. Lorsqu’aucun membre du foyer n’est en mesure de servir pour un motif légitime, une compensation financière est versée au trésor de la Châtellerie.
Sanction — fourniture d’un combattant ou compensation financière fixée par l’Intendance.</t>
  </si>
  <si>
    <t>Des Compagnons</t>
  </si>
  <si>
    <t>Les Compagnons de Jorrvaskr demeurent une confrérie libre et conservent leur indépendance dans leurs affaires quotidiennes.
Lors d’une guerre officiellement déclarée par le Jarl, ils sont tenus d’apporter leur concours à la défense de la Châtellerie, conformément aux anciens serments qui les unissent à Blancherive.
Titre VII — Des atteintes au gouvernement et à la justice</t>
  </si>
  <si>
    <t>De l’outrage</t>
  </si>
  <si>
    <t>Constitue un outrage toute atteinte verbale ou symbolique portée à une autorité de la Châtellerie. L’outrage se gradue comme suit :
outrage 	à la Garde 	— 100 septims ; le contrevenant peut être retenu jusqu’à 	comparution devant une autorité. [Contravention]
outrage 	à la Châtellerie 	— 200 septims et 1 heure de travaux forcés. [Contravention]
outrage 	au Jarl ou à la Cour 	— 500 septims et 3 heures de travaux forcés. [Délit]
L’outrage commis à l’audience relève de la police de l’audience et du Codex Procédural de Blancherive.</t>
  </si>
  <si>
    <t>Plusieurs montants d'amende détectés. Plusieurs durées de travaux détectées.</t>
  </si>
  <si>
    <t>Du non-acquittement d’une peine pécuniaire</t>
  </si>
  <si>
    <t>Sanction — refus délibéré : doublement de l’amende et 1 heure de travaux forcés ; insolvabilité réelle : conversion en travaux forcés, travaux d’intérêt général ou saisie de biens.</t>
  </si>
  <si>
    <t>Le refus délibéré d’acquitter une amende constitue un délit. L’insolvabilité réelle donne lieu à conversion et non à aggravation.
Sanction — refus délibéré : doublement de l’amende et 1 heure de travaux forcés ; insolvabilité réelle : conversion en travaux forcés, travaux d’intérêt général ou saisie de biens.</t>
  </si>
  <si>
    <t>Du non-respect d’une décision de justice</t>
  </si>
  <si>
    <t>Sanction — à l’appréciation du juge.</t>
  </si>
  <si>
    <t>Constitue un délit la violation d’une décision rendue par la Cour de la Châtellerie.
Sanction — à l’appréciation du juge.</t>
  </si>
  <si>
    <t>De l’entrave à la justice</t>
  </si>
  <si>
    <t>Constitue une entrave tout obstacle volontaire au fonctionnement de la justice de la Châtellerie. [Contravention]
Sanction — 50 septims et 1 heure de cachot.</t>
  </si>
  <si>
    <t>Du faux</t>
  </si>
  <si>
    <t>Sanction — 500 septims et 2 heures de cachot.</t>
  </si>
  <si>
    <t>Constitue un faux la fabrication ou la falsification d’un document, d’un registre, d’un sceau ou de tout élément destiné à faire foi. [Contravention]
L’infraction est requalifiée en délit ou en crime selon la gravité de ses conséquences, notamment l’usurpation d’une fonction officielle ou un préjudice financier important.
Sanction — 500 septims et 2 heures de cachot.</t>
  </si>
  <si>
    <t>De l’usage de faux</t>
  </si>
  <si>
    <t>Sanction — 250 septims et 2 heures de cachot.</t>
  </si>
  <si>
    <t>Constitue un usage de faux l’utilisation d’un élément dont le caractère falsifié ne pouvait être ignoré. [Contravention]
L’infraction est requalifiée selon la gravité de ses conséquences.
Sanction — 250 septims et 2 heures de cachot.</t>
  </si>
  <si>
    <t>Du parjure</t>
  </si>
  <si>
    <t>Sanction — 200 septims et 2 heures de travaux forcés.</t>
  </si>
  <si>
    <t>Constitue un parjure le mensonge ou le faux témoignage, oral ou écrit, produit devant la Cour ou sous serment. [Délit]
Sanction — 200 septims et 2 heures de travaux forcés.</t>
  </si>
  <si>
    <t>De l’évasion</t>
  </si>
  <si>
    <t>Sanction — 2000 septims et 4 heures de travaux forcés.
Titre VIII — De l’armement</t>
  </si>
  <si>
    <t>Constitue une évasion le fait, pour une personne placée sous garde ou sous contrainte judiciaire, de se soustraire à la surveillance ou à la mesure qui lui est imposée. [Crime]
Sanction — 2000 septims et 4 heures de travaux forcés.
Titre VIII — De l’armement</t>
  </si>
  <si>
    <t>Du port d’arme</t>
  </si>
  <si>
    <t>Le port d’arme est autorisé sur le territoire de la Châtellerie, sous réserve des interdictions prévues à l’article 83 et des restrictions particulières décidées par le Jarl ou la Cour. [Contravention en cas de méconnaissance]</t>
  </si>
  <si>
    <t>Des armes interdites</t>
  </si>
  <si>
    <t>Sanction — déclaration obligatoire ; surveillance conservatoire, confiscation ou destruction sur décision de la Cour.
Titre IX — Du culte</t>
  </si>
  <si>
    <t>Toute arme daedrique, maudite, nécromantique ou présentant un danger particulier pour la population doit être déclarée aux autorités compétentes.
La mise sous surveillance provisoire peut être ordonnée à titre conservatoire. La confiscation ou la destruction définitive n’intervient qu’après décision de la Cour.
Sanction — déclaration obligatoire ; surveillance conservatoire, confiscation ou destruction sur décision de la Cour.
Titre IX — Du culte</t>
  </si>
  <si>
    <t>La sanction comporte une mesure non numérique.</t>
  </si>
  <si>
    <t>De la religion officielle</t>
  </si>
  <si>
    <t>Sanction — 30 minutes de travaux forcés, ajustables au niveau délictuel par le magistrat.</t>
  </si>
  <si>
    <t>Le culte des Huit Divins est reconnu par la Châtellerie de Blancherive.
La pratique d’un culte non reconnu par l’Empire constitue un délit, conformément à l’article 9 du Corpus Juriscivilis Imperialis, sous réserve du régime de tolérance conditionnelle prévu à l’article 85.
Sanction — 30 minutes de travaux forcés, ajustables au niveau délictuel par le magistrat.</t>
  </si>
  <si>
    <t>De la tolérance conditionnelle</t>
  </si>
  <si>
    <t>Les cultes autres que celui des Huit Divins peuvent faire l’objet d’une tolérance conditionnelle. Sont tolérées les pratiques qui :
n’impliquent 	aucune violence, contrainte ou atteinte à l’intégrité physique 	ou mentale d’autrui ;
n’encouragent 	ni meurtre, ni sacrifice, ni crime, ni rébellion contre l’autorité 	;
ne 	font usage d’aucune magie interdite, coercitive ou de rituel 	occulte dangereux ;
ne 	troublent pas la paix publique.
La pratique respectant ces conditions ne constitue pas une infraction. Sa méconnaissance constitue un délit.</t>
  </si>
  <si>
    <t>Du culte daedrique</t>
  </si>
  <si>
    <t>Le culte daedrique relève du régime de tolérance conditionnelle prévu à l’article 85. Seul le culte daedrique méconnaissant ces conditions constitue un crime.
Sanction — peine maximale encourue : mort et saisie des biens, sur verdict public et motivé.</t>
  </si>
  <si>
    <t>De la possession d’artefact daedrique</t>
  </si>
  <si>
    <t>Sanction — saisie de l’artefact, 500 septims et 2 heures de travaux forcés.</t>
  </si>
  <si>
    <t>La simple possession d’objets, symboles ou reliques liés à un culte toléré ne constitue pas une infraction.
Constitue un crime la possession d’artefacts liés à une pratique non tolérée, ou d’objets dont la dangerosité intrinsèque est démontrée.
Sanction — saisie de l’artefact, 500 septims et 2 heures de travaux forcés.</t>
  </si>
  <si>
    <t>De la profanation de lieu saint</t>
  </si>
  <si>
    <t>Sanction — 500 septims et 3 heures de travaux forcés ; qualification criminelle lorsque le motif est daedrique.</t>
  </si>
  <si>
    <t>Constitue une profanation toute atteinte portée au caractère sacré d’un lieu, d’un objet, d’un office religieux ou d’une personne en raison de son appartenance religieuse. [Délit]
Sanction — 500 septims et 3 heures de travaux forcés ; qualification criminelle lorsque le motif est daedrique.</t>
  </si>
  <si>
    <t>Du Temple de Kynareth</t>
  </si>
  <si>
    <t>Le Temple de Kynareth est reconnu terre sacrée et bénéficie de la protection permanente de la Châtellerie. Les fidèles doivent pouvoir y prier en paix sous la protection du Jarl.
Toute violence, profanation, vol ou trouble commis dans son enceinte constitue une circonstance aggravante.</t>
  </si>
  <si>
    <t>De la protection des sépultures</t>
  </si>
  <si>
    <t>Sanction — sanction déterminée selon l’article 88 ; qualification criminelle lorsque le motif est daedrique.</t>
  </si>
  <si>
    <t>Il est interdit de profaner tombes, tertres funéraires, cairns, pierres runiques et tout lieu consacré aux morts. [Délit]
Sanction — sanction déterminée selon l’article 88 ; qualification criminelle lorsque le motif est daedrique.</t>
  </si>
  <si>
    <t>Des rites funéraires</t>
  </si>
  <si>
    <t>Tout défunt doit recevoir des funérailles dignes selon ses croyances, qu’il s’agisse d’un bûcher, d’une inhumation ou de tout autre rite reconnu.
Les familles ou, à défaut, la Châtellerie veillent à ce qu’aucun défunt ne demeure sans sépulture.</t>
  </si>
  <si>
    <t>Des engagements diplomatiques de l’Empire</t>
  </si>
  <si>
    <t>La Châtellerie prend acte des traités et engagements diplomatiques conclus par l’Empire, dont l’application et l’interprétation relèvent exclusivement des autorités impériales et des parties signataires.
La Châtellerie ne dispose d’aucune compétence pour connaître de leur méconnaissance. Lorsqu’un fait porté à sa connaissance paraît susceptible de méconnaître un tel engagement, la Cour en avise immédiatement l’autorité impériale compétente ainsi que l’ambassade concernée, et se dessaisit à leur profit.
Titre X — De l’occulte et de la magie</t>
  </si>
  <si>
    <t>De la corruption magique</t>
  </si>
  <si>
    <t>Sanction — à l’appréciation du magistrat, selon la classification retenue.</t>
  </si>
  <si>
    <t>Le fait d’utiliser volontairement la magie sur une personne, sans son consentement, afin d’altérer son jugement, ses perceptions, ses émotions ou son comportement constitue un délit.
 L’infraction est requalifiée en crime lorsque la magie employée entraîne une suppression totale ou durable du libre arbitre de la victime, son asservissement, sa soumission forcée ou l’oblige à accomplir des actes qu’elle n’aurait raisonnablement pas accomplis sans cette influence.
 La gravité de l’atteinte, sa durée, les conséquences subies par la victime et l’intention de l’auteur sont prises en considération lors de la détermination de la peine.
En cas de preuve avéré de corruption magique, il est nécessaire de se référer à la loi impérial (Codex Juriscilivis Impérialis) pour l’application de la peine finale.
Sanction — à l’appréciation du magistrat, selon la classification retenue.</t>
  </si>
  <si>
    <t>De la nécromancie</t>
  </si>
  <si>
    <t>La pratique de la nécromancie est interdite sur l’ensemble des terres de la Châtellerie : arts nécromantiques, animation des morts, expérimentation sur cadavres, invocation d’esprits, détention de biens liés, sorts, recherches et rituels. [Crime]
La nécromancie trouble le repos des défunts, met en danger les vivants et menace la sécurité publique.
Sanction — peine maximale encourue : mort et saisie des biens, sur verdict public et motivé.</t>
  </si>
  <si>
    <t>Collaboration Profane</t>
  </si>
  <si>
    <t>La collaboration profane est le fait de travailler, d’échanger, d’aider les creatures (vampire, loup-garou) et force daédrique (cultes) de manière consciente et que les faits soient avérés (Se référer à l’article 3 du Codex Judiciaire de Blancherive). Il est considéré comme un crime au sein de la châtellerie et juger par les autorités compétente de la cour et de l’empire en vertue de l’article 9 et 16 du Corpus Juriscivilis Imperialis.
Sanction — peine maximale encourue : mort et saisie des biens, sur verdict public et motivé.</t>
  </si>
  <si>
    <t>De la magie de foudre</t>
  </si>
  <si>
    <t>Sanction — 2500 septims au minimum et 5 heures de travaux forcés ; peine de mort encourue en cas d’usage dangereux, offensif ou coercitif, sur verdict public et motivé.
Titre XI — Des terres, du commerce et de la fiscalité</t>
  </si>
  <si>
    <t>L’utilisation et la maîtrise de la magie de la foudre sont prohibées sur le territoire de la Châtellerie. [Crime]
Sanction — 2500 septims au minimum et 5 heures de travaux forcés ; peine de mort encourue en cas d’usage dangereux, offensif ou coercitif, sur verdict public et motivé.
Titre XI — Des terres, du commerce et de la fiscalité</t>
  </si>
  <si>
    <t>La sanction comporte une borne minimale ou maximale. Peine capitale mentionnée.</t>
  </si>
  <si>
    <t>De la propriété des terres cultivées</t>
  </si>
  <si>
    <t>Les terres cultivées appartiennent de plein droit à ceux qui les exploitent loyalement, les entretiennent avec diligence et en assurent la mise en valeur au profit de la Châtellerie.
Le droit de propriété repose non seulement sur la possession, mais aussi sur l’entretien.</t>
  </si>
  <si>
    <t>Des terres abandonnées</t>
  </si>
  <si>
    <t>Toute ferme, exploitation ou domaine abandonné durant une période prolongée, sans motif légitime ni représentant désigné, revient de plein droit au Jarl et peut être réattribué à un exploitant capable d’en assurer la production.</t>
  </si>
  <si>
    <t>Du tribut des récoltes</t>
  </si>
  <si>
    <t>Les récoltes de la saison froide contribuent à l’approvisionnement des greniers de la cité, selon les quantités fixées par le Jarl ou son Intendant.
Ce tribut constitue une contribution collective destinée à préserver la sécurité alimentaire de la Châtellerie.</t>
  </si>
  <si>
    <t>Des taxes commerciales</t>
  </si>
  <si>
    <t>Des taxes d’entrée, d’installation ou de commerce peuvent être imposées aux marchands exerçant une activité sur le territoire de la Châtellerie.
 Le montant, les modalités et les lieux de perception de ces taxes sont fixés par décision du Jarl et rendus publics avant leur application.
 Les taxes sont perçues aux postes, marchés ou bureaux désignés à cet effet par des agents dûment mandatés par le Jarl.
 Tout paiement donne lieu, lorsque cela est nécessaire, à la délivrance d’un reçu, d’un registre ou de toute autre preuve permettant au marchand de démontrer qu’il s’est acquitté de son obligation.
 Aucune différence de taxation ne peut être appliquée entre marchands placés dans une situation identique en raison de leur race, de leur origine ou de leur provenance.
 Toute dissimulation volontaire de marchandises ou toute manœuvre destinée à échapper à la taxe peut être poursuivie au titre de la fraude commerciale.</t>
  </si>
  <si>
    <t>De la taxe citoyenne</t>
  </si>
  <si>
    <t>Sanction — 50 septims par semaine de retard jusqu’à régularisation ; perte de la citoyenneté après deux semaines.</t>
  </si>
  <si>
    <t>Tout citoyen soumis à la taxe citoyenne est tenu de l’acquitter selon le montant, la périodicité et les modalités fixés par décision du Jarl et rendus publics.
 La perception est assurée par les agents expressément mandatés à cet effet.
 Le paiement est inscrit au registre compétent ou donne lieu à la délivrance d’une preuve de paiement.
 En cas de défaut de paiement, le citoyen doit être informé de la somme due et disposer d’une possibilité raisonnable de régulariser sa situation.
 Le défaut persistant de paiement peut entraîner une amende ou toute autre mesure prévue par le présent Codex.
 La perte du droit de cité ne peut intervenir qu’en cas de refus volontaire, persistant et répété de satisfaire à l’obligation fiscale et ne peut être prononcée que par une décision motivée de l’autorité compétente, après que l’intéressé a été mis en mesure de régulariser sa situation.
 L’insolvabilité réelle ne peut être assimilée, à elle seule, à un refus volontaire de paiement.
Sanction — 50 septims par semaine de retard jusqu’à régularisation ; perte de la citoyenneté après deux semaines.</t>
  </si>
  <si>
    <t>Des caravanes khajiites</t>
  </si>
  <si>
    <t>Les caravanes khajiites sont autorisées à commercer sur les terres de la Châtellerie sous la surveillance de la Garde. Elles demeurent soumises aux mêmes lois, taxes et obligations que tout autre marchand étranger.
Cette surveillance vise la sécurité des échanges et la prévention de la contrebande, sans constituer une discrimination.</t>
  </si>
  <si>
    <t>De la fraude commerciale</t>
  </si>
  <si>
    <t>Sanction — confiscation possible des marchandises, réparation, et amende de niveau délictuel ; qualification criminelle si la valeur est particulièrement élevée.</t>
  </si>
  <si>
    <t>Constitue une fraude commerciale toute tromperie portant sur les poids, les mesures, la qualité des marchandises ou les prix volontairement falsifiés. [Délit]
Sanction — confiscation possible des marchandises, réparation, et amende de niveau délictuel ; qualification criminelle si la valeur est particulièrement élevée.</t>
  </si>
  <si>
    <t>De la vente de gros et des étals</t>
  </si>
  <si>
    <t>Sanction — 65 septims.</t>
  </si>
  <si>
    <t>La vente de gros dans les rues est interdite, hormis aux étals autorisés. L’acquisition d’un étal se fait auprès de l’Intendance pour cinquante (50) septims. [Contravention]
Sanction — 65 septims.</t>
  </si>
  <si>
    <t>De la vente à la criée</t>
  </si>
  <si>
    <t>Sanction — 100 septims à la première infraction ; 200 septims en cas de récidive, sans préjudice d’une saisie temporaire des marchandises ou d’une interdiction provisoire d’exercer.</t>
  </si>
  <si>
    <t>Toute vente à la criée, annonce publique de marchandises, sollicitation bruyante ou appel commercial répété sur la voie publique est interdite sans autorisation préalable des autorités compétentes. [Contravention]
Sanction — 100 septims à la première infraction ; 200 septims en cas de récidive, sans préjudice d’une saisie temporaire des marchandises ou d’une interdiction provisoire d’exercer.</t>
  </si>
  <si>
    <t>De la contrebande</t>
  </si>
  <si>
    <t>Sanction — 100 septims, 20 minutes de cachot et confiscation, la valeur de la marchandise saisie s’ajoutant à la peine ; sanction aggravée selon l’article 64 en cas de trafic.
Titre XII — De la faune, de la chasse et des terres sauvages</t>
  </si>
  <si>
    <t>La vente de skooma, de sucre-lune et de marchandises de contrebande est interdite. [Délit]
Sanction — 100 septims, 20 minutes de cachot et confiscation, la valeur de la marchandise saisie s’ajoutant à la peine ; sanction aggravée selon l’article 64 en cas de trafic.
Titre XII — De la faune, de la chasse et des terres sauvages</t>
  </si>
  <si>
    <t>Du permis de chasse</t>
  </si>
  <si>
    <t>La chasse sur le territoire de Blancherive est encadrée par les Gardes-Chasse attitrés par l’autorité du Jarl et de la Cour. Un permis est obligatoire, délivré pour cinquante (50) septims auprès des Gardes-Chasse.
La légitime défense face à un animal sauvage et agressif demeure un droit absolu.</t>
  </si>
  <si>
    <t>De la chasse sans permis</t>
  </si>
  <si>
    <t>Sanction — 100 septims.</t>
  </si>
  <si>
    <t>Il est interdit de tuer et de dépecer un animal sauvage sans permis. [Contravention]
Sanction — 100 septims.</t>
  </si>
  <si>
    <t>De la cruauté envers les bêtes</t>
  </si>
  <si>
    <t>Sanction — 150 septims.</t>
  </si>
  <si>
    <t>Il est interdit de tuer un animal sauvage par plaisir sadique. La cruauté gratuite aggrave l’infraction. [Contravention]
Sanction — 150 septims.</t>
  </si>
  <si>
    <t>De la chasse au mammouth</t>
  </si>
  <si>
    <t>La chasse au mammouth est soumise à l’autorisation préalable du Jarl ou de son représentant. Les mammouths constituent une ressource précieuse mais limitée, dont la préservation évite les conflits avec les géants. [Contravention]
Sanction — 200 septims.</t>
  </si>
  <si>
    <t>De la protection des géants</t>
  </si>
  <si>
    <t>Sanction — vol : 100 septims ; provocation ou harcèlement : 150 septims ; mise à mort hors légitime défense : délit, jugement obligatoire, peine déterminée par le juge selon l’article 4, amende de niveau délictuel et cachot possible.</t>
  </si>
  <si>
    <t>Les géants sont des êtres historiquement respectés dans la Châtellerie et bénéficient d’une protection spécifique. Il est interdit de les approcher, déranger, voler, provoquer ou attaquer sans motif légitime ni autorisation de la Cour.
La légitime défense demeure admise lorsque le géant menace directement la vie ou les biens.
Sanction — vol : 100 septims ; provocation ou harcèlement : 150 septims ; mise à mort hors légitime défense : délit, jugement obligatoire, peine déterminée par le juge selon l’article 4, amende de niveau délictuel et cachot possible.</t>
  </si>
  <si>
    <t>Plusieurs montants d'amende détectés. Peine capitale mentionnée.</t>
  </si>
  <si>
    <t>Du signalement des dragons</t>
  </si>
  <si>
    <t>Sanction — manquement apprécié par les forces de l’ordre ; sanction au titre de l’article 57 en cas de négligence caractérisée.</t>
  </si>
  <si>
    <t>Toute personne apercevant un dragon ou constatant des traces récentes de son passage est tenue d’en informer immédiatement la Garde ou toute autorité compétente.
Sanction — manquement apprécié par les forces de l’ordre ; sanction au titre de l’article 57 en cas de négligence caractérisée.</t>
  </si>
  <si>
    <t>De la défense des habitants</t>
  </si>
  <si>
    <t>Tout homme ou femme libre est autorisé à combattre et à abattre toute créature représentant une menace immédiate pour les habitants, les routes, les fermes ou les biens de la Châtellerie.
Lorsque cela est possible, la Garde doit en être avertie dans les meilleurs délais afin de constater les faits et de prévenir tout abus de ce droit.
Titre XIII — Des règlements de police</t>
  </si>
  <si>
    <t>De la marche obligatoire</t>
  </si>
  <si>
    <t>Sanction — 15 septims.</t>
  </si>
  <si>
    <t>La course est interdite à l’intérieur de la ville de Blancherive, une fois la Grande Porte franchie.
 Cette interdiction ne s’applique pas aux personnes se trouvant à l’extérieur des remparts ou avant le franchissement de la Grande Porte.
 Les membres de la Garde, les autorités compétentes et toute personne agissant dans le cadre d’une urgence légitime peuvent déroger à cette interdiction lorsque les circonstances l’exigent. [Contravention]
Sanction — 15 septims.</t>
  </si>
  <si>
    <t>Du visage découvert</t>
  </si>
  <si>
    <t>Sanction — 15 septims, sans préjudice de l’article 54.</t>
  </si>
  <si>
    <t>Le port d’un masque dissimulant le visage est strictement interdit sur l’ensemble du territoire de la Châtellerie de Blancherive.
 Dans les faubourgs ainsi que dans l’enceinte de la ville de Blancherive, il est également interdit de porter tout casque, capuche ou autre couvre-chef dissimulant ou couvrant le visage.
 Cette interdiction s’applique à toute personne présente dans ces zones, sans distinction.
 Toute personne concernée doit être en mesure de présenter son visage lorsqu’une autorité légitime l’exige aux fins de son identification.
 Toute violation du présent article est poursuivie conformément à l’article 54 relatif à la dissimulation du visage. [Contravention]
Sanction — 15 septims, sans préjudice de l’article 54.</t>
  </si>
  <si>
    <t>Du saut des murailles</t>
  </si>
  <si>
    <t>Sanction — 55 septims.</t>
  </si>
  <si>
    <t>Il est interdit de sauter des murailles, notamment devant la porte de la ville, afin de prévenir troubles, accidents et infiltrations. [Contravention]
Sanction — 55 septims.</t>
  </si>
  <si>
    <t>Du vol dans les fermes</t>
  </si>
  <si>
    <t>Sanction — 40 septims, sans préjudice du remboursement au triple prévu à l’article 39.
Titre XIV — Dispositions finales</t>
  </si>
  <si>
    <t>Le vol de miel, d’œufs ou l’abattage non autorisé de poules, vaches et autres bêtes de ferme est interdit. [Contravention]
Sanction — 40 septims, sans préjudice du remboursement au triple prévu à l’article 39.
Titre XIV — Dispositions finales</t>
  </si>
  <si>
    <t>De l’articulation avec le droit impérial</t>
  </si>
  <si>
    <t>Le présent Codex s’applique sans préjudice de la primauté du droit impérial.
Les infractions relevant des Leges Imperiales demeurent de la compétence prioritaire des juridictions impériales. Celles relevant du Codex Penitus Imperialis sont de leur compétence exclusive, et la Cour s’en dessaisit de plein droit.</t>
  </si>
  <si>
    <t>De l’interprétation</t>
  </si>
  <si>
    <t>Lorsque le présent Codex n’est pas clair, il est interprété dans l’ordre de priorité fixé par le Corpus Proceduralis Imperialis : interprétation stricte, téléologique, historique et jurisprudentielle, systématique, puis analogique.
Les dispositions prévoyant une peine sont d’interprétation stricte.</t>
  </si>
  <si>
    <t>De l’abrogation</t>
  </si>
  <si>
    <t>Sont abrogés le Code de la Châtellerie de Blancherive, les Dispositions pénales générales de Blancherive, les Règlements et amendes de la Châtellerie, ainsi que toute disposition antérieure contraire au présent Codex.</t>
  </si>
  <si>
    <t>De l’entrée en vigueur et de la publication</t>
  </si>
  <si>
    <t>Le présent Codex entre en vigueur à compter de sa publication officielle.
 Il est affiché à Fort-Dragon et consigné au registre de la Cour de Blancherive afin que chacun puisse en prendre connaissance.
 Toute modification ultérieure du présent Codex est soumise aux mêmes formalités de publication avant son entrée en vigueur.
 La conservation, l’affichage et l’enregistrement du Codex sont placés sous l’autorité de la Cour et du Jarl.</t>
  </si>
  <si>
    <t>Codex Procédural de Blancherive</t>
  </si>
  <si>
    <t>CHÂTELLERIE DE BLANCHERIVE
CODEX PROCÉDURAL
DE BLANCHERIVE
Code de procédure et pouvoirs du juge de la Châtellerie
Par l’autorité du Jarl Lucius Haldor, Seigneur des terres de Blancherive,
Sous l’autorité de l’Empereur de Tamriel et dans le respect des prérogatives de l’Empire,
Conformément au Corpus Proceduralis Imperialis, au Corpus Juriscivilis Imperialis et au Codex Penitus Imperialis,
Considérant que :
la 	justice du Jarl ne vaut que si elle est rendue selon des formes 	connues, égales pour tous et opposables à chacun ;
le 	Corpus Proceduralis Imperialis reconnaît à chaque châtellerie la 	liberté d’organiser ses procédures locales, sous réserve du 	respect de ses principes et de la primauté du droit impérial ;
l’autorité 	de la Cour suppose des pouvoirs clairement établis, exercés dans 	des limites tout aussi clairement fixées ;
il 	convient de réunir en un texte unique les règles de procédure et 	les pouvoirs du juge de la Châtellerie ;
Le Jarl de Blancherive décrète ce qui suit :
Titre I — De la juridiction</t>
  </si>
  <si>
    <t>De l’autorité judiciaire du juge</t>
  </si>
  <si>
    <t>Le juge de la Châtellerie, désigné par le Jarl et reconnu par la Cour, détient autorité pour ouvrir, diriger et clore les audiences, entendre les parties, examiner les preuves et rendre jugement au nom de la justice du Jarl.
Cette autorité s’exerce sous l’autorité supérieure du Jarl et permet à la Cour de trancher les litiges et poursuites sans désordre.</t>
  </si>
  <si>
    <t>De la compétence</t>
  </si>
  <si>
    <t>La Cour connaît des infractions prévues par le Codex Judiciaire de Blancherive commises sur le territoire de la Châtellerie.
Elle statue sans préjudice de la compétence prioritaire des juridictions impériales pour les infractions relevant des Leges Imperiales, et de leur compétence exclusive pour les matières visées par le Codex Penitus Imperialis.
Lorsqu’une autorité impériale se saisit d’une procédure, la Cour s’en dessaisit et lui transmet les pièces recueillies.</t>
  </si>
  <si>
    <t>Des autorités habilitées</t>
  </si>
  <si>
    <t>Sont habilités à agir sur le territoire de la Châtellerie : les membres de la Garde, l’Intendance dans son domaine, les Gardes-Chasse dans le leur, le juge, le Jarl, ainsi que les autorités impériales et toute personne dûment mandatée.
Titre II — De l’arrestation et des mesures préalables</t>
  </si>
  <si>
    <t>De la flagrance</t>
  </si>
  <si>
    <t>Toute autorité habilitée peut procéder à une arrestation immédiate en cas de flagrant délit ou de suspicion sérieuse.</t>
  </si>
  <si>
    <t>De l’obligation d’obtempérer</t>
  </si>
  <si>
    <t>Toute personne doit se soumettre aux injonctions d’une autorité légitime. Le manquement est réprimé par l’article 63 du Codex Judiciaire.</t>
  </si>
  <si>
    <t>Du traitement immédiat</t>
  </si>
  <si>
    <t>Pour les infractions mineures, l’autorité peut prononcer directement une sanction sans procès, selon le barème fixé par le Codex Judiciaire.
Le prévenu conserve en toute hypothèse le droit d’exiger la tenue d’un procès.</t>
  </si>
  <si>
    <t>Des mesures conservatoires</t>
  </si>
  <si>
    <t>Lorsque le prévenu demande un procès, l’autorité peut le placer en geôle pour une durée n’excédant pas vingt-quatre (24) heures, le temps de prévenir un magistrat et d’organiser l’audience.
En lieu et place de cette mesure, ou à l’issue de quarante-huit (48) heures, un cautionnement doit être envisagé jusqu’au procès.</t>
  </si>
  <si>
    <t>De l’insolvabilité constatée sur le terrain</t>
  </si>
  <si>
    <t>Lorsqu’une personne ne peut acquitter une amende, d’autres moyens sont proposés : temps de cachot, travaux d’intérêt général ou confiscation de biens à hauteur de la somme due.
En cas de non-coopération, la majoration est de dix (10) septims et dix (10) minutes de cachot par manquement, dans la limite de cinq majorations. Au-delà de ce plafond, l’affaire est portée devant le juge.
Titre III — De l’audience</t>
  </si>
  <si>
    <t>Du déroulement</t>
  </si>
  <si>
    <t>Le juge dirige librement les débats. Les charges sont exposées, le prévenu répond, les parties présentent leurs arguments et leurs témoignages.</t>
  </si>
  <si>
    <t>De la police de l’audience</t>
  </si>
  <si>
    <t>Le juge assure l’ordre de l’audience. Il peut rappeler à l’ordre, faire taire, expulser temporairement, faire retenir par la Garde ou sanctionner toute personne troublant la Cour.
Le respect dû à la Cour garantit que preuves, témoignages et débats soient entendus sans intimidation ni tumulte.</t>
  </si>
  <si>
    <t>De la publicité et du huis clos</t>
  </si>
  <si>
    <t>Le jugement est public.
Le juge peut ordonner le huis clos à titre exceptionnel, par décision motivée, notamment lorsque la sécurité d’un témoin l’exige.</t>
  </si>
  <si>
    <t>De la parole finale</t>
  </si>
  <si>
    <t>Le prévenu ou son représentant a toujours la parole en dernier.</t>
  </si>
  <si>
    <t>De l’outrage à la Cour</t>
  </si>
  <si>
    <t>Sanction — amende, expulsion, cachot ou poursuite complémentaire selon la gravité.
Titre IV — Des preuves</t>
  </si>
  <si>
    <t>Tout manque de respect grave envers la Cour, le juge, le Jarl, la Garde ou un témoin placé sous protection judiciaire peut être sanctionné immédiatement par le juge.
Constituent un manque de respect grave : l’insulte, la menace, l’interruption volontaire et répétée des débats, ou tout acte d’intimidation envers la Cour, les parties ou les témoins.
La personne sanctionnée conserve le droit d’exiger la tenue d’un procès, sous réserve de la majoration prévue à l’article 26.
Sanction — amende, expulsion, cachot ou poursuite complémentaire selon la gravité.
Titre IV — Des preuves</t>
  </si>
  <si>
    <t>De la liberté de la preuve</t>
  </si>
  <si>
    <t>La preuve est libre. Le juge en apprécie la valeur selon la cohérence, la crédibilité et les circonstances.
Il peut recevoir, refuser ou ordonner la production de preuves, documents, registres, objets, témoignages, serments, constats de garde ou rapports d’autorité.
La Cour ne retient que les éléments utiles, lisibles, cohérents et obtenus sans tromperie manifeste.</t>
  </si>
  <si>
    <t>De la crédibilité des témoins</t>
  </si>
  <si>
    <t>Le juge tient compte de la crédibilité des témoins et de leur nombre, dans cet ordre décroissant : un noble selon son rang, un prêtre des Huit Divins, un membre de l’Empire, un membre de la Cour ou le capitaine de la Garde, un marchand établi connu, un citoyen, un voyageur, un condamné, un banni.
Il tient également compte du rang du témoin, de sa fonction, de son intérêt personnel dans l’affaire et de la cohérence de ses déclarations.</t>
  </si>
  <si>
    <t>De la valeur des preuves</t>
  </si>
  <si>
    <t>La valeur probatoire est déterminée comme suit :
aveu 	spontané : preuve absolue ;
flagrant 	délit : preuve très forte ;
deux 	témoins concordants : preuve pleine ;
réputation 	publique, témoin fiable unique ou preuve matérielle : demi-preuve 	;
ouï-dire 	: quart de preuve.</t>
  </si>
  <si>
    <t>De l’interrogatoire et de l’obstruction</t>
  </si>
  <si>
    <t>Le juge peut interroger l’accusé, l’accusation, la victime, les témoins et tout représentant utile à la manifestation de la vérité.
Constituent une obstruction : le refus persistant et sans motif légitime de répondre, le mensonge manifeste établi par les débats, la dissimulation ou la destruction de preuves, et toute manœuvre visant délibérément à empêcher la manifestation de la vérité.
L’obstruction peut être retenue contre la personne entendue et sanctionnée au titre de l’article 77 du Codex Judiciaire.
Titre V — Du jugement et des peines</t>
  </si>
  <si>
    <t>De la qualification des faits</t>
  </si>
  <si>
    <t>Le juge peut qualifier ou requalifier juridiquement les faits lorsque les éléments présentés ne correspondent pas exactement aux chefs annoncés par l’accusation.
La requalification intervient avant le verdict et ouvre un droit de réponse à la défense. La Cour juge les faits établis, non les seules paroles employées pour les nommer.</t>
  </si>
  <si>
    <t>De l’appréciation et du verdict</t>
  </si>
  <si>
    <t>Le juge statue selon son intime conviction.
Dans le cas d’une peine criminelle, il rédige un verdict public et motivé. Toute peine de mort est subordonnée à un tel verdict.</t>
  </si>
  <si>
    <t>Des mesures provisoires</t>
  </si>
  <si>
    <t>Avant jugement définitif, le juge peut ordonner une retenue temporaire, une saisie conservatoire, une interdiction d’approcher, une surveillance ou une présentation forcée devant la Cour.
La retenue temporaire ne peut excéder vingt-quatre (24) heures avant qu’un magistrat ne soit prévenu ; au-delà de quarante-huit (48) heures, un cautionnement doit être envisagé jusqu’au procès.</t>
  </si>
  <si>
    <t>Du cumul des peines</t>
  </si>
  <si>
    <t>Lorsque plusieurs chefs sont retenus, le juge peut cumuler amendes, travaux forcés, peines de cachot et sanctions complémentaires, sauf décision motivée de les réduire ou de les confondre.</t>
  </si>
  <si>
    <t>De l’aménagement des peines</t>
  </si>
  <si>
    <t>Le juge peut aménager une peine par échéancier, conversion partielle en travaux d’intérêt général, confiscation de biens, restitution ou réparation, lorsque l’exécution directe est impossible.
La peine doit demeurer exécutable tout en conservant son caractère juste et dissuasif.</t>
  </si>
  <si>
    <t>Du défaut de paiement</t>
  </si>
  <si>
    <t>À défaut de paiement d’une amende, le juge peut ordonner un temps supplémentaire de cachot, des travaux d’intérêt général ou la confiscation de biens à hauteur de la somme due.
Nul ne peut se soustraire à une peine pécuniaire par insolvabilité volontaire ou refus de coopérer.</t>
  </si>
  <si>
    <t>De l’exécution du jugement</t>
  </si>
  <si>
    <t>Le juge peut requérir la Garde, l’Intendance, les Gardes-Chasse ou toute autorité compétente pour faire exécuter ses décisions, saisir les biens, percevoir les amendes ou conduire le condamné au cachot.
La peine peut être exécutée immédiatement ou après un délai fixé par le juge.</t>
  </si>
  <si>
    <t>Du registre judiciaire</t>
  </si>
  <si>
    <t>Tout jugement rendu est inscrit au registre de la Cour, avec l’identité des parties, les chefs retenus, les preuves admises, la décision et les peines prononcées.
Le registre permet de constater la récidive, de prouver la décision et de conserver mémoire de la justice rendue.
Titre VI — Des garanties</t>
  </si>
  <si>
    <t>Du droit d’exiger un procès et de son abus</t>
  </si>
  <si>
    <t>Tout prévenu dispose du droit de se défendre, de demander un procès et de présenter des témoins.
En cas d’abus de ces droits, notamment procès fantasque, témoin imaginaire ou procédure dilatoire, la peine encourue peut être majorée. Cette décision relève de l’appréciation du juge et doit être motivée.</t>
  </si>
  <si>
    <t>De la loyauté de la procédure</t>
  </si>
  <si>
    <t>Toute procédure est conduite avec impartialité et dans le respect des lois.
Toute mesure exceptionnelle doit être justifiée par la nécessité de prévenir un trouble grave à l’ordre public.
Titre VII — Dispositions finales</t>
  </si>
  <si>
    <t>Le présent Codex s’applique sans préjudice de la primauté du droit impérial et des principes fixés par le Corpus Proceduralis Imperialis.</t>
  </si>
  <si>
    <t>Le présent Codex est interprété dans l’ordre de priorité fixé par le Corpus Proceduralis Imperialis : interprétation stricte, téléologique, historique et jurisprudentielle, systématique, puis analogique.</t>
  </si>
  <si>
    <t>De l’abrogation, de l’entrée en vigueur et de la publication</t>
  </si>
  <si>
    <t>Sont abrogées les dispositions relatives aux pouvoirs du juge de Blancherive ainsi que toute disposition procédurale antérieure contraire.
Le présent Codex entre en vigueur à compter de sa publication. Il est affiché à Fort-Dragon et consigné au registre de la Cour.
Fait à Blancherive, le __________________.
Le Jarl de Blancherive
Lucius Haldor
__________________________</t>
  </si>
  <si>
    <t>Corpus Juriscivilis Imperialis</t>
  </si>
  <si>
    <t>vvvvvvvvv
CORPUS JURISCIVILIS IMPERIALIS
Code Pénal Impérial de Bordeciel
PRÉAMBULE
Par l'autorité de l'Empereur de Tamriel, Seigneur de Cyrodiil et Souverain de tous les territoires impériaux, sur avis du Conseil des Anciens  et de  la Chancellerie Impérial de Bordeciel sous délégation du Gouverneur de Bordeciel:
Qu'il soit connu dans toutes les provinces, tous les comtés et tous les territoires soumis à la juridiction impériale que le présent Corpus Juriscivilis constitue le code pénal de référence du Gouvernement Impérial pour la province de Bordeciel.
Le présent Code s'applique à l'ensemble des citoyens, résidents, passants et sujets de l'Empire. Les châtelleries sont libres de promulguer des lois supplémentaires conformément à leurs coutumes, dans le respect des présentes dispositions.
Aucune coutume locale, ordonnance de fief ou privilège personnel ne peut prévaloir sur les dispositions du présent Code, sauf lorsque celui-ci accorde expressément un pouvoir discrétionnaire aux autorités locales.
L'ignorance de ces lois ne saurait constituer un moyen de défense devant aucun tribunal de l'Empire.
PRINCIPES GÉNÉRAUX
Constitution d’une infraction
Une infraction est constituée lorsque trois éléments sont réunis
• élément légal: l’acte est interdit par la loi
• élément matériel : l’acte a été commis ou tenté
• élément moral: la personne avait l’intention de commettre l’acte
Classification des infractions
Les infractions sont classées en trois catégories selon leur gravité :
• Contraventions : Infractions mineures. Amende simple ou travaux légers. Jusqu’à 500 septimes
• Délits : infractions de gravité moyenne. Amende élevée ou travaux forcés. Entre 500 et 2500 septimes
• Crimes : Infractions les plus graves. Amende forte, emprisonnement ou peine de mort.  Plus de 2500 septimes
Des sanctions
Toute juridiction impériale habilitée peut, selon les circonstances et la gravité des faits, prononcer les sanctions suivantes :
• Une amende ;
• Des travaux forcés ;
• Une peine d'emprisonnement ;
• La saisie des biens ;
• La peine de mort, dans les cas prévus par le présent Code.
En cas d'insolvabilité, l'amende peut être remplacée par des travaux forcés ou la saisie de biens.
TITRE I — CONTRAVENTIONS</t>
  </si>
  <si>
    <t>Usurpation d'identité [Contravention]</t>
  </si>
  <si>
    <t>Sanction : devient un délit si il s’agit d’une usurpation d’une qualité noble ou d’une fonction officielle</t>
  </si>
  <si>
    <t>Le fait de se faire passer pour autrui afin d'obtenir un avantage ou d'échapper à ses obligations.
Sanction : devient un délit si il s’agit d’une usurpation d’une qualité noble ou d’une fonction officielle</t>
  </si>
  <si>
    <t>Refus d'obtempérer [Contravention]</t>
  </si>
  <si>
    <t>Sanction : devient un délit si usage de violence, de magie ou de potions</t>
  </si>
  <si>
    <t>Le fait de se soustraire volontairement à un contrôle ou à une injonction d'un représentant de l'autorité publique.
Sanction : devient un délit si usage de violence, de magie ou de potions</t>
  </si>
  <si>
    <t>Atteinte à la paix de l’Empereur  [Contravention]</t>
  </si>
  <si>
    <t>Tout comportement perturbant la tranquillité ou la sécurité publique.</t>
  </si>
  <si>
    <t>Intrusion [Contravention]</t>
  </si>
  <si>
    <t>Sanction : devient un délit s’il s’agit d’une propriété publique (appartenant à l’Empire ou à une châtellenie)
TITRE II — DÉLITS</t>
  </si>
  <si>
    <t>Constitue une intrusion le fait de s’introduire ou de se maintenir dans une propriété privée, sans y avoir été invité ni autorisé par le propriétaire ou son représentant légal
Sanction : devient un délit s’il s’agit d’une propriété publique (appartenant à l’Empire ou à une châtellenie)
TITRE II — DÉLITS</t>
  </si>
  <si>
    <t>Violences et agressions [Délit]</t>
  </si>
  <si>
    <t>Constituent des violences ou agressions tous actes portant atteinte à l’intégrité physique d’une personne et ayant entraîné des blessures, contusions, incapacités ou séquelles.</t>
  </si>
  <si>
    <t>Vol, escroquerie [Délit]</t>
  </si>
  <si>
    <t>Sanction : Devient un crime si l’objet volé ou le service indu à une valeur particulièrement élevée, ou s’il s’agit d’un objet sous licence.</t>
  </si>
  <si>
    <t>Constitue un vol ou une escroquerie toute appropriation ou échange frauduleux d’un bien ou d’un service appartenant ou fourni par autrui.
Sanction : Devient un crime si l’objet volé ou le service indu à une valeur particulièrement élevée, ou s’il s’agit d’un objet sous licence.</t>
  </si>
  <si>
    <t>Recel  [Délit]</t>
  </si>
  <si>
    <t>Sanction : Devient un crime si l’objet en question à une valeur particulièrement élevée, ou s’il s’agit d’un objet sous licence.</t>
  </si>
  <si>
    <t>Constitue un recel le fait de transporter, détenir, commercialiser, transformer ou dissimuler un bien provenant d’une infraction, en ne pouvant ignorer raisonnablement son origine ou son statut illicite.
Sanction : Devient un crime si l’objet en question à une valeur particulièrement élevée, ou s’il s’agit d’un objet sous licence.</t>
  </si>
  <si>
    <t>Circonstances aggravantes [Aggravation]</t>
  </si>
  <si>
    <t>Les infractions prévues aux articles 5, 6 et 7 constituent un crime  lorsqu’elles sont commises soit :
•   	À main armée ou avec usage de magie ;
•   	En réunion (deux personnes ou plus) ;
•   	À l’encontre d’un représentant de l’Empire (administrateur, légionnaire ou garde Local) dans l’exercice de ses fonctions.
•   	En cas de mutilation</t>
  </si>
  <si>
    <t>Pratique de culte non autorisé  [Délit]</t>
  </si>
  <si>
    <t>Sanction : Devient un crime si le culte est daedrique et qu’il ne respecte pas la tolérance conditionnelle</t>
  </si>
  <si>
    <t>Le fait de pratiquer, organiser ou promouvoir un culte, un rituel ou une croyance religieuse non reconnue par l’Empire est interdit sur le territoire de Bordeciel.
Toutefois, certains cultes, y compris daedriques, peuvent faire l’objet d’une tolérance conditionnelle, dès lors que leur pratique ne porte atteinte ni à l’ordre public, ni à la sécurité des personnes, ni aux lois impériales.
Sont notamment tolérés les cultes dont les pratiques :
N’impliquent aucune violence, contrainte ou atteinte à l’intégrité physique ou mentale d’autrui ;
N’encouragent ni meurtre, ni sacrifice, ni crime, ni rébellion contre l’autorité impériale ;
Ne font pas usage de magie interdite, coercitive ou de rituels occultes dangereux (notamment pactes de sang ou invocations instables) ;
Ne troublent pas la paix publique ou ne provoquent pas de désordre manifeste.
La simple possession d’objets, symboles ou reliques liés à un culte toléré ne constitue pas une infraction.
En revanche, toute pratique cultuelle, devient illicite et constitue un délit dès lors qu’elle contrevient aux conditions ci-dessus.
Sanction : Devient un crime si le culte est daedrique et qu’il ne respecte pas la tolérance conditionnelle</t>
  </si>
  <si>
    <t>Profanation  [Délit]</t>
  </si>
  <si>
    <t>Sanction : Devient un crime si le motif est daedrique</t>
  </si>
  <si>
    <t>Le fait de porter atteinte au caractère sacré d’un lieu, d’un objet, d’une sépulture, d’un office religieux ou d’une personne en raison de son
appartenance religieuse
Sanction : Devient un crime si le motif est daedrique</t>
  </si>
  <si>
    <t>Usage de magie non autorisé  [Délit]</t>
  </si>
  <si>
    <t>Sanction : Devient un crime en cas d’usage dangereux, offensif, coercitif ou ayant causé un trouble grave à l’ordre public, des blessures ou des
dommages matériels.
TITRE III — CRIMES</t>
  </si>
  <si>
    <t>Le fait d’user, de pratiquer ou de recourir à une forme de magie sans y être autorisé par les lois, règlements ou décrets impériaux en vigueur au
au sein de la province.
Parce qu'elle est jugée comme inhumaine par essence, l’utilisation et la maîtrise de la  magie de la foudre constitue un crime.
Sanction : Devient un crime en cas d’usage dangereux, offensif, coercitif ou ayant causé un trouble grave à l’ordre public, des blessures ou des
dommages matériels.
TITRE III — CRIMES</t>
  </si>
  <si>
    <t>Meurtre [Crime]</t>
  </si>
  <si>
    <t>Constitue un meurtre tout acte ayant entraîné la mort d’autrui.
 Ne peuvent être qualifiés de meurtre les décès résultants :
•   	D’une guerre déclarée, d’une bataille légitime, d’une rébellion ;
•   	D’un usage légitime et proportionné de la force par les autorités ;
•   	D’une exécution judiciaire régulière ;
•   	D’une injonction impériale expresse.
•   	D'un duel légal consenti</t>
  </si>
  <si>
    <t>Assassinat  [Crime]</t>
  </si>
  <si>
    <t>Constitue un assassinat tout meurtre commis avec préméditation. La préméditation suppose une préparation et une réflexion préalable.
L’assassinat est puni plus sévèrement que le meurtre simple.</t>
  </si>
  <si>
    <t>Torture, sequestration  [Crime]</t>
  </si>
  <si>
    <t>Constitue une séquestration le fait de retenir, détenir, conduire ou maintenir une personne contre son gré, sans base légale ni autorisation de l’autorité compétente.
Constitue un acte de torture tout acte de barbarie, mutilation, violence extrême ou souffrance délibérée infligé à une personne séquestrée.</t>
  </si>
  <si>
    <t>Evasion  [Crime]</t>
  </si>
  <si>
    <t>Constitue une évasion le fait, pour une personne placée sous garde ou sous contrainte judiciaire, de se soustraire à la surveillance ou à la mesure
qui lui est imposée.</t>
  </si>
  <si>
    <t>Créatures profanes et abominations [Crime]</t>
  </si>
  <si>
    <t>Est qualifiée de créature profane ou abomination toute entité dont la nature est issue, altérée ou corrompue par des forces daedriques, obscures
ou contre-nature, notamment les vampires, les lycanthropes et toute créature assimilée.
Le fait, pour une telle créature, de se maintenir parmi les populations civiles constitue une menace pour l’ordre public et la sécurité de l’Empire.</t>
  </si>
  <si>
    <t>Abus de pouvoir et corruption  [Crime]</t>
  </si>
  <si>
    <t>Le fait, pour toute personne investie d’une autorité publique, d’un pouvoir ou d’une fonction, d’en user de manière détournée, excessive ou
illégitime à des fins personnelles, ou de solliciter, accepter ou offrir un avantage en vue d’influencer une décision, une action ou une omission
relevant de ses fonctions.
Corpus Juriscivilis Imperialis — Code Pénal Impérial de Bordeciel
Note HRP
Dans le cadre des qualifications juridiques utilisées sur le serveur, dans un souci d’équité :
Un PK (Player Kill) est assimilé aux infractions de violence ou agression.
Un CK (Character Kill) est assimilé aux infractions de meurtre ou assassinat.</t>
  </si>
  <si>
    <t>Code de la Noblesse en Bordeciel</t>
  </si>
  <si>
    <t>DE RE NOBILITATIS
Code de la noblesse de Bordeciel
PRÉAMBULE
Par l'autorité de l'Empereur de Tamriel, Seigneur de Cyrodiil et Souverain de tous les territoires impériaux, sur avis du Conseil des Anciens  et de  la Chancellerie Impériale de Bordeciel sous délégation du Gouverneur de Bordeciel:
Qu'il soit connu dans toutes les provinces, tous les comtés et tous les territoires soumis à la juridiction impériale que le présent Code constitue la législation de référence du Gouvernement Impérial en matière de noblesse.
Le présent Code s'applique à l'ensemble des nobles reconnus par l'Empire. Les châtelleries sont libres de promulguer des règlements supplémentaires conformément à leurs coutumes, dans le respect des présentes dispositions.
Aucune coutume locale, ordonnance de fief ou privilège personnel ne peut prévaloir sur les dispositions du présent Code, sauf lorsque celui-ci accorde expressément un pouvoir discrétionnaire aux autorités locales.
L'ignorance de ces lois ne saurait constituer un moyen de défense devant aucun tribunal de l'Empire.
TITRE I — DE LA NOBLESSE</t>
  </si>
  <si>
    <t>De la Noblesse</t>
  </si>
  <si>
    <t>Nul ne peut se prévaloir d'un titre de noblesse s'il n'est pas inscrit dans le Registre officiel. Il doit officiellement se présenter pour vérifier son titre, si une autorité le lui demande, dans le cas contraire il ne pourra être traité comme un noble.
L'Empire et les Châtelleries tiennent chacun leur propre registre répertoriant le nom, le titre et la lignée de tous les nobles reconnus. Ce registre doit être public pour être opposable.</t>
  </si>
  <si>
    <t>Anoblissement</t>
  </si>
  <si>
    <t>Seuls peuvent conférer un titre de noblesse au sein de l’Empire, en Bordeciel, le Haut Roi ou la Haute Reine, les Jarls, les assemblées gouvernantes reconnues, ainsi que le Gouverneur Impérial.
Le nombre d’anoblissements est strictement limité à un (1) par mois et par châtellerie, est exclu de cette limitation le Gouverneur concernant la noblesse de droit.
Tout anoblissement doit obligatoirement faire l’objet d’une cérémonie publique. Il doit être consigné dans le registre officiel de la châtellerie concernée et porté à la connaissance des administrés.
Tout noble nouvellement anoblie peut étendre son statut à sa famille selon les modalités suivantes :
 Il lui est permis de désigner un (1) membres de sa famille, liés par le sang, afin qu’ils bénéficient du statut de noble par filiation.
Par ailleurs, toute personne unie par mariage à un noble reconnu peut acquérir le statut de noble consort. Ce statut est automatiquement révoqué en cas de dissolution du mariage.
Les personnes bénéficiant de la noblesse par lien du sang ou par consort doivent obligatoirement se déclarer et être inscrites au registre officiel pour que leur statut soit reconnu.</t>
  </si>
  <si>
    <t>Droits et Privilèges</t>
  </si>
  <si>
    <t>Les membres de la noblesse impériale bénéficient d’un droit au privilège de représentation devant les juridictions de l’Empire, d’un droit d’audience prioritaire ainsi que d’une présomption de crédibilité accrue dans le cadre des procédures les concernant. Ainsi que du droit d’avoir et d’entretenir une cour.</t>
  </si>
  <si>
    <t>Devoirs et Obligations</t>
  </si>
  <si>
    <t>Tout membre de la noblesse impériale est tenu à un devoir de fidélité envers l’Empire, ainsi qu’envers le Haut Roi ou la Haute Reine, et le Jarl dont il relève.
Il est également tenu de remplir les obligations inhérentes à son rang, notamment de soutenir et défendre son Jarl, sauf lorsqu’il relève directement de l’administration impériale, de s’acquitter des impôts qui lui incombent, et de répondre à toute convocation judiciaire en se présentant devant la justice dans un délai raisonnable.
Tout manquement à ces devoirs et obligations peut entraîner une sanction pouvant aller jusqu’à une amende de cinq mille (5000) septims, cumulée, le cas échéant, avec le remboursement des sommes dues, ainsi qu’un bannissement temporaire ou définitif des terres relevant de sa juridiction.</t>
  </si>
  <si>
    <t>Noble de droit</t>
  </si>
  <si>
    <t>Sont reconnus comme nobles de droit, du seul fait de leur charge et pour toute la durée de son exercice :
le Haut Roi ou la Haute Reine, les Jarls, les Thanes, les Seigneurs, le Gouverneur et le Vice-Gouverneur, le Légat, le Consul, les Tribuns, le Grand Chancelier Impérial, le Grand Émissaire Impérial, le Grand Argentier Impérial, tout représentant d’une assemblée gouvernante dûment consacré par le Gouverneur, le Héraut des Compagnons, l’archimage ainsi que les Huscarls.
La qualité de noble de droit est strictement attachée à l’exercice de la fonction. Elle est acquise dès la nomination effective à ladite charge et cesse immédiatement lorsque celle-ci n’est plus exercée.
Toutefois, toute personne ayant bénéficié de la noblesse de droit et ayant fait l’objet d’un anoblissement formel, antérieurement ou durant l’exercice de ses fonctions, conserve de manière permanente la qualité de noble après la cessation de celles-ci.
Tout titre ou fonction ne figurant pas expressément dans la présente disposition ne saurait conférer la qualité de noble au regard du droit impérial.</t>
  </si>
  <si>
    <t>Classification de la Noblesse</t>
  </si>
  <si>
    <t>La noblesse impériale est structurée en trois ordres distincts.
Relèvent de la petite noblesse : les Huscarls, les Seigneurs, les Thanes, les représentants d’assemblées gouvernantes reconnus, les Tribuns, le Grand Chancelier Impérial ainsi que le Grand Émissaire Impérial.
Relèvent de la moyenne noblesse : les Légats, les Consuls, les Jarls, le Héraut des Compagnons, l’archimage
Relèvent de la haute noblesse : le Haut Roi ou la Haute Reine, le Gouverneur Impérial ainsi que le Vice-Gouverneur.
Dans le cadre des procédures judiciaires, et en l’absence de preuves matérielles tangibles, la parole d’un noble voit sa crédibilité appréciée à proportion de son rang au sein de la hiérarchie nobiliaire.
TITRE II — DE LA PROCÉDURE PARTICULIÈRE</t>
  </si>
  <si>
    <t>Soumission à la Loi</t>
  </si>
  <si>
    <t>L’ensemble des lois impériales ainsi que les lois et coutumes locales s'appliquent pleinement à la noblesse selon les dispositions du présent code.</t>
  </si>
  <si>
    <t>Infractions Mineures</t>
  </si>
  <si>
    <t>Dans un souci de stabilité des charges et de continuité de l’autorité nobiliaire, les contraventions ainsi que les délits prévus  dans le Corpus Juriscivilis, et par extension des législations locales équivalentes, ne peuvent donner lieu à des poursuites à l’encontre d’un noble lorsqu’ils constituent un fait isolé sur une période de sept jours.
Toute infraction isolée au cours de cette période est réputée éteinte et ne peut donner lieu à aucune action ultérieure, a part si elle est suivie d’une nouvelle infraction de même nature dans cette période, auquel cas le noble peut être poursuivi.</t>
  </si>
  <si>
    <t>Amende Favorables</t>
  </si>
  <si>
    <t>Lorsqu'un noble est déclaré coupable d’une infraction commune, il doit toujours se voir proposer une amende, sauf en cas de crime de sang.</t>
  </si>
  <si>
    <t>Les Sanctions</t>
  </si>
  <si>
    <t>Les membres de la noblesse ne peuvent se voir appliquer que les sanctions expressément prévues par le présent code.
À ce titre, les peines susceptibles d’être prononcées à leur encontre sont l’amende, le bannissement temporaire ou définitif, la peine d’emprisonnement, la déchéance du titre nobiliaire, ainsi que, dans les cas les plus graves, la mise à mort honorable.</t>
  </si>
  <si>
    <t>Déchéance</t>
  </si>
  <si>
    <t>La déchéance ne peut intervenir que dans le cadre d'une violation des articles 10, 11, 12 et 14 du codex penitus imperialis.</t>
  </si>
  <si>
    <t>Prononcé des Peines</t>
  </si>
  <si>
    <t>Les peines privatives de liberté, de mort ainsi que les mesures de déchéance nobiliaire ne peuvent être prononcées qu’à l’issue d’une décision conjointe.
Cette décision doit être prise avec l’accord de l’autorité souveraine du noble visé (Jarl ou consul), dans le cas d’absence d’accord, le Haut-Roi s’il s’agit d’un noble local ou le Gouverneur pour un noble impérial décident.
En toute hypothèse, ces sanctions ne peuvent être prononcées que s’il est établi avec certitude qu’elles ne portent atteinte ni à l’autorité de l’Empire, ni à la stabilité de la région concernée.
Un noble qui serait condamné à mort dispose toujours du droit d'exprimer ses dernières volontés. Elles peuvent être testamentaires.
DISPOSITION PARTICULIÈRE</t>
  </si>
  <si>
    <t>Statut des Émissaires du Domaine Aldmeri</t>
  </si>
  <si>
    <t>Le Premier Émissaire et le Second Émissaire du Thalmor, en raison de leur statut diplomatique et de leur représentation officielle du Domaine Aldmeri sur le territoire de Bordeciel, sont reconnus comme nobles de droit au sens du présent Code pour toute la durée de leur mission.
À ce titre, ils sont assimilés à la haute noblesse impériale et bénéficient de l’ensemble des droits, privilèges et garanties attachés à ce rang, notamment en matière de procédure, de représentation et de crédibilité.
Toutefois, par dérogation expresse :
Ils ne disposent d’aucune prérogative en matière d’adoubement ou d’anoblissement telle que prévue à l’article 2 du présent Code ;
Ils ne sont pas soumis au devoir de fidélité envers l’Empire, le Haut Roi ou les autorités locales tel que prévu à l’article 4.
Leur statut est strictement limité à l’exercice de leurs fonctions diplomatiques et ne saurait être interprété comme une intégration à la hiérarchie nobiliaire impériale en dehors de ce cadre.
Procédure exceptionnelle — Haut Roi ou Gouverneur accusé
En cas d'accusation portée contre le Haut Roi ou la Haute Reine, une procédure exceptionnelle est mise en place :
L'affaire est portée devant l'assemblée des Jarls, en présence du Gouverneur Impérial (ou du Consul dans le cas où c’est ce dernier qui est accusé), l’assemblée est présidé par le Chancelier Impérial qui délibèrent conjointement de façon exceptionnelle de comment seras conduite la procédure
Code de la noblesse impériale de Bordeciel</t>
  </si>
  <si>
    <t>Corpus Proceduralis Imperialis</t>
  </si>
  <si>
    <t>CORPUS PROCEDURALIS IMPERIALIS
Code de Procédure Pénale de la Province de Bordeciel
PRÉAMBULE
Promulgué par l'autorité de l'Empereur de Tamriel,
Sur avis du Conseil des Anciens et de  la Chancellerie Impérial de Bordeciel sous délégation du Gouverneur de Bordeciel,
Le présent Corpus fixe les principes communs applicables aux procédures pénales en Bordeciel, dans le respect des prérogatives des châtelleries et de l'autorité impériale.
Toute juridiction habilitée à rendre la justice peut, selon les circonstances, la gravité des faits et la personnalité de l'auteur, prononcer : une amende ; une peine privative de liberté ; des travaux forcés ; la peine de mort, dans les limites et conditions fixées par le présent Code.
DÉFINITIONS
Tentative
La tentative est constituée dès lors que, manifestée par un commencement d'exécution, elle n’ a pas été suspendue ou a manqué son effet. La tentative est sanctionnée pareillement que la commission.
Complicité
Est complice quiconque sciemment, par aide ou assistance, a facilité la préparation ou la consommation d'une infraction. Est également complice quiconque par don, promesse, menace, ordre, abus d'autorité ou de pouvoir aura provoqué une infraction ou omis de dénoncer ce dont il a pu être témoin. La complicité est sanctionnée pareillement que l’auteur.
Récidive
En cas de récidive, la peine encourue est multipliée par deux. La récidive est comptabilisée à compter du jour de la dernière condamnation.
Présomption de culpabilité
Sauf décision contraire du Gouverneur ou d'un magistrat impérial, la présomption de culpabilité s'applique à l'ensemble des infractions prévues au présent Code. Il appartient à l'auteur présumé de démontrer l'absence d'éléments constitutifs de l'infraction.
De la constitution d’une infraction
Une infraction ne peut être retenue que si trois éléments sont réunis :
Un élément légal : un texte de loi prévoit et interdit le comportement en cause.
Un élément matériel : un acte ou un fait concret a été commis.
Un élément moral : l’auteur a agi volontairement ou en connaissance de cause.
À défaut de l’un de ces éléments, aucune infraction ne peut être constituée.
I – PRINCIPES GÉNÉRAUX</t>
  </si>
  <si>
    <t>Répartition des compétences</t>
  </si>
  <si>
    <t>Les infractions aux Leges Imperiales relèvent prioritairement de l'autorité impériale.
Les infractions aux lois locales relèvent des juridictions des châtelleries. Les autorités locales peuvent juger les infractions impériales, sous réserve du droit pour une autorité impériale de se saisir de la procédure si nécessaire.</t>
  </si>
  <si>
    <t>Autonomie des châtelleries</t>
  </si>
  <si>
    <t>Chaque châtellerie conserve la liberté d'organiser ses procédures locales, sous réserve du respect des principes du présent corpus et de la primauté du droit impérial.</t>
  </si>
  <si>
    <t>Autorités compétentes</t>
  </si>
  <si>
    <t>Sont habilités à agir : les gardes, magistrats, Jarls, membres de la Légion, autorités impériales et toute personne dûment mandatée.</t>
  </si>
  <si>
    <t>Droits fondamentaux</t>
  </si>
  <si>
    <t>Tout prévenu dispose :
    •  du droit de se défendre;
    •  du droit de demander un procès ;
    •  du droit de présenter des témoins.
En cas d’abus de ses droits, notamment dans le cas de procès fantasques, de témoin imaginaire ou de procédure dilatoire, la peine prévue pourra être majorée. Cette décision est laissée à l’appréciation du magistrat, elle devra être motivée.
II – DE L'ARRESTATION</t>
  </si>
  <si>
    <t>Flagrance</t>
  </si>
  <si>
    <t>Toute autorité peut procéder à une arrestation immédiate en cas de flagrant délit ou de suspicion sérieuse.</t>
  </si>
  <si>
    <t>Obligation d'obtempérer</t>
  </si>
  <si>
    <t>Toute personne doit se soumettre aux injonctions d'une autorité légitime.
III – DE LA PROCÉDURE SIMPLIFIÉE</t>
  </si>
  <si>
    <t>Traitement immédiat</t>
  </si>
  <si>
    <t>Pour les infractions mineures, l'autorité peut prononcer directement une sanction sans procès. Le prévenu conserve le droit d'exiger la tenue d'un procès, sans méconnaitre l’abus visé à l’article 4.</t>
  </si>
  <si>
    <t>Mesure conservatoire</t>
  </si>
  <si>
    <t>Dans le cas où le prévenu demande un procès, l’autorité peut placer le prévenu en geôle durant une période ne pouvant excéder vingt-quatre  (24) heures le temps de prévenir un magistrat pour organiser le procès. En lieu et place ou à l'issue des 48h un cautionnement peut être mis en place jusqu’au procès.
IV – DU PROCÈS</t>
  </si>
  <si>
    <t>Déroulement</t>
  </si>
  <si>
    <t>Le magistrat dirige librement les débats. Les charges sont exposées, le prévenu répond, et les parties présentent leurs arguments et témoignages. Le jugement est public, mais il peut être tenue à huis clos exceptionnellement si le magistrat a des raisons de le motiver.</t>
  </si>
  <si>
    <t>Parole finale</t>
  </si>
  <si>
    <t>Le prévenu ou son représentant a toujours la parole en dernier.
V – DES PREUVES</t>
  </si>
  <si>
    <t>Liberté de la preuve</t>
  </si>
  <si>
    <t>La preuve est libre. Le magistrat apprécie la valeur des éléments présentés selon leur cohérence, leur crédibilité et les circonstances.</t>
  </si>
  <si>
    <t>Crédibilité des témoins</t>
  </si>
  <si>
    <t>Le magistrat doit tenir compte de la crédibilité des témoins &amp; de leurs nombres. Dans cet ordre décroissant : un noble (selons son rang), un prêtre des 8 divins, un membre de l’empire, un membre de la cour ou le capitaine de la garde local, un marchand établi connu, un citoyen, un voyageur, un condamné, un banni. Il doit être tenu compte de leurs rang, de leurs intérêts personnels dans l’affaire, de la cohérence de leurs propos.</t>
  </si>
  <si>
    <t>La valeur des preuves</t>
  </si>
  <si>
    <t>L’aveu spontané est une preuve absolue ; le flagrant délit est une preuve très forte ; deux témoins concordant est une preuve pleine ; la réputation publique ou un seul témoin fiable ou une preuve materiel constitue une demi-preuve ; l’ouie dire constitue un quart de preuve.
VI – DU JUGEMENT</t>
  </si>
  <si>
    <t>Appréciation</t>
  </si>
  <si>
    <t>Le magistrat statue selon son intime conviction. Dans le cas d’une peine criminelle, le magistrat doit rédiger un verdict public avec ses motivations.</t>
  </si>
  <si>
    <t>Exécution</t>
  </si>
  <si>
    <t>La peine peut être exécutée immédiatement ou après un délai fixé par le magistrat.
VII – GARANTIES ET ÉQUILIBRE</t>
  </si>
  <si>
    <t>Loyauté</t>
  </si>
  <si>
    <t>Toute procédure doit être conduite avec impartialité et dans le respect des lois.</t>
  </si>
  <si>
    <t>Mesures exceptionnelles</t>
  </si>
  <si>
    <t>Toute mesure exceptionnelle doit être justifiée par la nécessité de prévenir un trouble grave à l'ordre public.
VIII – DISPOSITIONS FINALES</t>
  </si>
  <si>
    <t>Esprit du corpus</t>
  </si>
  <si>
    <t>Le présent code fixe un cadre commun destiné à garantir :
    •  l'autorité de l'Empire ;
    •  le respect des juridictions locales ;
    •  une justice accessible et efficace pour les justiciables.
 Il peut être complété par des dispositions propres à chaque châtellerie, dans le respect de ces principes.</t>
  </si>
  <si>
    <t>Interprétation</t>
  </si>
  <si>
    <t>Lorsque la loi n’est pas claire, les magistrats impériaux veillent à l'interprétation cohérente de l’ensemble des textes de loi. Il doivent interpréter dans cette ordre de priorité :
interprétation stricto sensu, interprétation téléologique,  interprétation historique et jurisprudentielle, interprétation systématique, interprétation analogique.
Corpus Proceduralis Imperialis — Code de Procécdure Penal de Bordeciel</t>
  </si>
  <si>
    <t>Justicia Militaris</t>
  </si>
  <si>
    <t>JUSTICIA MILITARIS
Code de Justice Militaire de Bordeciel
PRÉAMBULE
Le présent Code de justice militaire s'applique à l'ensemble des légionnaires en service. Aucun légionnaire ne peut, dans l'exercice de ses fonctions, se voir appliquer les dispositions du Corpus Juriscivilis. Il est établi que tout membre de la Légion Impériale, ainsi que de ses corps administratifs, agissant dans le cadre de ses fonctions, relève exclusivement de la juridiction militaire telle que définie par le présent Code. Les lois locales ne sauraient avoir compétence sur la conduite des membres de la légion.
En conséquence, aucun légionnaire ne peut être poursuivi ni jugé sur le fondement du Corpus Juriscivilis Imperialis pour des faits commis dans l’exercice de ses fonctions, sauf disposition expresse contraire prévue par les lois impériales.
Cette compétence juridictionnelle demeure applicable même lorsque l’intéressé a quitté ses fonctions, dès lors que les faits reprochés ont été commis durant son service au sein de la Légion.
Le légionnaire, dans l’exercice de ses fonctions, n’est donc soumis qu’aux dispositions du présent Code, qui constitue la seule référence légale en matière de discipline, de responsabilité et de sanction au sein de l’institution militaire impériale.
Article préliminaire 1 -- Principes et Jugement
Les sanctions sont prononcées par les juridictions militaires en fonction de la nature et de la gravité des faits, ainsi qu'au regard des circonstances atténuantes et aggravantes de l'affaire. Le mis en cause est présumé coupable jusqu'à la production de preuves contraires par ses soins. Il lui appartient d'apporter la démonstration de son innocence ou des éléments de nature à atténuer sa responsabilité. Seuls les témoignages des officiers d'un grade égal ou supérieur à celui de centurion font foi devant les Tribunaux Martiaux, sauf si la juridiction décide, par décision motivée, d'admettre d'autres modes de preuve en raison de circonstances exceptionnelles.
Article préliminaire 2 -- Les Sanctions
Les juges disposent d'une large marge d'appréciation afin d'adapter la sanction à chaque situation particulière, dans le respect des principes de proportionnalité et d'équité militaire. Le présent Code prévoit les sanctions suivantes, qui peuvent être prononcées seules ou cumulées :
1. Le rappel solennel au Code de Conduite de la Légion Impériale ;
2. La mise à pied ;
3. La réaffectation sur un poste ou une unité d'un niveau inférieur ;
4. La rétrogradation d'un ou plusieurs grades ;
5. La mise aux arrêts (simples ou de rigueur) ;
6. La privation totale ou partielle de solde et primes pour une durée ne pouvant excéder deux semaines ;
7. Mutation hors de Bordeciel (équivalent mort RP)
8. L'exclusion définitive de la Légion (radiation des rangs) ;
9. La peine de mort.
TITRE I - DES DEVOIRS</t>
  </si>
  <si>
    <t>- Insubordination</t>
  </si>
  <si>
    <t>Le fait de désobéir délibérément ou de manifester ouvertement son mépris à l'égard d'un ordre légitime donné par un supérieur hiérarchique.</t>
  </si>
  <si>
    <t>- Désertion</t>
  </si>
  <si>
    <t>Tout abandon de poste, de mission ou tout retrait volontaire, définitif ou temporaire, de l'effectif impérial par un membre de la Légion constitue le crime de désertion.</t>
  </si>
  <si>
    <t>- Vol</t>
  </si>
  <si>
    <t>Le fait de s'approprier un bien ne lui appartenant pas, sans ordre exprès donner dans le cadre d'une mission bien précise.</t>
  </si>
  <si>
    <t>- Séquestration et prise d'otage</t>
  </si>
  <si>
    <t>Constitue une séquestration ou une prise d'otages le fait de détenir, transporter ou priver arbitrairement de liberté une personne contre son gré, par quelque moyen que ce soit sans ordre adéquat ne poursuivant aucune mission légitime.</t>
  </si>
  <si>
    <t>- Meurtre</t>
  </si>
  <si>
    <t>Toute atteinte à la vie d'autrui ayant un caractère irréversible, commise par un membre de la Légion en dehors du service et hors du cadre strict de sa mission et des ordres qui lui ont été transmis, est qualifiée de meurtre. ((CK))</t>
  </si>
  <si>
    <t>- Pillage et vol</t>
  </si>
  <si>
    <t>Le fait, pour un membre de la Légion, de s'approprier indûment les biens d'autrui, qu'ils appartiennent à un civil ou à un autre Légionnaire, sans ordre de mission ni autorisation expresse d'un officier supérieur du grade de centurion ou d'un grade supérieur, constitue le délit de vol ou le crime de pillage, selon la nature, les circonstances et la gravité des faits.</t>
  </si>
  <si>
    <t>- Agression sur un autre légionnaire</t>
  </si>
  <si>
    <t>Le fait d'agresser physiquement ou verbalement un autre membre de la Légion.</t>
  </si>
  <si>
    <t>- Usurpation de grade</t>
  </si>
  <si>
    <t>Le fait pour un légionnaire d'utiliser de l'équipement d'un grade supérieur ou de se présenter comme étant titulaire d'un grade qui n'est pas le sien.</t>
  </si>
  <si>
    <t>- Mutinerie</t>
  </si>
  <si>
    <t>Lorsque la désobéissance délibérée définie à l'article 1 résulte d'une action concertée de plusieurs Légionnaires ligués contre leur hiérarchie, les faits sont qualifiés de mutinerie et réprimés avec une sévérité aggravée.</t>
  </si>
  <si>
    <t>- Trahison</t>
  </si>
  <si>
    <t>Le fait de tromper, mentir à sa hiérarchie ou à ses camarades, de divulguer délibérément des informations concernant les positions de troupes, les détails des fortifications, les voies d'approvisionnement, les plans tactiques ou tout autre renseignement militaire, que ce soit par communication directe, par négligence délibérée ou par cession à la contrainte sans avoir épuisé tous les moyens honorables de résistance.
TITRE II - DROIT</t>
  </si>
  <si>
    <t>- Prérogative de fonction</t>
  </si>
  <si>
    <t>Nul ne peut fouiller ou ordonner la restitution d'objet, de somme, si ce n'est le supérieur hiérarchique du légionnaire.</t>
  </si>
  <si>
    <t>- Citoyenneté</t>
  </si>
  <si>
    <t>L'engagement au sein de la Légion procure un droit de citoyenneté général</t>
  </si>
  <si>
    <t>- Fouille</t>
  </si>
  <si>
    <t>Dans le cadre d'une mission de maintien de l'ordre, la Légion est habilitée à procéder à la vérification de l'identité des individus, la fouille, y compris sur la garde locale.</t>
  </si>
  <si>
    <t>- De la violence légitime</t>
  </si>
  <si>
    <t>1. Tout légionnaire est habilité, dans le cadre du maintien de l'ordre et lorsque le dialogue est rompu, à recourir à la violence légitime sans intention de donner la mort, afin d'assurer : La dispersion des attroupements ; L'exécution d'une injonction légale.
2. Le présent article ne s'applique ni entre légionnaires, ni à l'encontre des membres du Penitus Occulatus ou des hauts dignitaires de l'administration centrale. Un légionnaire peut néanmoins faire usage de la violence légitime à l'égard des factions ennemies ainsi que des gardes locales dans l'exercice d'une mission qui lui est confiée.
3. À défaut de respecter les conditions prévues au présent article, les magistrats pourront requalifier la violence en acte illégitime, entraînant l'application de l'infraction et de la sanction prévue dans le corpus juris civilis
TITRE III – DE LA COUR MARTIALE</t>
  </si>
  <si>
    <t>Arrestation et mise aux arrêts</t>
  </si>
  <si>
    <t>Tout légionnaire ne peut être arrêté, placé aux arrêts ou faire l’objet d’une mesure de contrainte que par décision d’un supérieur hiérarchique, et uniquement dans le cas où il est accusé d’une infraction prévue par le présent Code.</t>
  </si>
  <si>
    <t>Mesures provisoires</t>
  </si>
  <si>
    <t>Dans l’attente de son jugement, le légionnaire peut être placé en geôle militaire ou faire l’objet d’une suspension temporaire de ses fonctions, selon la gravité des faits reprochés et les nécessités du service.</t>
  </si>
  <si>
    <t>Juridiction compétente</t>
  </si>
  <si>
    <t>Le jugement des infractions relevant du présent Code est assuré par une juridiction militaire présidée par un officier supérieur ayant rang de tribun, de légat ou de préfet.
La juridiction siège en présence d’un magistrat impérial, agissant à titre consultatif afin d’éclairer la procédure et de garantir la bonne application du droit. Toutefois, la décision finale appartient exclusivement à l’autorité militaire présidant l’audience.</t>
  </si>
  <si>
    <t>Droits de la défense</t>
  </si>
  <si>
    <t>Dans le cadre de la procédure militaire, le légionnaire mis en cause dispose du droit de se défendre.
Il peut, à ce titre, présenter tout moyen de preuve qu’il estime utile à sa défense, sous réserve de leur recevabilité appréciée par la juridiction militaire. Et il a la parole en dernier lors de l’audience.
Code Militaire -- Justice Militaire de Bordeciel</t>
  </si>
  <si>
    <t>Codex Pænitus Imperialis</t>
  </si>
  <si>
    <t>Codex Penitus Imperialis
Code de protection de l’Autorité impériale directe en Bordeciel
PRÉAMBULE
Le présent code a pour objet de garantir la sûreté de l’Empire dans ses provinces, de protéger ses représentants directs, ses forces armées, ses agents de renseignement, ainsi que l’exécution de ses missions, ordres, archives et intérêts.
Il réprime toute atteinte portée à l’autorité impériale directe ; la connaissance et le jugement des infractions qu’il prévoit relèvent exclusivement des juridictions impériales.
Eu égard au statut particulier de la noblesse impériale, aucune déchéance, destitution ou privation durable de droits nobiliaires ne saurait être prononcée sur le seul fondement du présent code, ces matières relevant du Code de la Noblesse.
TITRE I — Dispositions générales
Art.1 — Objet du code
Le présent code s’applique aux atteintes portées : à l’Empereur et à son autorité directe ; aux représentants impériaux mandatés par le pouvoir central ; aux forces de la Légion impériale ; aux services impériaux de renseignement, d’enquête ou d’intelligence ;
Art.2 — Représentants impériaux protégés
Sont considérés comme représentants impériaux au sens du présent code :
l’Empereur ; Les membres du Conseil des Anciens ; les membres de la Légion Impériale ; les membres de l’administration impériale centrale ; les agents du Penitus Oculatus ; les envoyés, collecteurs, enquêteurs et fonctionnaires agissant par mandat impérial direct.
Art.3 — Exclusion des autorités locales
Ne sont pas considérés comme représentants impériaux au sens du présent code : les jarls ; les thanes ; les chefs de maison nobles ; les conseils locaux ; les autorités coutumières des provinces qui composent l’Empire ; les officiers ou gardes relevant exclusivement d’un pouvoir local.
Leur qualité de vassaux, d’alliés ou d’autorités reconnues par l’Empire ne suffit pas à les faire entrer dans le champ de protection du présent code.
Art.4 — Principe de non-ingérence
Le présent code ne peut être utilisé pour intervenir dans les conflits vassaliques ne visant pas directement l’Empire ; l’exercice ordinaire de l’autorité d’un jarl ; les différends coutumiers ou seigneuriaux ne visant pas directement l’Empire. L’intervention impériale n’est recevable que lorsqu’une atteinte grave et manifeste infraction à ce présent code est caractérisée à l’égard de l’autorité impériale centrale selon les dispositions du présent code.
TITRE II — Des infractions contre l’Autorité impériale directe
Art.5 — Lèse-majesté impériale
Commet une lèse-majesté quiconque, par acte grave, porte atteinte à la dignité, à la légitimité ou à l’autorité de l’Empire central, notamment en : appelant publiquement à la chute de l’Empire ; usurpant une fonction impériale centrale ; falsifiant un ordre, un décret, un mandat ou un sceau impérial ; diffusant de faux ordres impériaux ;
Art.6 — Outrage à l'autorité impériale
Commet un outrage quiconque : insulte gravement ; humilié publiquement de façon insistante; menace avec violence ; entrave volontairement, de façon prolongée ; un représentant impérial protégé au sens des articles 1 et 2, dans l’exercice d’une mission.
Art.7 — Atteinte à légion ou force impériale
Constitue une atteinte impériale le fait de : frapper ; retenir ; provoquer délibérément ;
un légionnaire, un officier ou une unité impériale régulièrement engagée dans l’exercice de ses fonctions.
Art.8 — Entrave à mission impériale
Constitue une entrave impériale : l’obstruction à une mission légitime de la Légion ; l’entrave à une enquête de la Légion ou de son administration centrale ; la dissimulation de preuves ou individus recherchés par la Légion ou ses forces de renseignement ; le sabotage d’une opération de la Légion en cours ; Le refus des vassaux céder une place forte et ou un fort à l’empire. L’entrave à une décision de justice impériale
Art.9— Atteinte aux services de renseignement
Constitue une atteinte aux services d’intelligence impériaux : L’identification forcée ou la divulgation malveillante d’un agent en mission ; L’entrave à une opération de surveillance ou d’enquête ; la remise de renseignements confidentiels à une force hostile à l’Empire.</t>
  </si>
  <si>
    <t>Sédition contre l’Empire</t>
  </si>
  <si>
    <t>Commet une sédition quiconque provoque, organise ou soutient un mouvement destiné à : affaiblir l’autorité impériale centrale ; empêcher l’exécution d’un ordre impérial central ; soulever la population contre la présence de la Légion ; paralyser les missions, institutions ou représentants directs de l’Empire central.</t>
  </si>
  <si>
    <t>Rébellion impériale</t>
  </si>
  <si>
    <t>Constitue une rébellion impériale : Tout soulèvement armé contre la Légion impériale ; L’attaque d’une garnison, d’un fort ou d’un convoi impérial ; la levée d’hommes contre la Légion ; la prise ou l’occupation d’une installation occupée par l’Empire central ; le refus armé et concerté d’obéir à l’autorité impériale directe.
Ne relève pas du présent article un trouble purement local ne visant pas directement l’Empire.</t>
  </si>
  <si>
    <t>De la sécession et des atteintes à l’unité impériale</t>
  </si>
  <si>
    <t>Constitue une tentative de sécession tout acte, déclaration ou entreprise tendant à soustraire un territoire, une châtellerie ou une autorité locale à l’autorité de l’Empire central, en tout ou en partie.</t>
  </si>
  <si>
    <t>Qualification des faits</t>
  </si>
  <si>
    <t>Sont notamment considérés comme entrant dans le champ de la sécession : la proclamation d’indépendance d’une châtellerie ou d’un territoire relevant de l’Empire ou de ses vassaux ; le refus organisé et durable de reconnaître l’autorité impériale central ; la levée d’une autorité politique concurrente se substituant à celle de l’Empire ; l’établissement de lois ou de structures visant à rompre ou affaiblir le lien de vassalité ;</t>
  </si>
  <si>
    <t>Trahison envers l’Empire</t>
  </si>
  <si>
    <t>Trahison</t>
  </si>
  <si>
    <t>Constitue une trahison :
1.       la livraison d’une installation impériale, d’une position, d’un agent ou d’un secret impérial à une puissance ennemie ;
2.       la coopération militaire, logistique ou stratégique avec une force hostile à l’Empire ;
3.       le financement, l’armement ou l’organisation d’une entreprise dirigée contre l’Empire ;
4.       l’assistance volontaire à un ennemi dans le but de nuire à la présence impériale.
TITRE III — Du régime des biens impériaux et de la coopération vassalique</t>
  </si>
  <si>
    <t>Des installations impériales</t>
  </si>
  <si>
    <t>Sont considérées comme installations impériales centrales : Les forts officiellement attribués à la Légion impériale ; Les camps militaires établis par la Légion ; Toute infrastructure cédée à l’Empire central par acte officiel.</t>
  </si>
  <si>
    <t>Définition et exclusions</t>
  </si>
  <si>
    <t>Ne sont pas considérés comme installations impériales au sens du présent code : Les forteresses orques ; Les grottes et sites naturels ; Les mines, exploitées ou non ; Les ruines dwemers ou nordiques ; Les camps ou places fortifiées non reconnues officiellement. Ces lieux ne peuvent être assimilés à des possessions impériales du seul fait de leur occupation.
Article 16 bis — Régime de propriété et limites impériales
L’Empire ne peut revendiquer la propriété des lieux suivants sans accord explicite de leurs détenteurs légitimes : Les forteresses orques ; Les campements indépendants ; Les lieux de culte, notamment daedriques ; Les ruines dwemers ou nordiques.
Article 16 ter — Régime des forteresses orques et fiscalité locale
Les forteresses orques ne constituent pas des possessions de l’Empire ni des châtelleries.
Elles conservent leur autonomie propre et ne peuvent être revendiquées comme propriété par une autorité locale ou impériale sans accord explicite.
Toutefois, lorsqu’une forteresse orque est établie sur le territoire d’une châtellerie, l’autorité locale conserve un droit de perception fiscale, sous forme d’impôts ou de redevances, conformément aux usages en vigueur.
Ce droit fiscal ne saurait être interprété comme un droit de propriété, de contrôle ou d’administration sur ladite forteresse.
Article 16 quater — Limitation des droits des autorités locales
En l’absence de conquête reconnue, de cession officielle ou d’un transfert validé par l’Empire :
Les autorités locales ne peuvent vendre, céder ou aliéner les forteresses orques ;
Elles ne disposent sur ces lieux que d’un droit fiscal ou de redevance, conformément aux usages locaux.</t>
  </si>
  <si>
    <t>Du territoire impérial</t>
  </si>
  <si>
    <t>1. Territoire impérial
Le territoire de l’Empire, comprenant Cyrodiil, Hauteroche et Bordeciel, est inaliénable et ne peut être cédé.
2. Territoires des châtelleries
Les Jarls ne peuvent céder tout ou partie de leur territoire. Les frontières établies par l’Empire sont immuables. Seuls des lieux isolés, ne relevant pas des installations impériales, peuvent être cédés, dans la limite de deux par châtellerie.
3. Ambassades
Le territoire compris dans l’enceinte d’une ambassade du Thalmor est considéré comme relevant de son autorité pendant toute la durée de son occupation ;
À la cessation de cette occupation, le territoire revient pleinement à l’Empire ;
Les lois impériales ne s’appliquent pas à l’intérieur d’une ambassade ;
Une seule ambassade est autorisée par province ;
Seuls le Gouverneur ou le Vice-Gouverneur peuvent en autoriser l’établissement par acte officiel.
L'ambassade doit pouvoir accueillir l’ensemble de la délégation du Thalmor et ses bureaux, elle ne saurait être plus petite que l’ambassade traditionnellement attribuée à la délégation en Haafingar.</t>
  </si>
  <si>
    <t>De l’implantation impériale et de la coopération des vassaux</t>
  </si>
  <si>
    <t>L’Empire dispose de Mornefort comme siège militaire principal en Bordeciel, établi par usage et autorité continue.
En complément, l’Empire est autorisé à établir :
Une seconde place forte servant de quartier général sur le territoire de Bordeciel ;
Jusqu’à trois forts supplémentaires répartis sur l’ensemble de la province.
Les châtelleries sont tenues de permettre l’établissement de ces installations sur leur territoire lorsque cela est requis par le Gouverneur ou le Légat, dans la limite des quotas définis ci-dessus.
Elles ne peuvent s’y opposer dès lors que ces limites ne sont pas dépassées.</t>
  </si>
  <si>
    <t>Atteintes aux intérêts impériaux</t>
  </si>
  <si>
    <t>Constituent des délits impériaux :
La falsification de registres impériaux ;
Le détournement de taxes ou de fonds destinés à l’Empire ;
Le vol de matériel ou d’équipement impérial ;
Le pillage ou la prise de contrôle d’une installation impériale.</t>
  </si>
  <si>
    <t>Refus de coopération</t>
  </si>
  <si>
    <t>Tout refus de se conformer à l’obligation prévue à l’article 18 entre dans le champs d’application de l’article 8.</t>
  </si>
  <si>
    <t>Assistance et réquisition</t>
  </si>
  <si>
    <t>Sur demande d’un Jarl et avec l’accord du Légat, des soldats impériaux peuvent être temporairement placés sous l’autorité d’une garde locale ;
En cas de nécessité, le Légat peut réquisitionner jusqu’à trois membres d’une garde locale par châtellerie, pour une durée déterminée ;
Le Jarl concerné doit en être informé.
Codex Penitus Imperialis — Code de protection de l’Autorité impériale directe en Bordeciel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</si>
</sst>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Septimes ]#,##0.00"/>
    <numFmt numFmtId="165" formatCode="dd/MM/yyyy"/>
    <numFmt numFmtId="166" formatCode="0 &quot;septims&quot;"/>
    <numFmt numFmtId="167" formatCode="dd/mm/yyyy"/>
    <numFmt numFmtId="168" formatCode="mmmm&quot; &quot;yyyy"/>
    <numFmt numFmtId="169" formatCode="0.#### &quot;h&quot;"/>
    <numFmt numFmtId="170" formatCode="dd/MM/yyyy HH:mm"/>
    <numFmt numFmtId="171" formatCode="d-m"/>
  </numFmts>
  <fonts count="15">
    <font>
      <sz val="10.0"/>
      <color rgb="FF000000"/>
      <name val="Arial"/>
      <scheme val="minor"/>
    </font>
    <font>
      <b/>
      <color theme="1"/>
      <name val="Arial"/>
      <scheme val="minor"/>
    </font>
    <font>
      <b/>
      <sz val="10.0"/>
      <color theme="1"/>
      <name val="Arial"/>
      <scheme val="minor"/>
    </font>
    <font>
      <color theme="1"/>
      <name val="Arial"/>
      <scheme val="minor"/>
    </font>
    <font>
      <sz val="10.0"/>
      <color theme="1"/>
      <name val="Arial"/>
      <scheme val="minor"/>
    </font>
    <font>
      <color theme="1"/>
      <name val="Arial"/>
    </font>
    <font>
      <b/>
      <sz val="12.0"/>
      <color rgb="FFFF0000"/>
      <name val="Arial"/>
    </font>
    <font>
      <sz val="10.0"/>
      <color theme="1"/>
      <name val="&quot;gg sans&quot;"/>
    </font>
    <font>
      <b/>
      <color theme="1"/>
      <name val="Arial"/>
    </font>
    <font>
      <sz val="10.0"/>
      <color theme="1"/>
      <name val="Arial"/>
    </font>
    <font>
      <b/>
      <sz val="11.0"/>
      <color rgb="FFFFFFFF"/>
      <name val="Arial"/>
      <scheme val="minor"/>
    </font>
    <font>
      <b/>
      <color rgb="FFFFFFFF"/>
      <name val="Arial"/>
      <scheme val="minor"/>
    </font>
    <font>
      <sz val="12.0"/>
      <color theme="1"/>
      <name val="&quot;gg sans&quot;"/>
    </font>
    <font/>
    <font>
      <color rgb="FFFFFFFF"/>
      <name val="Arial"/>
      <scheme val="minor"/>
    </font>
  </fonts>
  <fills count="19">
    <fill>
      <patternFill patternType="none"/>
    </fill>
    <fill>
      <patternFill patternType="lightGray"/>
    </fill>
    <fill>
      <patternFill patternType="solid">
        <fgColor theme="6"/>
        <bgColor theme="6"/>
      </patternFill>
    </fill>
    <fill>
      <patternFill patternType="solid">
        <fgColor rgb="FFD9D9D9"/>
        <bgColor rgb="FFD9D9D9"/>
      </patternFill>
    </fill>
    <fill>
      <patternFill patternType="solid">
        <fgColor rgb="FFF4CCCC"/>
        <bgColor rgb="FFF4CCCC"/>
      </patternFill>
    </fill>
    <fill>
      <patternFill patternType="solid">
        <fgColor theme="8"/>
        <bgColor theme="8"/>
      </patternFill>
    </fill>
    <fill>
      <patternFill patternType="solid">
        <fgColor rgb="FFFFE599"/>
        <bgColor rgb="FFFFE599"/>
      </patternFill>
    </fill>
    <fill>
      <patternFill patternType="solid">
        <fgColor rgb="FF990000"/>
        <bgColor rgb="FF990000"/>
      </patternFill>
    </fill>
    <fill>
      <patternFill patternType="solid">
        <fgColor rgb="FFCC0000"/>
        <bgColor rgb="FFCC0000"/>
      </patternFill>
    </fill>
    <fill>
      <patternFill patternType="solid">
        <fgColor rgb="FFFF0000"/>
        <bgColor rgb="FFFF0000"/>
      </patternFill>
    </fill>
    <fill>
      <patternFill patternType="solid">
        <fgColor rgb="FF38761D"/>
        <bgColor rgb="FF38761D"/>
      </patternFill>
    </fill>
    <fill>
      <patternFill patternType="solid">
        <fgColor rgb="FF6AA84F"/>
        <bgColor rgb="FF6AA84F"/>
      </patternFill>
    </fill>
    <fill>
      <patternFill patternType="solid">
        <fgColor rgb="FF3C78D8"/>
        <bgColor rgb="FF3C78D8"/>
      </patternFill>
    </fill>
    <fill>
      <patternFill patternType="solid">
        <fgColor rgb="FF6D9EEB"/>
        <bgColor rgb="FF6D9EEB"/>
      </patternFill>
    </fill>
    <fill>
      <patternFill patternType="solid">
        <fgColor rgb="FF45818E"/>
        <bgColor rgb="FF45818E"/>
      </patternFill>
    </fill>
    <fill>
      <patternFill patternType="solid">
        <fgColor rgb="FF76A5AF"/>
        <bgColor rgb="FF76A5AF"/>
      </patternFill>
    </fill>
    <fill>
      <patternFill patternType="solid">
        <fgColor rgb="FF6FA8DC"/>
        <bgColor rgb="FF6FA8DC"/>
      </patternFill>
    </fill>
    <fill>
      <patternFill patternType="solid">
        <fgColor rgb="FF9FC5E8"/>
        <bgColor rgb="FF9FC5E8"/>
      </patternFill>
    </fill>
    <fill>
      <patternFill patternType="solid">
        <fgColor rgb="FFFFF2CC"/>
        <bgColor rgb="FFFFF2CC"/>
      </patternFill>
    </fill>
  </fills>
  <borders count="12">
    <border/>
    <border>
      <bottom style="dotted">
        <color rgb="FF000000"/>
      </bottom>
    </border>
    <border>
      <left style="thin">
        <color rgb="FF000000"/>
      </left>
      <right style="thin">
        <color rgb="FF000000"/>
      </right>
      <top style="thin">
        <color rgb="FF000000"/>
      </top>
      <bottom style="thin">
        <color rgb="FF000000"/>
      </bottom>
    </border>
    <border>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readingOrder="0"/>
    </xf>
    <xf borderId="0" fillId="0" fontId="1" numFmtId="0" xfId="0" applyAlignment="1" applyFont="1">
      <alignment horizontal="center"/>
    </xf>
    <xf borderId="0" fillId="0" fontId="1" numFmtId="0" xfId="0" applyAlignment="1" applyFont="1">
      <alignment horizontal="center" readingOrder="0"/>
    </xf>
    <xf borderId="0" fillId="0" fontId="3" numFmtId="0" xfId="0" applyAlignment="1" applyFont="1">
      <alignment readingOrder="0"/>
    </xf>
    <xf borderId="0" fillId="2" fontId="1" numFmtId="0" xfId="0" applyAlignment="1" applyFill="1" applyFont="1">
      <alignment horizontal="left" readingOrder="0"/>
    </xf>
    <xf borderId="0" fillId="0" fontId="4" numFmtId="0" xfId="0" applyAlignment="1" applyFont="1">
      <alignment horizontal="center" readingOrder="0"/>
    </xf>
    <xf borderId="0" fillId="0" fontId="3" numFmtId="0" xfId="0" applyFont="1"/>
    <xf borderId="0" fillId="2" fontId="1" numFmtId="164" xfId="0" applyAlignment="1" applyFill="1" applyFont="1" applyNumberFormat="1">
      <alignment horizontal="center" readingOrder="0"/>
    </xf>
    <xf borderId="0" fillId="3" fontId="5" numFmtId="1" xfId="0" applyAlignment="1" applyFill="1" applyFont="1" applyNumberFormat="1">
      <alignment horizontal="center" readingOrder="0" vertical="bottom"/>
    </xf>
    <xf borderId="0" fillId="3" fontId="5" numFmtId="0" xfId="0" applyAlignment="1" applyFill="1" applyFont="1">
      <alignment readingOrder="0" vertical="bottom"/>
    </xf>
    <xf borderId="0" fillId="0" fontId="3" numFmtId="0" xfId="0" applyAlignment="1" applyFont="1">
      <alignment readingOrder="0"/>
    </xf>
    <xf borderId="0" fillId="3" fontId="5" numFmtId="0" xfId="0" applyAlignment="1" applyFill="1" applyFont="1">
      <alignment vertical="bottom"/>
    </xf>
    <xf borderId="0" fillId="3" fontId="5" numFmtId="0" xfId="0" applyAlignment="1" applyFill="1" applyFont="1">
      <alignment horizontal="center" readingOrder="0"/>
    </xf>
    <xf borderId="0" fillId="0" fontId="3" numFmtId="0" xfId="0" applyAlignment="1" applyFont="1">
      <alignment horizontal="center" readingOrder="0"/>
    </xf>
    <xf borderId="0" fillId="0" fontId="3" numFmtId="165" xfId="0" applyAlignment="1" applyFont="1" applyNumberFormat="1">
      <alignment horizontal="center" readingOrder="0"/>
    </xf>
    <xf borderId="0" fillId="3" fontId="5" numFmtId="0" xfId="0" applyAlignment="1" applyFill="1" applyFont="1">
      <alignment horizontal="center" readingOrder="0" vertical="bottom"/>
    </xf>
    <xf borderId="0" fillId="0" fontId="3" numFmtId="0" xfId="0" applyAlignment="1" applyFont="1">
      <alignment horizontal="center"/>
    </xf>
    <xf borderId="0" fillId="3" fontId="5" numFmtId="164" xfId="0" applyAlignment="1" applyFill="1" applyFont="1" applyNumberFormat="1">
      <alignment horizontal="center" readingOrder="0" vertical="bottom"/>
    </xf>
    <xf borderId="0" fillId="0" fontId="5" numFmtId="0" xfId="0" applyAlignment="1" applyFont="1">
      <alignment vertical="bottom"/>
    </xf>
    <xf borderId="0" fillId="0" fontId="4" numFmtId="0" xfId="0" applyAlignment="1" applyFont="1">
      <alignment horizontal="center"/>
    </xf>
    <xf borderId="0" fillId="0" fontId="6" numFmtId="0" xfId="0" applyAlignment="1" applyFont="1">
      <alignment horizontal="center" shrinkToFit="0" vertical="center" wrapText="1"/>
    </xf>
    <xf borderId="1" fillId="3" fontId="5" numFmtId="1" xfId="0" applyAlignment="1" applyBorder="1" applyFill="1" applyFont="1" applyNumberFormat="1">
      <alignment horizontal="center" readingOrder="0" vertical="bottom"/>
    </xf>
    <xf borderId="1" fillId="3" fontId="5" numFmtId="0" xfId="0" applyAlignment="1" applyBorder="1" applyFill="1" applyFont="1">
      <alignment readingOrder="0" vertical="bottom"/>
    </xf>
    <xf borderId="1" fillId="3" fontId="5" numFmtId="0" xfId="0" applyAlignment="1" applyBorder="1" applyFill="1" applyFont="1">
      <alignment horizontal="center" readingOrder="0"/>
    </xf>
    <xf borderId="1" fillId="3" fontId="5" numFmtId="0" xfId="0" applyAlignment="1" applyBorder="1" applyFill="1" applyFont="1">
      <alignment horizontal="center" readingOrder="0" vertical="bottom"/>
    </xf>
    <xf borderId="1" fillId="3" fontId="5" numFmtId="164" xfId="0" applyAlignment="1" applyBorder="1" applyFill="1" applyFont="1" applyNumberFormat="1">
      <alignment horizontal="center" readingOrder="0" vertical="bottom"/>
    </xf>
    <xf borderId="0" fillId="4" fontId="5" numFmtId="1" xfId="0" applyAlignment="1" applyFill="1" applyFont="1" applyNumberFormat="1">
      <alignment horizontal="center" readingOrder="0" vertical="bottom"/>
    </xf>
    <xf borderId="0" fillId="4" fontId="5" numFmtId="0" xfId="0" applyAlignment="1" applyFill="1" applyFont="1">
      <alignment readingOrder="0" vertical="bottom"/>
    </xf>
    <xf borderId="0" fillId="4" fontId="5" numFmtId="0" xfId="0" applyAlignment="1" applyFill="1" applyFont="1">
      <alignment horizontal="center" readingOrder="0"/>
    </xf>
    <xf borderId="0" fillId="4" fontId="5" numFmtId="0" xfId="0" applyAlignment="1" applyFill="1" applyFont="1">
      <alignment horizontal="center" readingOrder="0" vertical="bottom"/>
    </xf>
    <xf borderId="0" fillId="4" fontId="5" numFmtId="164" xfId="0" applyAlignment="1" applyFill="1" applyFont="1" applyNumberFormat="1">
      <alignment horizontal="center" readingOrder="0" vertical="bottom"/>
    </xf>
    <xf borderId="0" fillId="0" fontId="7" numFmtId="0" xfId="0" applyAlignment="1" applyFont="1">
      <alignment horizontal="center" readingOrder="0"/>
    </xf>
    <xf borderId="2" fillId="0" fontId="8" numFmtId="0" xfId="0" applyAlignment="1" applyBorder="1" applyFont="1">
      <alignment vertical="bottom"/>
    </xf>
    <xf borderId="2" fillId="0" fontId="5" numFmtId="164" xfId="0" applyAlignment="1" applyBorder="1" applyFont="1" applyNumberFormat="1">
      <alignment horizontal="right" vertical="bottom"/>
    </xf>
    <xf borderId="2" fillId="0" fontId="8" numFmtId="0" xfId="0" applyAlignment="1" applyBorder="1" applyFont="1">
      <alignment readingOrder="0" vertical="bottom"/>
    </xf>
    <xf borderId="2" fillId="0" fontId="5" numFmtId="0" xfId="0" applyAlignment="1" applyBorder="1" applyFont="1">
      <alignment vertical="bottom"/>
    </xf>
    <xf borderId="0" fillId="0" fontId="3" numFmtId="165" xfId="0" applyAlignment="1" applyFont="1" applyNumberFormat="1">
      <alignment horizontal="center"/>
    </xf>
    <xf borderId="1" fillId="4" fontId="5" numFmtId="1" xfId="0" applyAlignment="1" applyBorder="1" applyFill="1" applyFont="1" applyNumberFormat="1">
      <alignment horizontal="center" readingOrder="0" vertical="bottom"/>
    </xf>
    <xf borderId="1" fillId="4" fontId="5" numFmtId="0" xfId="0" applyAlignment="1" applyBorder="1" applyFill="1" applyFont="1">
      <alignment readingOrder="0" vertical="bottom"/>
    </xf>
    <xf borderId="1" fillId="4" fontId="5" numFmtId="0" xfId="0" applyAlignment="1" applyBorder="1" applyFill="1" applyFont="1">
      <alignment horizontal="center" readingOrder="0"/>
    </xf>
    <xf borderId="1" fillId="4" fontId="5" numFmtId="0" xfId="0" applyAlignment="1" applyBorder="1" applyFill="1" applyFont="1">
      <alignment horizontal="center" readingOrder="0" vertical="bottom"/>
    </xf>
    <xf borderId="1" fillId="4" fontId="5" numFmtId="164" xfId="0" applyAlignment="1" applyBorder="1" applyFill="1" applyFont="1" applyNumberFormat="1">
      <alignment horizontal="center" readingOrder="0" vertical="bottom"/>
    </xf>
    <xf borderId="0" fillId="0" fontId="4" numFmtId="0" xfId="0" applyAlignment="1" applyFont="1">
      <alignment horizontal="center"/>
    </xf>
    <xf borderId="0" fillId="0" fontId="9" numFmtId="0" xfId="0" applyAlignment="1" applyFont="1">
      <alignment horizontal="center" readingOrder="0"/>
    </xf>
    <xf borderId="3" fillId="3" fontId="5" numFmtId="1" xfId="0" applyAlignment="1" applyBorder="1" applyFill="1" applyFont="1" applyNumberFormat="1">
      <alignment horizontal="center" readingOrder="0" vertical="bottom"/>
    </xf>
    <xf borderId="3" fillId="3" fontId="5" numFmtId="0" xfId="0" applyAlignment="1" applyBorder="1" applyFill="1" applyFont="1">
      <alignment readingOrder="0" vertical="bottom"/>
    </xf>
    <xf borderId="3" fillId="3" fontId="5" numFmtId="0" xfId="0" applyAlignment="1" applyBorder="1" applyFill="1" applyFont="1">
      <alignment horizontal="center" readingOrder="0"/>
    </xf>
    <xf borderId="3" fillId="3" fontId="5" numFmtId="0" xfId="0" applyAlignment="1" applyBorder="1" applyFill="1" applyFont="1">
      <alignment horizontal="center" readingOrder="0" vertical="bottom"/>
    </xf>
    <xf borderId="3" fillId="3" fontId="5" numFmtId="164" xfId="0" applyAlignment="1" applyBorder="1" applyFill="1" applyFont="1" applyNumberFormat="1">
      <alignment horizontal="center" readingOrder="0" vertical="bottom"/>
    </xf>
    <xf borderId="0" fillId="5" fontId="10" numFmtId="165" xfId="0" applyAlignment="1" applyFill="1" applyFont="1" applyNumberFormat="1">
      <alignment horizontal="center" readingOrder="0"/>
    </xf>
    <xf borderId="0" fillId="5" fontId="10" numFmtId="0" xfId="0" applyAlignment="1" applyFill="1" applyFont="1">
      <alignment horizontal="center" readingOrder="0"/>
    </xf>
    <xf borderId="0" fillId="5" fontId="10" numFmtId="164" xfId="0" applyAlignment="1" applyFill="1" applyFont="1" applyNumberFormat="1">
      <alignment horizontal="center" readingOrder="0"/>
    </xf>
    <xf borderId="0" fillId="0" fontId="3" numFmtId="165" xfId="0" applyAlignment="1" applyFont="1" applyNumberFormat="1">
      <alignment horizontal="center" readingOrder="0"/>
    </xf>
    <xf borderId="0" fillId="0" fontId="3" numFmtId="166" xfId="0" applyAlignment="1" applyFont="1" applyNumberFormat="1">
      <alignment horizontal="center" readingOrder="0"/>
    </xf>
    <xf quotePrefix="1" borderId="0" fillId="0" fontId="3" numFmtId="0" xfId="0" applyAlignment="1" applyFont="1">
      <alignment readingOrder="0"/>
    </xf>
    <xf borderId="0" fillId="0" fontId="3" numFmtId="164" xfId="0" applyAlignment="1" applyFont="1" applyNumberFormat="1">
      <alignment horizontal="center" readingOrder="0"/>
    </xf>
    <xf borderId="0" fillId="0" fontId="3" numFmtId="164" xfId="0" applyAlignment="1" applyFont="1" applyNumberFormat="1">
      <alignment horizontal="center"/>
    </xf>
    <xf borderId="0" fillId="0" fontId="3" numFmtId="167" xfId="0" applyAlignment="1" applyFont="1" applyNumberFormat="1">
      <alignment horizontal="center" readingOrder="0"/>
    </xf>
    <xf borderId="1" fillId="4" fontId="5" numFmtId="0" xfId="0" applyAlignment="1" applyBorder="1" applyFill="1" applyFont="1">
      <alignment vertical="bottom"/>
    </xf>
    <xf borderId="0" fillId="0" fontId="3" numFmtId="168" xfId="0" applyAlignment="1" applyFont="1" applyNumberFormat="1">
      <alignment horizontal="center"/>
    </xf>
    <xf borderId="0" fillId="5" fontId="11" numFmtId="0" xfId="0" applyAlignment="1" applyFill="1" applyFont="1">
      <alignment horizontal="center" readingOrder="0"/>
    </xf>
    <xf borderId="0" fillId="5" fontId="11" numFmtId="0" xfId="0" applyAlignment="1" applyFill="1" applyFont="1">
      <alignment readingOrder="0"/>
    </xf>
    <xf borderId="0" fillId="5" fontId="11" numFmtId="0" xfId="0" applyAlignment="1" applyFill="1" applyFont="1">
      <alignment readingOrder="0" shrinkToFit="0" wrapText="1"/>
    </xf>
    <xf borderId="0" fillId="0" fontId="3" numFmtId="165" xfId="0" applyAlignment="1" applyFont="1" applyNumberFormat="1">
      <alignment readingOrder="0"/>
    </xf>
    <xf borderId="0" fillId="0" fontId="3" numFmtId="169" xfId="0" applyAlignment="1" applyFont="1" applyNumberFormat="1">
      <alignment readingOrder="0"/>
    </xf>
    <xf borderId="0" fillId="0" fontId="3" numFmtId="170" xfId="0" applyAlignment="1" applyFont="1" applyNumberFormat="1">
      <alignment readingOrder="0"/>
    </xf>
    <xf borderId="0" fillId="0" fontId="3" numFmtId="0" xfId="0" applyAlignment="1" applyFont="1">
      <alignment readingOrder="0" shrinkToFit="0" wrapText="1"/>
    </xf>
    <xf borderId="0" fillId="0" fontId="3" numFmtId="165" xfId="0" applyFont="1" applyNumberFormat="1"/>
    <xf borderId="0" fillId="0" fontId="3" numFmtId="169" xfId="0" applyFont="1" applyNumberFormat="1"/>
    <xf borderId="0" fillId="0" fontId="3" numFmtId="170" xfId="0" applyFont="1" applyNumberFormat="1"/>
    <xf borderId="0" fillId="0" fontId="3" numFmtId="0" xfId="0" applyAlignment="1" applyFont="1">
      <alignment shrinkToFit="0" wrapText="1"/>
    </xf>
    <xf borderId="0" fillId="2" fontId="1" numFmtId="165" xfId="0" applyAlignment="1" applyFill="1" applyFont="1" applyNumberFormat="1">
      <alignment horizontal="center" readingOrder="0"/>
    </xf>
    <xf borderId="0" fillId="0" fontId="3" numFmtId="165" xfId="0" applyAlignment="1" applyFont="1" applyNumberFormat="1">
      <alignment readingOrder="0"/>
    </xf>
    <xf borderId="0" fillId="0" fontId="12" numFmtId="0" xfId="0" applyAlignment="1" applyFont="1">
      <alignment horizontal="center" readingOrder="0"/>
    </xf>
    <xf borderId="0" fillId="0" fontId="3" numFmtId="165" xfId="0" applyFont="1" applyNumberFormat="1"/>
    <xf borderId="4" fillId="2" fontId="1" numFmtId="0" xfId="0" applyAlignment="1" applyBorder="1" applyFill="1" applyFont="1">
      <alignment readingOrder="0"/>
    </xf>
    <xf borderId="5" fillId="0" fontId="3" numFmtId="0" xfId="0" applyAlignment="1" applyBorder="1" applyFont="1">
      <alignment horizontal="center"/>
    </xf>
    <xf borderId="5" fillId="0" fontId="1" numFmtId="164" xfId="0" applyAlignment="1" applyBorder="1" applyFont="1" applyNumberFormat="1">
      <alignment horizontal="center" readingOrder="0"/>
    </xf>
    <xf borderId="6" fillId="0" fontId="1" numFmtId="0" xfId="0" applyAlignment="1" applyBorder="1" applyFont="1">
      <alignment horizontal="center" readingOrder="0"/>
    </xf>
    <xf borderId="7" fillId="0" fontId="13" numFmtId="0" xfId="0" applyBorder="1" applyFont="1"/>
    <xf borderId="0" fillId="0" fontId="1" numFmtId="0" xfId="0" applyAlignment="1" applyFont="1">
      <alignment readingOrder="0"/>
    </xf>
    <xf borderId="5" fillId="0" fontId="1" numFmtId="164" xfId="0" applyAlignment="1" applyBorder="1" applyFont="1" applyNumberFormat="1">
      <alignment horizontal="center"/>
    </xf>
    <xf borderId="8" fillId="0" fontId="1" numFmtId="0" xfId="0" applyAlignment="1" applyBorder="1" applyFont="1">
      <alignment horizontal="center" readingOrder="0"/>
    </xf>
    <xf borderId="9" fillId="0" fontId="1" numFmtId="0" xfId="0" applyAlignment="1" applyBorder="1" applyFont="1">
      <alignment horizontal="center" readingOrder="0"/>
    </xf>
    <xf borderId="6" fillId="2" fontId="1" numFmtId="0" xfId="0" applyBorder="1" applyFill="1" applyFont="1"/>
    <xf borderId="7" fillId="2" fontId="1" numFmtId="0" xfId="0" applyAlignment="1" applyBorder="1" applyFill="1" applyFont="1">
      <alignment horizontal="center"/>
    </xf>
    <xf borderId="6" fillId="2" fontId="1" numFmtId="0" xfId="0" applyAlignment="1" applyBorder="1" applyFill="1" applyFont="1">
      <alignment readingOrder="0"/>
    </xf>
    <xf borderId="6" fillId="0" fontId="1" numFmtId="0" xfId="0" applyBorder="1" applyFont="1"/>
    <xf borderId="7" fillId="0" fontId="3" numFmtId="165" xfId="0" applyAlignment="1" applyBorder="1" applyFont="1" applyNumberFormat="1">
      <alignment horizontal="center"/>
    </xf>
    <xf borderId="10" fillId="6" fontId="1" numFmtId="0" xfId="0" applyBorder="1" applyFill="1" applyFont="1"/>
    <xf borderId="11" fillId="0" fontId="3" numFmtId="0" xfId="0" applyAlignment="1" applyBorder="1" applyFont="1">
      <alignment horizontal="center"/>
    </xf>
    <xf borderId="10" fillId="6" fontId="1" numFmtId="0" xfId="0" applyAlignment="1" applyBorder="1" applyFill="1" applyFont="1">
      <alignment readingOrder="0"/>
    </xf>
    <xf borderId="11" fillId="0" fontId="3" numFmtId="164" xfId="0" applyAlignment="1" applyBorder="1" applyFont="1" applyNumberFormat="1">
      <alignment horizontal="center"/>
    </xf>
    <xf borderId="10" fillId="0" fontId="3" numFmtId="0" xfId="0" applyBorder="1" applyFont="1"/>
    <xf borderId="11" fillId="0" fontId="3" numFmtId="165" xfId="0" applyAlignment="1" applyBorder="1" applyFont="1" applyNumberFormat="1">
      <alignment horizontal="center"/>
    </xf>
    <xf borderId="10" fillId="0" fontId="1" numFmtId="0" xfId="0" applyBorder="1" applyFont="1"/>
    <xf borderId="8" fillId="6" fontId="1" numFmtId="0" xfId="0" applyBorder="1" applyFill="1" applyFont="1"/>
    <xf borderId="9" fillId="0" fontId="3" numFmtId="0" xfId="0" applyAlignment="1" applyBorder="1" applyFont="1">
      <alignment horizontal="center"/>
    </xf>
    <xf borderId="9" fillId="0" fontId="3" numFmtId="164" xfId="0" applyAlignment="1" applyBorder="1" applyFont="1" applyNumberFormat="1">
      <alignment horizontal="center"/>
    </xf>
    <xf borderId="8" fillId="0" fontId="3" numFmtId="0" xfId="0" applyBorder="1" applyFont="1"/>
    <xf borderId="0" fillId="0" fontId="4" numFmtId="0" xfId="0" applyFont="1"/>
    <xf borderId="0" fillId="0" fontId="1" numFmtId="0" xfId="0" applyAlignment="1" applyFont="1">
      <alignment readingOrder="0" vertical="top"/>
    </xf>
    <xf borderId="0" fillId="0" fontId="1" numFmtId="0" xfId="0" applyAlignment="1" applyFont="1">
      <alignment horizontal="center" readingOrder="0" vertical="top"/>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3" numFmtId="0" xfId="0" applyAlignment="1" applyFont="1">
      <alignment readingOrder="0" vertical="top"/>
    </xf>
    <xf borderId="0" fillId="0" fontId="3" numFmtId="0" xfId="0" applyAlignment="1" applyFont="1">
      <alignment horizontal="center" readingOrder="0" vertical="top"/>
    </xf>
    <xf borderId="0" fillId="0" fontId="3"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3" numFmtId="166" xfId="0" applyAlignment="1" applyFont="1" applyNumberFormat="1">
      <alignment horizontal="center" shrinkToFit="0" vertical="top" wrapText="1"/>
    </xf>
    <xf borderId="0" fillId="0" fontId="3" numFmtId="169" xfId="0" applyAlignment="1" applyFont="1" applyNumberFormat="1">
      <alignment horizontal="center" shrinkToFit="0" vertical="top" wrapText="1"/>
    </xf>
    <xf borderId="0" fillId="0" fontId="3" numFmtId="0" xfId="0" applyAlignment="1" applyFont="1">
      <alignment shrinkToFit="0" vertical="top" wrapText="1"/>
    </xf>
    <xf borderId="0" fillId="7" fontId="14" numFmtId="0" xfId="0" applyAlignment="1" applyFill="1" applyFont="1">
      <alignment readingOrder="0"/>
    </xf>
    <xf borderId="0" fillId="0" fontId="3" numFmtId="166" xfId="0" applyAlignment="1" applyFont="1" applyNumberFormat="1">
      <alignment horizontal="center" readingOrder="0" shrinkToFit="0" vertical="top" wrapText="1"/>
    </xf>
    <xf borderId="0" fillId="0" fontId="3" numFmtId="169" xfId="0" applyAlignment="1" applyFont="1" applyNumberFormat="1">
      <alignment horizontal="center" readingOrder="0" shrinkToFit="0" vertical="top" wrapText="1"/>
    </xf>
    <xf borderId="0" fillId="8" fontId="14" numFmtId="0" xfId="0" applyAlignment="1" applyFill="1" applyFont="1">
      <alignment readingOrder="0"/>
    </xf>
    <xf borderId="0" fillId="9" fontId="14" numFmtId="0" xfId="0" applyAlignment="1" applyFill="1" applyFont="1">
      <alignment readingOrder="0"/>
    </xf>
    <xf borderId="0" fillId="10" fontId="14" numFmtId="0" xfId="0" applyAlignment="1" applyFill="1" applyFont="1">
      <alignment readingOrder="0"/>
    </xf>
    <xf borderId="0" fillId="11" fontId="14" numFmtId="0" xfId="0" applyAlignment="1" applyFill="1" applyFont="1">
      <alignment readingOrder="0"/>
    </xf>
    <xf borderId="0" fillId="12" fontId="14" numFmtId="0" xfId="0" applyAlignment="1" applyFill="1" applyFont="1">
      <alignment readingOrder="0"/>
    </xf>
    <xf borderId="0" fillId="13" fontId="3" numFmtId="0" xfId="0" applyAlignment="1" applyFill="1" applyFont="1">
      <alignment readingOrder="0"/>
    </xf>
    <xf borderId="0" fillId="14" fontId="3" numFmtId="0" xfId="0" applyAlignment="1" applyFill="1" applyFont="1">
      <alignment readingOrder="0"/>
    </xf>
    <xf borderId="0" fillId="15" fontId="3" numFmtId="0" xfId="0" applyAlignment="1" applyFill="1" applyFont="1">
      <alignment readingOrder="0"/>
    </xf>
    <xf borderId="0" fillId="16" fontId="3" numFmtId="0" xfId="0" applyAlignment="1" applyFill="1" applyFont="1">
      <alignment readingOrder="0"/>
    </xf>
    <xf borderId="0" fillId="17" fontId="3" numFmtId="0" xfId="0" applyAlignment="1" applyFill="1" applyFont="1">
      <alignment readingOrder="0"/>
    </xf>
    <xf borderId="0" fillId="18" fontId="3" numFmtId="0" xfId="0" applyAlignment="1" applyFill="1" applyFont="1">
      <alignment readingOrder="0"/>
    </xf>
    <xf borderId="0" fillId="0" fontId="3" numFmtId="171" xfId="0" applyAlignment="1" applyFont="1" applyNumberFormat="1">
      <alignment horizontal="center" readingOrder="0"/>
    </xf>
  </cellXfs>
  <cellStyles count="1">
    <cellStyle xfId="0" name="Normal" builtinId="0"/>
  </cellStyles>
  <dxfs count="4">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D9D9"/>
          <bgColor rgb="FFD9D9D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pic>
      <xdr:nvPicPr>
        <xdr:cNvPr id="1277128569" name="Chart1" title="Graphiqu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18</xdr:row>
      <xdr:rowOff>123825</xdr:rowOff>
    </xdr:from>
    <xdr:ext cx="5715000" cy="3533775"/>
    <xdr:pic>
      <xdr:nvPicPr>
        <xdr:cNvPr id="1125544976" name="Chart2" title="Graphique">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409575</xdr:colOff>
      <xdr:row>10</xdr:row>
      <xdr:rowOff>9525</xdr:rowOff>
    </xdr:from>
    <xdr:ext cx="2895600" cy="971550"/>
    <xdr:sp>
      <xdr:nvSpPr>
        <xdr:cNvPr id="3" name="Shape 3"/>
        <xdr:cNvSpPr txBox="1"/>
      </xdr:nvSpPr>
      <xdr:spPr>
        <a:xfrm>
          <a:off x="3172550" y="4003850"/>
          <a:ext cx="2876100" cy="952200"/>
        </a:xfrm>
        <a:prstGeom prst="rect">
          <a:avLst/>
        </a:prstGeom>
        <a:solidFill>
          <a:srgbClr val="B6D7A8"/>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700">
              <a:solidFill>
                <a:srgbClr val="38761D"/>
              </a:solidFill>
            </a:rPr>
            <a:t>Cliquez pour actualiser la semaine courante</a:t>
          </a:r>
          <a:endParaRPr b="1" sz="1700">
            <a:solidFill>
              <a:srgbClr val="38761D"/>
            </a:solidFill>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2.38"/>
    <col customWidth="1" min="7" max="7" width="4.63"/>
    <col customWidth="1" min="8" max="8" width="32.13"/>
    <col customWidth="1" min="9" max="9" width="23.13"/>
    <col customWidth="1" min="10" max="10" width="6.13"/>
    <col customWidth="1" min="11" max="11" width="40.38"/>
    <col customWidth="1" min="12" max="12" width="36.5"/>
    <col customWidth="1" min="13" max="13" width="6.0"/>
    <col customWidth="1" min="14" max="14" width="25.38"/>
    <col customWidth="1" min="15" max="15" width="23.0"/>
  </cols>
  <sheetData>
    <row r="1">
      <c r="L1" s="18"/>
      <c r="M1" s="18"/>
      <c r="O1" s="18"/>
    </row>
    <row r="2">
      <c r="H2" s="77" t="s">
        <v>225</v>
      </c>
      <c r="I2" s="78">
        <f>COUNTIFS(Effectifs!B2:B1000,"&lt;&gt;",Effectifs!G2:G1000,"En service actif")</f>
        <v>64</v>
      </c>
      <c r="K2" s="77" t="s">
        <v>226</v>
      </c>
      <c r="L2" s="79">
        <v>50.0</v>
      </c>
      <c r="M2" s="18"/>
      <c r="N2" s="80" t="s">
        <v>227</v>
      </c>
      <c r="O2" s="81"/>
    </row>
    <row r="3">
      <c r="H3" s="82"/>
      <c r="I3" s="18"/>
      <c r="K3" s="77" t="s">
        <v>228</v>
      </c>
      <c r="L3" s="83">
        <f>L2*7*I2</f>
        <v>22400</v>
      </c>
      <c r="M3" s="18"/>
      <c r="N3" s="84" t="s">
        <v>34</v>
      </c>
      <c r="O3" s="85" t="s">
        <v>229</v>
      </c>
    </row>
    <row r="4">
      <c r="K4" s="82"/>
      <c r="L4" s="18"/>
      <c r="M4" s="18"/>
      <c r="O4" s="18"/>
    </row>
    <row r="5">
      <c r="H5" s="86" t="str">
        <f>IFERROR(__xludf.DUMMYFUNCTION("QUERY(
  Effectifs!E2:G1000,
  ""SELECT E, COUNT(E)
   WHERE E IS NOT NULL
   AND G = 'En service actif'
   GROUP BY E ORDER BY COUNT(E) DESC
   LABEL
     E 'Corps de garde',
     COUNT(E) 'Effectif actif'"",
  0
)"),"Corps de garde")</f>
        <v>Corps de garde</v>
      </c>
      <c r="I5" s="87" t="str">
        <f>IFERROR(__xludf.DUMMYFUNCTION("""COMPUTED_VALUE"""),"Effectif actif")</f>
        <v>Effectif actif</v>
      </c>
      <c r="K5" s="88" t="str">
        <f>IFERROR(__xludf.DUMMYFUNCTION("QUERY(
  Effectifs!E2:G1000,
  ""SELECT E, COUNT(E) * ""&amp;(L2*7)&amp;""
   WHERE E IS NOT NULL
   AND G = 'En service actif'
   GROUP BY E ORDER BY COUNT(E) * ""&amp;(L2*7)&amp;"" DESC
   LABEL
     E 'Corps de garde',
     COUNT(E) * ""&amp;(L2*7)&amp;"" 'Budget maximal hebd"&amp;"omadaire'"",
  0
)"),"Corps de garde")</f>
        <v>Corps de garde</v>
      </c>
      <c r="L5" s="87" t="str">
        <f>IFERROR(__xludf.DUMMYFUNCTION("""COMPUTED_VALUE"""),"Budget maximal hebdomadaire")</f>
        <v>Budget maximal hebdomadaire</v>
      </c>
      <c r="M5" s="18"/>
      <c r="N5" s="89" t="str">
        <f>IFERROR(__xludf.DUMMYFUNCTION("LET(
  semaines,FILTER('Présences'!A2:A1000,'Présences'!A2:A1000&lt;&gt;""""),
  pPrenoms,FILTER('Présences'!D2:D1000,'Présences'!A2:A1000&lt;&gt;""""),
  pNoms,FILTER('Présences'!E2:E1000,'Présences'!A2:A1000&lt;&gt;""""),
  jours,FILTER('Présences'!F2:L1000,'Présences'!A"&amp;"2:A1000&lt;&gt;""""),
  lundiS1,
    DATE(YEAR(TODAY()),1,4)
    -WEEKDAY(DATE(YEAR(TODAY()),1,4),2)
    +1,
  dates,
    MAKEARRAY(
      ROWS(semaines),
      7,
      LAMBDA(r,c,
        lundiS1
        +(INDEX(semaines,r)-1)*7
        +(c-1)
      )
    )"&amp;",
  personnesPresence,
    MAKEARRAY(
      ROWS(pPrenoms),
      7,
      LAMBDA(r,c,
        TRIM(
          INDEX(pPrenoms,r)
          &amp;"" ""&amp;
          INDEX(pNoms,r)
        )
      )
    ),
  gardes,
    UNIQUE(
      FILTER(
        TRIM(Effecti"&amp;"fs!C2:C1000&amp;"" ""&amp;Effectifs!D2:D1000),
        Effectifs!G2:G1000=""En service actif"",
        ((Effectifs!C2:C1000&lt;&gt;"""")+(Effectifs!D2:D1000&lt;&gt;""""))&gt;0
      )
    ),
  dernieres,
    MAP(
      gardes,
      LAMBDA(garde,
        IFERROR(
          MA"&amp;"X(
            FILTER(
              TOCOL(dates),
              TOCOL(personnesPresence)=garde,
              TOCOL(jours)=TRUE
            )
          ),
          """"
        )
      )
    ),
  absents,
    FILTER(
      HSTACK(gardes,dernieres),
   "&amp;"   dernieres&lt;&gt;"""",
      dernieres&lt;TODAY()-5
    ),
  jamaisPresents,
    FILTER(
      gardes,
      dernieres=""""
    ),
  VSTACK(
    HSTACK(""— Absents depuis plusieurs jours —"",""""),
    absents,
    HSTACK(""— Jamais reporté présents —"","""")"&amp;",
    HSTACK(
      jamaisPresents,
      MAP(jamaisPresents,LAMBDA(garde,""Jamais présent""))
    )
  )
)"),"— Absents depuis plusieurs jours —")</f>
        <v>— Absents depuis plusieurs jours —</v>
      </c>
      <c r="O5" s="90" t="str">
        <f>IFERROR(__xludf.DUMMYFUNCTION("""COMPUTED_VALUE"""),"")</f>
        <v/>
      </c>
    </row>
    <row r="6">
      <c r="H6" s="91" t="str">
        <f>IFERROR(__xludf.DUMMYFUNCTION("""COMPUTED_VALUE"""),"Cité de Blancherive")</f>
        <v>Cité de Blancherive</v>
      </c>
      <c r="I6" s="92">
        <f>IFERROR(__xludf.DUMMYFUNCTION("""COMPUTED_VALUE"""),17.0)</f>
        <v>17</v>
      </c>
      <c r="K6" s="93" t="str">
        <f>IFERROR(__xludf.DUMMYFUNCTION("""COMPUTED_VALUE"""),"Cité de Blancherive")</f>
        <v>Cité de Blancherive</v>
      </c>
      <c r="L6" s="94">
        <f>IFERROR(__xludf.DUMMYFUNCTION("""COMPUTED_VALUE"""),5950.0)</f>
        <v>5950</v>
      </c>
      <c r="M6" s="58"/>
      <c r="N6" s="95" t="str">
        <f>IFERROR(__xludf.DUMMYFUNCTION("""COMPUTED_VALUE"""),"Andor Viraes")</f>
        <v>Andor Viraes</v>
      </c>
      <c r="O6" s="96">
        <f>IFERROR(__xludf.DUMMYFUNCTION("""COMPUTED_VALUE"""),46259.0)</f>
        <v>46259</v>
      </c>
    </row>
    <row r="7">
      <c r="H7" s="91" t="str">
        <f>IFERROR(__xludf.DUMMYFUNCTION("""COMPUTED_VALUE"""),"Faubourgs de Blancherive")</f>
        <v>Faubourgs de Blancherive</v>
      </c>
      <c r="I7" s="92">
        <f>IFERROR(__xludf.DUMMYFUNCTION("""COMPUTED_VALUE"""),12.0)</f>
        <v>12</v>
      </c>
      <c r="K7" s="91" t="str">
        <f>IFERROR(__xludf.DUMMYFUNCTION("""COMPUTED_VALUE"""),"Faubourgs de Blancherive")</f>
        <v>Faubourgs de Blancherive</v>
      </c>
      <c r="L7" s="94">
        <f>IFERROR(__xludf.DUMMYFUNCTION("""COMPUTED_VALUE"""),4200.0)</f>
        <v>4200</v>
      </c>
      <c r="M7" s="58"/>
      <c r="N7" s="95" t="str">
        <f>IFERROR(__xludf.DUMMYFUNCTION("""COMPUTED_VALUE"""),"— Jamais reporté présents —")</f>
        <v>— Jamais reporté présents —</v>
      </c>
      <c r="O7" s="96" t="str">
        <f>IFERROR(__xludf.DUMMYFUNCTION("""COMPUTED_VALUE"""),"")</f>
        <v/>
      </c>
    </row>
    <row r="8">
      <c r="H8" s="91" t="str">
        <f>IFERROR(__xludf.DUMMYFUNCTION("""COMPUTED_VALUE"""),"Hird du Jarl")</f>
        <v>Hird du Jarl</v>
      </c>
      <c r="I8" s="92">
        <f>IFERROR(__xludf.DUMMYFUNCTION("""COMPUTED_VALUE"""),11.0)</f>
        <v>11</v>
      </c>
      <c r="K8" s="91" t="str">
        <f>IFERROR(__xludf.DUMMYFUNCTION("""COMPUTED_VALUE"""),"Hird du Jarl")</f>
        <v>Hird du Jarl</v>
      </c>
      <c r="L8" s="94">
        <f>IFERROR(__xludf.DUMMYFUNCTION("""COMPUTED_VALUE"""),3850.0)</f>
        <v>3850</v>
      </c>
      <c r="M8" s="58"/>
      <c r="N8" s="97" t="str">
        <f>IFERROR(__xludf.DUMMYFUNCTION("""COMPUTED_VALUE"""),"Hastelvin")</f>
        <v>Hastelvin</v>
      </c>
      <c r="O8" s="96" t="str">
        <f>IFERROR(__xludf.DUMMYFUNCTION("""COMPUTED_VALUE"""),"Jamais présent")</f>
        <v>Jamais présent</v>
      </c>
    </row>
    <row r="9">
      <c r="H9" s="91" t="str">
        <f>IFERROR(__xludf.DUMMYFUNCTION("""COMPUTED_VALUE"""),"Cap Granite")</f>
        <v>Cap Granite</v>
      </c>
      <c r="I9" s="92">
        <f>IFERROR(__xludf.DUMMYFUNCTION("""COMPUTED_VALUE"""),8.0)</f>
        <v>8</v>
      </c>
      <c r="K9" s="91" t="str">
        <f>IFERROR(__xludf.DUMMYFUNCTION("""COMPUTED_VALUE"""),"Cap Granite")</f>
        <v>Cap Granite</v>
      </c>
      <c r="L9" s="94">
        <f>IFERROR(__xludf.DUMMYFUNCTION("""COMPUTED_VALUE"""),2800.0)</f>
        <v>2800</v>
      </c>
      <c r="M9" s="58"/>
      <c r="N9" s="95" t="str">
        <f>IFERROR(__xludf.DUMMYFUNCTION("""COMPUTED_VALUE"""),"Thorin Rivegel")</f>
        <v>Thorin Rivegel</v>
      </c>
      <c r="O9" s="96" t="str">
        <f>IFERROR(__xludf.DUMMYFUNCTION("""COMPUTED_VALUE"""),"Jamais présent")</f>
        <v>Jamais présent</v>
      </c>
    </row>
    <row r="10">
      <c r="H10" s="91" t="str">
        <f>IFERROR(__xludf.DUMMYFUNCTION("""COMPUTED_VALUE"""),"Eclaireur")</f>
        <v>Eclaireur</v>
      </c>
      <c r="I10" s="92">
        <f>IFERROR(__xludf.DUMMYFUNCTION("""COMPUTED_VALUE"""),6.0)</f>
        <v>6</v>
      </c>
      <c r="K10" s="91" t="str">
        <f>IFERROR(__xludf.DUMMYFUNCTION("""COMPUTED_VALUE"""),"Eclaireur")</f>
        <v>Eclaireur</v>
      </c>
      <c r="L10" s="94">
        <f>IFERROR(__xludf.DUMMYFUNCTION("""COMPUTED_VALUE"""),2100.0)</f>
        <v>2100</v>
      </c>
      <c r="M10" s="58"/>
      <c r="N10" s="95" t="str">
        <f>IFERROR(__xludf.DUMMYFUNCTION("""COMPUTED_VALUE"""),"Kronk Grognon")</f>
        <v>Kronk Grognon</v>
      </c>
      <c r="O10" s="96" t="str">
        <f>IFERROR(__xludf.DUMMYFUNCTION("""COMPUTED_VALUE"""),"Jamais présent")</f>
        <v>Jamais présent</v>
      </c>
    </row>
    <row r="11">
      <c r="H11" s="91" t="str">
        <f>IFERROR(__xludf.DUMMYFUNCTION("""COMPUTED_VALUE"""),"Rivebois")</f>
        <v>Rivebois</v>
      </c>
      <c r="I11" s="92">
        <f>IFERROR(__xludf.DUMMYFUNCTION("""COMPUTED_VALUE"""),6.0)</f>
        <v>6</v>
      </c>
      <c r="K11" s="91" t="str">
        <f>IFERROR(__xludf.DUMMYFUNCTION("""COMPUTED_VALUE"""),"Rivebois")</f>
        <v>Rivebois</v>
      </c>
      <c r="L11" s="94">
        <f>IFERROR(__xludf.DUMMYFUNCTION("""COMPUTED_VALUE"""),2100.0)</f>
        <v>2100</v>
      </c>
      <c r="M11" s="58"/>
      <c r="N11" s="95" t="str">
        <f>IFERROR(__xludf.DUMMYFUNCTION("""COMPUTED_VALUE"""),"Gronk Grognon")</f>
        <v>Gronk Grognon</v>
      </c>
      <c r="O11" s="96" t="str">
        <f>IFERROR(__xludf.DUMMYFUNCTION("""COMPUTED_VALUE"""),"Jamais présent")</f>
        <v>Jamais présent</v>
      </c>
    </row>
    <row r="12">
      <c r="H12" s="98" t="str">
        <f>IFERROR(__xludf.DUMMYFUNCTION("""COMPUTED_VALUE"""),"Bois-de-Chêne")</f>
        <v>Bois-de-Chêne</v>
      </c>
      <c r="I12" s="99">
        <f>IFERROR(__xludf.DUMMYFUNCTION("""COMPUTED_VALUE"""),2.0)</f>
        <v>2</v>
      </c>
      <c r="K12" s="98" t="str">
        <f>IFERROR(__xludf.DUMMYFUNCTION("""COMPUTED_VALUE"""),"Bois-de-Chêne")</f>
        <v>Bois-de-Chêne</v>
      </c>
      <c r="L12" s="100">
        <f>IFERROR(__xludf.DUMMYFUNCTION("""COMPUTED_VALUE"""),700.0)</f>
        <v>700</v>
      </c>
      <c r="M12" s="18"/>
      <c r="N12" s="95" t="str">
        <f>IFERROR(__xludf.DUMMYFUNCTION("""COMPUTED_VALUE"""),"S'Khar")</f>
        <v>S'Khar</v>
      </c>
      <c r="O12" s="96" t="str">
        <f>IFERROR(__xludf.DUMMYFUNCTION("""COMPUTED_VALUE"""),"Jamais présent")</f>
        <v>Jamais présent</v>
      </c>
    </row>
    <row r="13">
      <c r="H13" s="8" t="str">
        <f>IFERROR(__xludf.DUMMYFUNCTION("""COMPUTED_VALUE"""),"Etat-Major")</f>
        <v>Etat-Major</v>
      </c>
      <c r="I13" s="8">
        <f>IFERROR(__xludf.DUMMYFUNCTION("""COMPUTED_VALUE"""),2.0)</f>
        <v>2</v>
      </c>
      <c r="K13" s="8" t="str">
        <f>IFERROR(__xludf.DUMMYFUNCTION("""COMPUTED_VALUE"""),"Etat-Major")</f>
        <v>Etat-Major</v>
      </c>
      <c r="L13" s="18">
        <f>IFERROR(__xludf.DUMMYFUNCTION("""COMPUTED_VALUE"""),700.0)</f>
        <v>700</v>
      </c>
      <c r="M13" s="18"/>
      <c r="N13" s="95" t="str">
        <f>IFERROR(__xludf.DUMMYFUNCTION("""COMPUTED_VALUE"""),"Eldrim Hache-Grise")</f>
        <v>Eldrim Hache-Grise</v>
      </c>
      <c r="O13" s="92" t="str">
        <f>IFERROR(__xludf.DUMMYFUNCTION("""COMPUTED_VALUE"""),"Jamais présent")</f>
        <v>Jamais présent</v>
      </c>
    </row>
    <row r="14">
      <c r="L14" s="18"/>
      <c r="M14" s="18"/>
      <c r="N14" s="95" t="str">
        <f>IFERROR(__xludf.DUMMYFUNCTION("""COMPUTED_VALUE"""),"Njalda")</f>
        <v>Njalda</v>
      </c>
      <c r="O14" s="92" t="str">
        <f>IFERROR(__xludf.DUMMYFUNCTION("""COMPUTED_VALUE"""),"Jamais présent")</f>
        <v>Jamais présent</v>
      </c>
    </row>
    <row r="15">
      <c r="L15" s="18"/>
      <c r="M15" s="18"/>
      <c r="N15" s="95" t="str">
        <f>IFERROR(__xludf.DUMMYFUNCTION("""COMPUTED_VALUE"""),"Darina")</f>
        <v>Darina</v>
      </c>
      <c r="O15" s="92" t="str">
        <f>IFERROR(__xludf.DUMMYFUNCTION("""COMPUTED_VALUE"""),"Jamais présent")</f>
        <v>Jamais présent</v>
      </c>
    </row>
    <row r="16">
      <c r="L16" s="18"/>
      <c r="M16" s="18"/>
      <c r="N16" s="95" t="str">
        <f>IFERROR(__xludf.DUMMYFUNCTION("""COMPUTED_VALUE"""),"Bernis")</f>
        <v>Bernis</v>
      </c>
      <c r="O16" s="92" t="str">
        <f>IFERROR(__xludf.DUMMYFUNCTION("""COMPUTED_VALUE"""),"Jamais présent")</f>
        <v>Jamais présent</v>
      </c>
    </row>
    <row r="17">
      <c r="L17" s="18"/>
      <c r="M17" s="18"/>
      <c r="N17" s="95" t="str">
        <f>IFERROR(__xludf.DUMMYFUNCTION("""COMPUTED_VALUE"""),"Drakgor gro-Drakar")</f>
        <v>Drakgor gro-Drakar</v>
      </c>
      <c r="O17" s="92" t="str">
        <f>IFERROR(__xludf.DUMMYFUNCTION("""COMPUTED_VALUE"""),"Jamais présent")</f>
        <v>Jamais présent</v>
      </c>
    </row>
    <row r="18">
      <c r="L18" s="18"/>
      <c r="M18" s="18"/>
      <c r="N18" s="95" t="str">
        <f>IFERROR(__xludf.DUMMYFUNCTION("""COMPUTED_VALUE"""),"Gorbash Tête-de-Pierre")</f>
        <v>Gorbash Tête-de-Pierre</v>
      </c>
      <c r="O18" s="92" t="str">
        <f>IFERROR(__xludf.DUMMYFUNCTION("""COMPUTED_VALUE"""),"Jamais présent")</f>
        <v>Jamais présent</v>
      </c>
    </row>
    <row r="19">
      <c r="L19" s="18"/>
      <c r="M19" s="18"/>
      <c r="N19" s="95" t="str">
        <f>IFERROR(__xludf.DUMMYFUNCTION("""COMPUTED_VALUE"""),"Armand De Valclair")</f>
        <v>Armand De Valclair</v>
      </c>
      <c r="O19" s="92" t="str">
        <f>IFERROR(__xludf.DUMMYFUNCTION("""COMPUTED_VALUE"""),"Jamais présent")</f>
        <v>Jamais présent</v>
      </c>
    </row>
    <row r="20">
      <c r="L20" s="18"/>
      <c r="M20" s="18"/>
      <c r="N20" s="95" t="str">
        <f>IFERROR(__xludf.DUMMYFUNCTION("""COMPUTED_VALUE"""),"Si'Yara dite Fou")</f>
        <v>Si'Yara dite Fou</v>
      </c>
      <c r="O20" s="92" t="str">
        <f>IFERROR(__xludf.DUMMYFUNCTION("""COMPUTED_VALUE"""),"Jamais présent")</f>
        <v>Jamais présent</v>
      </c>
    </row>
    <row r="21">
      <c r="L21" s="18"/>
      <c r="M21" s="18"/>
      <c r="N21" s="95" t="str">
        <f>IFERROR(__xludf.DUMMYFUNCTION("""COMPUTED_VALUE"""),"Lokh Tar")</f>
        <v>Lokh Tar</v>
      </c>
      <c r="O21" s="92" t="str">
        <f>IFERROR(__xludf.DUMMYFUNCTION("""COMPUTED_VALUE"""),"Jamais présent")</f>
        <v>Jamais présent</v>
      </c>
    </row>
    <row r="22">
      <c r="L22" s="18"/>
      <c r="M22" s="18"/>
      <c r="N22" s="95" t="str">
        <f>IFERROR(__xludf.DUMMYFUNCTION("""COMPUTED_VALUE"""),"Theodrek Heid")</f>
        <v>Theodrek Heid</v>
      </c>
      <c r="O22" s="92" t="str">
        <f>IFERROR(__xludf.DUMMYFUNCTION("""COMPUTED_VALUE"""),"Jamais présent")</f>
        <v>Jamais présent</v>
      </c>
    </row>
    <row r="23">
      <c r="L23" s="18"/>
      <c r="M23" s="18"/>
      <c r="N23" s="95" t="str">
        <f>IFERROR(__xludf.DUMMYFUNCTION("""COMPUTED_VALUE"""),"Lucius Ravenshield")</f>
        <v>Lucius Ravenshield</v>
      </c>
      <c r="O23" s="92" t="str">
        <f>IFERROR(__xludf.DUMMYFUNCTION("""COMPUTED_VALUE"""),"Jamais présent")</f>
        <v>Jamais présent</v>
      </c>
    </row>
    <row r="24">
      <c r="L24" s="18"/>
      <c r="M24" s="18"/>
      <c r="N24" s="95" t="str">
        <f>IFERROR(__xludf.DUMMYFUNCTION("""COMPUTED_VALUE"""),"Krakan Valyn")</f>
        <v>Krakan Valyn</v>
      </c>
      <c r="O24" s="92" t="str">
        <f>IFERROR(__xludf.DUMMYFUNCTION("""COMPUTED_VALUE"""),"Jamais présent")</f>
        <v>Jamais présent</v>
      </c>
    </row>
    <row r="25">
      <c r="L25" s="18"/>
      <c r="M25" s="18"/>
      <c r="N25" s="95" t="str">
        <f>IFERROR(__xludf.DUMMYFUNCTION("""COMPUTED_VALUE"""),"Rusco")</f>
        <v>Rusco</v>
      </c>
      <c r="O25" s="92" t="str">
        <f>IFERROR(__xludf.DUMMYFUNCTION("""COMPUTED_VALUE"""),"Jamais présent")</f>
        <v>Jamais présent</v>
      </c>
    </row>
    <row r="26">
      <c r="L26" s="18"/>
      <c r="M26" s="18"/>
      <c r="N26" s="95" t="str">
        <f>IFERROR(__xludf.DUMMYFUNCTION("""COMPUTED_VALUE"""),"Faynir")</f>
        <v>Faynir</v>
      </c>
      <c r="O26" s="92" t="str">
        <f>IFERROR(__xludf.DUMMYFUNCTION("""COMPUTED_VALUE"""),"Jamais présent")</f>
        <v>Jamais présent</v>
      </c>
    </row>
    <row r="27">
      <c r="L27" s="18"/>
      <c r="M27" s="18"/>
      <c r="N27" s="95" t="str">
        <f>IFERROR(__xludf.DUMMYFUNCTION("""COMPUTED_VALUE"""),"Varaa Uzgar")</f>
        <v>Varaa Uzgar</v>
      </c>
      <c r="O27" s="92" t="str">
        <f>IFERROR(__xludf.DUMMYFUNCTION("""COMPUTED_VALUE"""),"Jamais présent")</f>
        <v>Jamais présent</v>
      </c>
    </row>
    <row r="28">
      <c r="L28" s="18"/>
      <c r="M28" s="18"/>
      <c r="N28" s="95" t="str">
        <f>IFERROR(__xludf.DUMMYFUNCTION("""COMPUTED_VALUE"""),"Darius Blacktorn")</f>
        <v>Darius Blacktorn</v>
      </c>
      <c r="O28" s="92" t="str">
        <f>IFERROR(__xludf.DUMMYFUNCTION("""COMPUTED_VALUE"""),"Jamais présent")</f>
        <v>Jamais présent</v>
      </c>
    </row>
    <row r="29">
      <c r="L29" s="18"/>
      <c r="M29" s="18"/>
      <c r="N29" s="95"/>
      <c r="O29" s="92"/>
    </row>
    <row r="30">
      <c r="L30" s="18"/>
      <c r="M30" s="18"/>
      <c r="N30" s="95"/>
      <c r="O30" s="92"/>
    </row>
    <row r="31">
      <c r="L31" s="18"/>
      <c r="M31" s="18"/>
      <c r="N31" s="95"/>
      <c r="O31" s="92"/>
    </row>
    <row r="32">
      <c r="L32" s="18"/>
      <c r="M32" s="18"/>
      <c r="N32" s="95"/>
      <c r="O32" s="92"/>
    </row>
    <row r="33">
      <c r="L33" s="18"/>
      <c r="M33" s="18"/>
      <c r="N33" s="95"/>
      <c r="O33" s="92"/>
    </row>
    <row r="34">
      <c r="L34" s="18"/>
      <c r="M34" s="18"/>
      <c r="N34" s="95"/>
      <c r="O34" s="92"/>
    </row>
    <row r="35">
      <c r="L35" s="18"/>
      <c r="M35" s="18"/>
      <c r="N35" s="95"/>
      <c r="O35" s="92"/>
    </row>
    <row r="36">
      <c r="L36" s="18"/>
      <c r="M36" s="18"/>
      <c r="N36" s="95"/>
      <c r="O36" s="92"/>
    </row>
    <row r="37">
      <c r="L37" s="18"/>
      <c r="M37" s="18"/>
      <c r="N37" s="95"/>
      <c r="O37" s="92"/>
    </row>
    <row r="38">
      <c r="L38" s="18"/>
      <c r="M38" s="18"/>
      <c r="N38" s="95"/>
      <c r="O38" s="92"/>
    </row>
    <row r="39">
      <c r="L39" s="18"/>
      <c r="M39" s="18"/>
      <c r="N39" s="95"/>
      <c r="O39" s="92"/>
    </row>
    <row r="40">
      <c r="L40" s="18"/>
      <c r="M40" s="18"/>
      <c r="N40" s="95"/>
      <c r="O40" s="92"/>
    </row>
    <row r="41">
      <c r="L41" s="18"/>
      <c r="M41" s="18"/>
      <c r="N41" s="95"/>
      <c r="O41" s="92"/>
    </row>
    <row r="42">
      <c r="L42" s="18"/>
      <c r="M42" s="18"/>
      <c r="N42" s="95"/>
      <c r="O42" s="92"/>
    </row>
    <row r="43">
      <c r="L43" s="18"/>
      <c r="M43" s="18"/>
      <c r="N43" s="95"/>
      <c r="O43" s="92"/>
    </row>
    <row r="44">
      <c r="L44" s="18"/>
      <c r="M44" s="18"/>
      <c r="N44" s="95"/>
      <c r="O44" s="92"/>
    </row>
    <row r="45">
      <c r="L45" s="18"/>
      <c r="M45" s="18"/>
      <c r="N45" s="95"/>
      <c r="O45" s="92"/>
    </row>
    <row r="46">
      <c r="L46" s="18"/>
      <c r="M46" s="18"/>
      <c r="N46" s="101"/>
      <c r="O46" s="99"/>
    </row>
    <row r="47">
      <c r="L47" s="18"/>
      <c r="M47" s="18"/>
      <c r="N47" s="5" t="s">
        <v>152</v>
      </c>
      <c r="O47" s="18"/>
    </row>
    <row r="48">
      <c r="L48" s="18"/>
      <c r="M48" s="18"/>
      <c r="O48" s="18"/>
    </row>
    <row r="49">
      <c r="L49" s="18"/>
      <c r="M49" s="18"/>
      <c r="O49" s="18"/>
    </row>
    <row r="50">
      <c r="L50" s="18"/>
      <c r="M50" s="18"/>
      <c r="O50" s="18"/>
    </row>
    <row r="51">
      <c r="L51" s="18"/>
      <c r="M51" s="18"/>
      <c r="O51" s="18"/>
    </row>
    <row r="52">
      <c r="L52" s="18"/>
      <c r="M52" s="18"/>
      <c r="O52" s="18"/>
    </row>
    <row r="53">
      <c r="L53" s="18"/>
      <c r="M53" s="18"/>
      <c r="O53" s="18"/>
    </row>
    <row r="54">
      <c r="L54" s="18"/>
      <c r="M54" s="18"/>
      <c r="O54" s="18"/>
    </row>
    <row r="55">
      <c r="L55" s="18"/>
      <c r="M55" s="18"/>
      <c r="O55" s="18"/>
    </row>
    <row r="56">
      <c r="L56" s="18"/>
      <c r="M56" s="18"/>
      <c r="O56" s="18"/>
    </row>
    <row r="57">
      <c r="L57" s="18"/>
      <c r="M57" s="18"/>
      <c r="O57" s="18"/>
    </row>
    <row r="58">
      <c r="L58" s="18"/>
      <c r="M58" s="18"/>
      <c r="O58" s="18"/>
    </row>
    <row r="59">
      <c r="L59" s="18"/>
      <c r="M59" s="18"/>
      <c r="O59" s="18"/>
    </row>
    <row r="60">
      <c r="L60" s="18"/>
      <c r="M60" s="18"/>
      <c r="O60" s="18"/>
    </row>
    <row r="61">
      <c r="L61" s="18"/>
      <c r="M61" s="18"/>
      <c r="O61" s="18"/>
    </row>
    <row r="62">
      <c r="L62" s="18"/>
      <c r="M62" s="18"/>
      <c r="O62" s="18"/>
    </row>
    <row r="63">
      <c r="L63" s="18"/>
      <c r="M63" s="18"/>
      <c r="O63" s="18"/>
    </row>
    <row r="64">
      <c r="L64" s="18"/>
      <c r="M64" s="18"/>
      <c r="O64" s="18"/>
    </row>
    <row r="65">
      <c r="L65" s="18"/>
      <c r="M65" s="18"/>
      <c r="O65" s="18"/>
    </row>
    <row r="66">
      <c r="L66" s="18"/>
      <c r="M66" s="18"/>
      <c r="O66" s="18"/>
    </row>
    <row r="67">
      <c r="L67" s="18"/>
      <c r="M67" s="18"/>
      <c r="O67" s="18"/>
    </row>
    <row r="68">
      <c r="L68" s="18"/>
      <c r="M68" s="18"/>
      <c r="O68" s="18"/>
    </row>
    <row r="69">
      <c r="L69" s="18"/>
      <c r="M69" s="18"/>
      <c r="O69" s="18"/>
    </row>
    <row r="70">
      <c r="L70" s="18"/>
      <c r="M70" s="18"/>
      <c r="O70" s="18"/>
    </row>
    <row r="71">
      <c r="L71" s="18"/>
      <c r="M71" s="18"/>
      <c r="O71" s="18"/>
    </row>
    <row r="72">
      <c r="L72" s="18"/>
      <c r="M72" s="18"/>
      <c r="O72" s="18"/>
    </row>
    <row r="73">
      <c r="L73" s="18"/>
      <c r="M73" s="18"/>
      <c r="O73" s="18"/>
    </row>
    <row r="74">
      <c r="L74" s="18"/>
      <c r="M74" s="18"/>
      <c r="O74" s="18"/>
    </row>
    <row r="75">
      <c r="L75" s="18"/>
      <c r="M75" s="18"/>
      <c r="O75" s="18"/>
    </row>
    <row r="76">
      <c r="L76" s="18"/>
      <c r="M76" s="18"/>
      <c r="O76" s="18"/>
    </row>
    <row r="77">
      <c r="L77" s="18"/>
      <c r="M77" s="18"/>
      <c r="O77" s="18"/>
    </row>
    <row r="78">
      <c r="L78" s="18"/>
      <c r="M78" s="18"/>
      <c r="O78" s="18"/>
    </row>
    <row r="79">
      <c r="L79" s="18"/>
      <c r="M79" s="18"/>
      <c r="O79" s="18"/>
    </row>
    <row r="80">
      <c r="L80" s="18"/>
      <c r="M80" s="18"/>
      <c r="O80" s="18"/>
    </row>
    <row r="81">
      <c r="L81" s="18"/>
      <c r="M81" s="18"/>
      <c r="O81" s="18"/>
    </row>
    <row r="82">
      <c r="L82" s="18"/>
      <c r="M82" s="18"/>
      <c r="O82" s="18"/>
    </row>
    <row r="83">
      <c r="L83" s="18"/>
      <c r="M83" s="18"/>
      <c r="O83" s="18"/>
    </row>
    <row r="84">
      <c r="L84" s="18"/>
      <c r="M84" s="18"/>
      <c r="O84" s="18"/>
    </row>
    <row r="85">
      <c r="L85" s="18"/>
      <c r="M85" s="18"/>
      <c r="O85" s="18"/>
    </row>
    <row r="86">
      <c r="L86" s="18"/>
      <c r="M86" s="18"/>
      <c r="O86" s="18"/>
    </row>
    <row r="87">
      <c r="L87" s="18"/>
      <c r="M87" s="18"/>
      <c r="O87" s="18"/>
    </row>
    <row r="88">
      <c r="L88" s="18"/>
      <c r="M88" s="18"/>
      <c r="O88" s="18"/>
    </row>
    <row r="89">
      <c r="L89" s="18"/>
      <c r="M89" s="18"/>
      <c r="O89" s="18"/>
    </row>
    <row r="90">
      <c r="L90" s="18"/>
      <c r="M90" s="18"/>
      <c r="O90" s="18"/>
    </row>
    <row r="91">
      <c r="L91" s="18"/>
      <c r="M91" s="18"/>
      <c r="O91" s="18"/>
    </row>
    <row r="92">
      <c r="L92" s="18"/>
      <c r="M92" s="18"/>
      <c r="O92" s="18"/>
    </row>
    <row r="93">
      <c r="L93" s="18"/>
      <c r="M93" s="18"/>
      <c r="O93" s="18"/>
    </row>
    <row r="94">
      <c r="L94" s="18"/>
      <c r="M94" s="18"/>
      <c r="O94" s="18"/>
    </row>
    <row r="95">
      <c r="L95" s="18"/>
      <c r="M95" s="18"/>
      <c r="O95" s="18"/>
    </row>
    <row r="96">
      <c r="L96" s="18"/>
      <c r="M96" s="18"/>
      <c r="O96" s="18"/>
    </row>
    <row r="97">
      <c r="L97" s="18"/>
      <c r="M97" s="18"/>
      <c r="O97" s="18"/>
    </row>
    <row r="98">
      <c r="L98" s="18"/>
      <c r="M98" s="18"/>
      <c r="O98" s="18"/>
    </row>
    <row r="99">
      <c r="L99" s="18"/>
      <c r="M99" s="18"/>
      <c r="O99" s="18"/>
    </row>
    <row r="100">
      <c r="L100" s="18"/>
      <c r="M100" s="18"/>
      <c r="O100" s="18"/>
    </row>
    <row r="101">
      <c r="L101" s="18"/>
      <c r="M101" s="18"/>
      <c r="O101" s="18"/>
    </row>
    <row r="102">
      <c r="L102" s="18"/>
      <c r="M102" s="18"/>
      <c r="O102" s="18"/>
    </row>
    <row r="103">
      <c r="L103" s="18"/>
      <c r="M103" s="18"/>
      <c r="O103" s="18"/>
    </row>
    <row r="104">
      <c r="L104" s="18"/>
      <c r="M104" s="18"/>
      <c r="O104" s="18"/>
    </row>
    <row r="105">
      <c r="L105" s="18"/>
      <c r="M105" s="18"/>
      <c r="O105" s="18"/>
    </row>
    <row r="106">
      <c r="L106" s="18"/>
      <c r="M106" s="18"/>
      <c r="O106" s="18"/>
    </row>
    <row r="107">
      <c r="L107" s="18"/>
      <c r="M107" s="18"/>
      <c r="O107" s="18"/>
    </row>
    <row r="108">
      <c r="L108" s="18"/>
      <c r="M108" s="18"/>
      <c r="O108" s="18"/>
    </row>
    <row r="109">
      <c r="L109" s="18"/>
      <c r="M109" s="18"/>
      <c r="O109" s="18"/>
    </row>
    <row r="110">
      <c r="L110" s="18"/>
      <c r="M110" s="18"/>
      <c r="O110" s="18"/>
    </row>
    <row r="111">
      <c r="L111" s="18"/>
      <c r="M111" s="18"/>
      <c r="O111" s="18"/>
    </row>
    <row r="112">
      <c r="L112" s="18"/>
      <c r="M112" s="18"/>
      <c r="O112" s="18"/>
    </row>
    <row r="113">
      <c r="L113" s="18"/>
      <c r="M113" s="18"/>
      <c r="O113" s="18"/>
    </row>
    <row r="114">
      <c r="L114" s="18"/>
      <c r="M114" s="18"/>
      <c r="O114" s="18"/>
    </row>
    <row r="115">
      <c r="L115" s="18"/>
      <c r="M115" s="18"/>
      <c r="O115" s="18"/>
    </row>
    <row r="116">
      <c r="L116" s="18"/>
      <c r="M116" s="18"/>
      <c r="O116" s="18"/>
    </row>
    <row r="117">
      <c r="L117" s="18"/>
      <c r="M117" s="18"/>
      <c r="O117" s="18"/>
    </row>
    <row r="118">
      <c r="L118" s="18"/>
      <c r="M118" s="18"/>
      <c r="O118" s="18"/>
    </row>
    <row r="119">
      <c r="L119" s="18"/>
      <c r="M119" s="18"/>
      <c r="O119" s="18"/>
    </row>
    <row r="120">
      <c r="L120" s="18"/>
      <c r="M120" s="18"/>
      <c r="O120" s="18"/>
    </row>
    <row r="121">
      <c r="L121" s="18"/>
      <c r="M121" s="18"/>
      <c r="O121" s="18"/>
    </row>
    <row r="122">
      <c r="L122" s="18"/>
      <c r="M122" s="18"/>
      <c r="O122" s="18"/>
    </row>
    <row r="123">
      <c r="L123" s="18"/>
      <c r="M123" s="18"/>
      <c r="O123" s="18"/>
    </row>
    <row r="124">
      <c r="L124" s="18"/>
      <c r="M124" s="18"/>
      <c r="O124" s="18"/>
    </row>
    <row r="125">
      <c r="L125" s="18"/>
      <c r="M125" s="18"/>
      <c r="O125" s="18"/>
    </row>
    <row r="126">
      <c r="L126" s="18"/>
      <c r="M126" s="18"/>
      <c r="O126" s="18"/>
    </row>
    <row r="127">
      <c r="L127" s="18"/>
      <c r="M127" s="18"/>
      <c r="O127" s="18"/>
    </row>
    <row r="128">
      <c r="L128" s="18"/>
      <c r="M128" s="18"/>
      <c r="O128" s="18"/>
    </row>
    <row r="129">
      <c r="L129" s="18"/>
      <c r="M129" s="18"/>
      <c r="O129" s="18"/>
    </row>
    <row r="130">
      <c r="L130" s="18"/>
      <c r="M130" s="18"/>
      <c r="O130" s="18"/>
    </row>
    <row r="131">
      <c r="L131" s="18"/>
      <c r="M131" s="18"/>
      <c r="O131" s="18"/>
    </row>
    <row r="132">
      <c r="L132" s="18"/>
      <c r="M132" s="18"/>
      <c r="O132" s="18"/>
    </row>
    <row r="133">
      <c r="L133" s="18"/>
      <c r="M133" s="18"/>
      <c r="O133" s="18"/>
    </row>
    <row r="134">
      <c r="L134" s="18"/>
      <c r="M134" s="18"/>
      <c r="O134" s="18"/>
    </row>
    <row r="135">
      <c r="L135" s="18"/>
      <c r="M135" s="18"/>
      <c r="O135" s="18"/>
    </row>
    <row r="136">
      <c r="L136" s="18"/>
      <c r="M136" s="18"/>
      <c r="O136" s="18"/>
    </row>
    <row r="137">
      <c r="L137" s="18"/>
      <c r="M137" s="18"/>
      <c r="O137" s="18"/>
    </row>
    <row r="138">
      <c r="L138" s="18"/>
      <c r="M138" s="18"/>
      <c r="O138" s="18"/>
    </row>
    <row r="139">
      <c r="L139" s="18"/>
      <c r="M139" s="18"/>
      <c r="O139" s="18"/>
    </row>
    <row r="140">
      <c r="L140" s="18"/>
      <c r="M140" s="18"/>
      <c r="O140" s="18"/>
    </row>
    <row r="141">
      <c r="L141" s="18"/>
      <c r="M141" s="18"/>
      <c r="O141" s="18"/>
    </row>
    <row r="142">
      <c r="L142" s="18"/>
      <c r="M142" s="18"/>
      <c r="O142" s="18"/>
    </row>
    <row r="143">
      <c r="L143" s="18"/>
      <c r="M143" s="18"/>
      <c r="O143" s="18"/>
    </row>
    <row r="144">
      <c r="L144" s="18"/>
      <c r="M144" s="18"/>
      <c r="O144" s="18"/>
    </row>
    <row r="145">
      <c r="L145" s="18"/>
      <c r="M145" s="18"/>
      <c r="O145" s="18"/>
    </row>
    <row r="146">
      <c r="L146" s="18"/>
      <c r="M146" s="18"/>
      <c r="O146" s="18"/>
    </row>
    <row r="147">
      <c r="L147" s="18"/>
      <c r="M147" s="18"/>
      <c r="O147" s="18"/>
    </row>
    <row r="148">
      <c r="L148" s="18"/>
      <c r="M148" s="18"/>
      <c r="O148" s="18"/>
    </row>
    <row r="149">
      <c r="L149" s="18"/>
      <c r="M149" s="18"/>
      <c r="O149" s="18"/>
    </row>
    <row r="150">
      <c r="L150" s="18"/>
      <c r="M150" s="18"/>
      <c r="O150" s="18"/>
    </row>
    <row r="151">
      <c r="L151" s="18"/>
      <c r="M151" s="18"/>
      <c r="O151" s="18"/>
    </row>
    <row r="152">
      <c r="L152" s="18"/>
      <c r="M152" s="18"/>
      <c r="O152" s="18"/>
    </row>
    <row r="153">
      <c r="L153" s="18"/>
      <c r="M153" s="18"/>
      <c r="O153" s="18"/>
    </row>
    <row r="154">
      <c r="L154" s="18"/>
      <c r="M154" s="18"/>
      <c r="O154" s="18"/>
    </row>
    <row r="155">
      <c r="L155" s="18"/>
      <c r="M155" s="18"/>
      <c r="O155" s="18"/>
    </row>
    <row r="156">
      <c r="L156" s="18"/>
      <c r="M156" s="18"/>
      <c r="O156" s="18"/>
    </row>
    <row r="157">
      <c r="L157" s="18"/>
      <c r="M157" s="18"/>
      <c r="O157" s="18"/>
    </row>
    <row r="158">
      <c r="L158" s="18"/>
      <c r="M158" s="18"/>
      <c r="O158" s="18"/>
    </row>
    <row r="159">
      <c r="L159" s="18"/>
      <c r="M159" s="18"/>
      <c r="O159" s="18"/>
    </row>
    <row r="160">
      <c r="L160" s="18"/>
      <c r="M160" s="18"/>
      <c r="O160" s="18"/>
    </row>
    <row r="161">
      <c r="L161" s="18"/>
      <c r="M161" s="18"/>
      <c r="O161" s="18"/>
    </row>
    <row r="162">
      <c r="L162" s="18"/>
      <c r="M162" s="18"/>
      <c r="O162" s="18"/>
    </row>
    <row r="163">
      <c r="L163" s="18"/>
      <c r="M163" s="18"/>
      <c r="O163" s="18"/>
    </row>
    <row r="164">
      <c r="L164" s="18"/>
      <c r="M164" s="18"/>
      <c r="O164" s="18"/>
    </row>
    <row r="165">
      <c r="L165" s="18"/>
      <c r="M165" s="18"/>
      <c r="O165" s="18"/>
    </row>
    <row r="166">
      <c r="L166" s="18"/>
      <c r="M166" s="18"/>
      <c r="O166" s="18"/>
    </row>
    <row r="167">
      <c r="L167" s="18"/>
      <c r="M167" s="18"/>
      <c r="O167" s="18"/>
    </row>
    <row r="168">
      <c r="L168" s="18"/>
      <c r="M168" s="18"/>
      <c r="O168" s="18"/>
    </row>
    <row r="169">
      <c r="L169" s="18"/>
      <c r="M169" s="18"/>
      <c r="O169" s="18"/>
    </row>
    <row r="170">
      <c r="L170" s="18"/>
      <c r="M170" s="18"/>
      <c r="O170" s="18"/>
    </row>
    <row r="171">
      <c r="L171" s="18"/>
      <c r="M171" s="18"/>
      <c r="O171" s="18"/>
    </row>
    <row r="172">
      <c r="L172" s="18"/>
      <c r="M172" s="18"/>
      <c r="O172" s="18"/>
    </row>
    <row r="173">
      <c r="L173" s="18"/>
      <c r="M173" s="18"/>
      <c r="O173" s="18"/>
    </row>
    <row r="174">
      <c r="L174" s="18"/>
      <c r="M174" s="18"/>
      <c r="O174" s="18"/>
    </row>
    <row r="175">
      <c r="L175" s="18"/>
      <c r="M175" s="18"/>
      <c r="O175" s="18"/>
    </row>
    <row r="176">
      <c r="L176" s="18"/>
      <c r="M176" s="18"/>
      <c r="O176" s="18"/>
    </row>
    <row r="177">
      <c r="L177" s="18"/>
      <c r="M177" s="18"/>
      <c r="O177" s="18"/>
    </row>
    <row r="178">
      <c r="L178" s="18"/>
      <c r="M178" s="18"/>
      <c r="O178" s="18"/>
    </row>
    <row r="179">
      <c r="L179" s="18"/>
      <c r="M179" s="18"/>
      <c r="O179" s="18"/>
    </row>
    <row r="180">
      <c r="L180" s="18"/>
      <c r="M180" s="18"/>
      <c r="O180" s="18"/>
    </row>
    <row r="181">
      <c r="L181" s="18"/>
      <c r="M181" s="18"/>
      <c r="O181" s="18"/>
    </row>
    <row r="182">
      <c r="L182" s="18"/>
      <c r="M182" s="18"/>
      <c r="O182" s="18"/>
    </row>
    <row r="183">
      <c r="L183" s="18"/>
      <c r="M183" s="18"/>
      <c r="O183" s="18"/>
    </row>
    <row r="184">
      <c r="L184" s="18"/>
      <c r="M184" s="18"/>
      <c r="O184" s="18"/>
    </row>
    <row r="185">
      <c r="L185" s="18"/>
      <c r="M185" s="18"/>
      <c r="O185" s="18"/>
    </row>
    <row r="186">
      <c r="L186" s="18"/>
      <c r="M186" s="18"/>
      <c r="O186" s="18"/>
    </row>
    <row r="187">
      <c r="L187" s="18"/>
      <c r="M187" s="18"/>
      <c r="O187" s="18"/>
    </row>
    <row r="188">
      <c r="L188" s="18"/>
      <c r="M188" s="18"/>
      <c r="O188" s="18"/>
    </row>
    <row r="189">
      <c r="L189" s="18"/>
      <c r="M189" s="18"/>
      <c r="O189" s="18"/>
    </row>
    <row r="190">
      <c r="L190" s="18"/>
      <c r="M190" s="18"/>
      <c r="O190" s="18"/>
    </row>
    <row r="191">
      <c r="L191" s="18"/>
      <c r="M191" s="18"/>
      <c r="O191" s="18"/>
    </row>
    <row r="192">
      <c r="L192" s="18"/>
      <c r="M192" s="18"/>
      <c r="O192" s="18"/>
    </row>
    <row r="193">
      <c r="L193" s="18"/>
      <c r="M193" s="18"/>
      <c r="O193" s="18"/>
    </row>
    <row r="194">
      <c r="L194" s="18"/>
      <c r="M194" s="18"/>
      <c r="O194" s="18"/>
    </row>
    <row r="195">
      <c r="L195" s="18"/>
      <c r="M195" s="18"/>
      <c r="O195" s="18"/>
    </row>
    <row r="196">
      <c r="L196" s="18"/>
      <c r="M196" s="18"/>
      <c r="O196" s="18"/>
    </row>
    <row r="197">
      <c r="L197" s="18"/>
      <c r="M197" s="18"/>
      <c r="O197" s="18"/>
    </row>
    <row r="198">
      <c r="L198" s="18"/>
      <c r="M198" s="18"/>
      <c r="O198" s="18"/>
    </row>
    <row r="199">
      <c r="L199" s="18"/>
      <c r="M199" s="18"/>
      <c r="O199" s="18"/>
    </row>
    <row r="200">
      <c r="L200" s="18"/>
      <c r="M200" s="18"/>
      <c r="O200" s="18"/>
    </row>
    <row r="201">
      <c r="L201" s="18"/>
      <c r="M201" s="18"/>
      <c r="O201" s="18"/>
    </row>
    <row r="202">
      <c r="L202" s="18"/>
      <c r="M202" s="18"/>
      <c r="O202" s="18"/>
    </row>
    <row r="203">
      <c r="L203" s="18"/>
      <c r="M203" s="18"/>
      <c r="O203" s="18"/>
    </row>
    <row r="204">
      <c r="L204" s="18"/>
      <c r="M204" s="18"/>
      <c r="O204" s="18"/>
    </row>
    <row r="205">
      <c r="L205" s="18"/>
      <c r="M205" s="18"/>
      <c r="O205" s="18"/>
    </row>
    <row r="206">
      <c r="L206" s="18"/>
      <c r="M206" s="18"/>
      <c r="O206" s="18"/>
    </row>
    <row r="207">
      <c r="L207" s="18"/>
      <c r="M207" s="18"/>
      <c r="O207" s="18"/>
    </row>
    <row r="208">
      <c r="L208" s="18"/>
      <c r="M208" s="18"/>
      <c r="O208" s="18"/>
    </row>
    <row r="209">
      <c r="L209" s="18"/>
      <c r="M209" s="18"/>
      <c r="O209" s="18"/>
    </row>
    <row r="210">
      <c r="L210" s="18"/>
      <c r="M210" s="18"/>
      <c r="O210" s="18"/>
    </row>
    <row r="211">
      <c r="L211" s="18"/>
      <c r="M211" s="18"/>
      <c r="O211" s="18"/>
    </row>
    <row r="212">
      <c r="L212" s="18"/>
      <c r="M212" s="18"/>
      <c r="O212" s="18"/>
    </row>
    <row r="213">
      <c r="L213" s="18"/>
      <c r="M213" s="18"/>
      <c r="O213" s="18"/>
    </row>
    <row r="214">
      <c r="L214" s="18"/>
      <c r="M214" s="18"/>
      <c r="O214" s="18"/>
    </row>
    <row r="215">
      <c r="L215" s="18"/>
      <c r="M215" s="18"/>
      <c r="O215" s="18"/>
    </row>
    <row r="216">
      <c r="L216" s="18"/>
      <c r="M216" s="18"/>
      <c r="O216" s="18"/>
    </row>
    <row r="217">
      <c r="L217" s="18"/>
      <c r="M217" s="18"/>
      <c r="O217" s="18"/>
    </row>
    <row r="218">
      <c r="L218" s="18"/>
      <c r="M218" s="18"/>
      <c r="O218" s="18"/>
    </row>
    <row r="219">
      <c r="L219" s="18"/>
      <c r="M219" s="18"/>
      <c r="O219" s="18"/>
    </row>
    <row r="220">
      <c r="L220" s="18"/>
      <c r="M220" s="18"/>
      <c r="O220" s="18"/>
    </row>
    <row r="221">
      <c r="L221" s="18"/>
      <c r="M221" s="18"/>
      <c r="O221" s="18"/>
    </row>
    <row r="222">
      <c r="L222" s="18"/>
      <c r="M222" s="18"/>
      <c r="O222" s="18"/>
    </row>
    <row r="223">
      <c r="L223" s="18"/>
      <c r="M223" s="18"/>
      <c r="O223" s="18"/>
    </row>
    <row r="224">
      <c r="L224" s="18"/>
      <c r="M224" s="18"/>
      <c r="O224" s="18"/>
    </row>
    <row r="225">
      <c r="L225" s="18"/>
      <c r="M225" s="18"/>
      <c r="O225" s="18"/>
    </row>
    <row r="226">
      <c r="L226" s="18"/>
      <c r="M226" s="18"/>
      <c r="O226" s="18"/>
    </row>
    <row r="227">
      <c r="L227" s="18"/>
      <c r="M227" s="18"/>
      <c r="O227" s="18"/>
    </row>
    <row r="228">
      <c r="L228" s="18"/>
      <c r="M228" s="18"/>
      <c r="O228" s="18"/>
    </row>
    <row r="229">
      <c r="L229" s="18"/>
      <c r="M229" s="18"/>
      <c r="O229" s="18"/>
    </row>
    <row r="230">
      <c r="L230" s="18"/>
      <c r="M230" s="18"/>
      <c r="O230" s="18"/>
    </row>
    <row r="231">
      <c r="L231" s="18"/>
      <c r="M231" s="18"/>
      <c r="O231" s="18"/>
    </row>
    <row r="232">
      <c r="L232" s="18"/>
      <c r="M232" s="18"/>
      <c r="O232" s="18"/>
    </row>
    <row r="233">
      <c r="L233" s="18"/>
      <c r="M233" s="18"/>
      <c r="O233" s="18"/>
    </row>
    <row r="234">
      <c r="L234" s="18"/>
      <c r="M234" s="18"/>
      <c r="O234" s="18"/>
    </row>
    <row r="235">
      <c r="L235" s="18"/>
      <c r="M235" s="18"/>
      <c r="O235" s="18"/>
    </row>
    <row r="236">
      <c r="L236" s="18"/>
      <c r="M236" s="18"/>
      <c r="O236" s="18"/>
    </row>
    <row r="237">
      <c r="L237" s="18"/>
      <c r="M237" s="18"/>
      <c r="O237" s="18"/>
    </row>
    <row r="238">
      <c r="L238" s="18"/>
      <c r="M238" s="18"/>
      <c r="O238" s="18"/>
    </row>
    <row r="239">
      <c r="L239" s="18"/>
      <c r="M239" s="18"/>
      <c r="O239" s="18"/>
    </row>
    <row r="240">
      <c r="L240" s="18"/>
      <c r="M240" s="18"/>
      <c r="O240" s="18"/>
    </row>
    <row r="241">
      <c r="L241" s="18"/>
      <c r="M241" s="18"/>
      <c r="O241" s="18"/>
    </row>
    <row r="242">
      <c r="L242" s="18"/>
      <c r="M242" s="18"/>
      <c r="O242" s="18"/>
    </row>
    <row r="243">
      <c r="L243" s="18"/>
      <c r="M243" s="18"/>
      <c r="O243" s="18"/>
    </row>
    <row r="244">
      <c r="L244" s="18"/>
      <c r="M244" s="18"/>
      <c r="O244" s="18"/>
    </row>
    <row r="245">
      <c r="L245" s="18"/>
      <c r="M245" s="18"/>
      <c r="O245" s="18"/>
    </row>
    <row r="246">
      <c r="L246" s="18"/>
      <c r="M246" s="18"/>
      <c r="O246" s="18"/>
    </row>
    <row r="247">
      <c r="L247" s="18"/>
      <c r="M247" s="18"/>
      <c r="O247" s="18"/>
    </row>
    <row r="248">
      <c r="L248" s="18"/>
      <c r="M248" s="18"/>
      <c r="O248" s="18"/>
    </row>
    <row r="249">
      <c r="L249" s="18"/>
      <c r="M249" s="18"/>
      <c r="O249" s="18"/>
    </row>
    <row r="250">
      <c r="L250" s="18"/>
      <c r="M250" s="18"/>
      <c r="O250" s="18"/>
    </row>
    <row r="251">
      <c r="L251" s="18"/>
      <c r="M251" s="18"/>
      <c r="O251" s="18"/>
    </row>
    <row r="252">
      <c r="L252" s="18"/>
      <c r="M252" s="18"/>
      <c r="O252" s="18"/>
    </row>
    <row r="253">
      <c r="L253" s="18"/>
      <c r="M253" s="18"/>
      <c r="O253" s="18"/>
    </row>
    <row r="254">
      <c r="L254" s="18"/>
      <c r="M254" s="18"/>
      <c r="O254" s="18"/>
    </row>
    <row r="255">
      <c r="L255" s="18"/>
      <c r="M255" s="18"/>
      <c r="O255" s="18"/>
    </row>
    <row r="256">
      <c r="L256" s="18"/>
      <c r="M256" s="18"/>
      <c r="O256" s="18"/>
    </row>
    <row r="257">
      <c r="L257" s="18"/>
      <c r="M257" s="18"/>
      <c r="O257" s="18"/>
    </row>
    <row r="258">
      <c r="L258" s="18"/>
      <c r="M258" s="18"/>
      <c r="O258" s="18"/>
    </row>
    <row r="259">
      <c r="L259" s="18"/>
      <c r="M259" s="18"/>
      <c r="O259" s="18"/>
    </row>
    <row r="260">
      <c r="L260" s="18"/>
      <c r="M260" s="18"/>
      <c r="O260" s="18"/>
    </row>
    <row r="261">
      <c r="L261" s="18"/>
      <c r="M261" s="18"/>
      <c r="O261" s="18"/>
    </row>
    <row r="262">
      <c r="L262" s="18"/>
      <c r="M262" s="18"/>
      <c r="O262" s="18"/>
    </row>
    <row r="263">
      <c r="L263" s="18"/>
      <c r="M263" s="18"/>
      <c r="O263" s="18"/>
    </row>
    <row r="264">
      <c r="L264" s="18"/>
      <c r="M264" s="18"/>
      <c r="O264" s="18"/>
    </row>
    <row r="265">
      <c r="L265" s="18"/>
      <c r="M265" s="18"/>
      <c r="O265" s="18"/>
    </row>
    <row r="266">
      <c r="L266" s="18"/>
      <c r="M266" s="18"/>
      <c r="O266" s="18"/>
    </row>
    <row r="267">
      <c r="L267" s="18"/>
      <c r="M267" s="18"/>
      <c r="O267" s="18"/>
    </row>
    <row r="268">
      <c r="L268" s="18"/>
      <c r="M268" s="18"/>
      <c r="O268" s="18"/>
    </row>
    <row r="269">
      <c r="L269" s="18"/>
      <c r="M269" s="18"/>
      <c r="O269" s="18"/>
    </row>
    <row r="270">
      <c r="L270" s="18"/>
      <c r="M270" s="18"/>
      <c r="O270" s="18"/>
    </row>
    <row r="271">
      <c r="L271" s="18"/>
      <c r="M271" s="18"/>
      <c r="O271" s="18"/>
    </row>
    <row r="272">
      <c r="L272" s="18"/>
      <c r="M272" s="18"/>
      <c r="O272" s="18"/>
    </row>
    <row r="273">
      <c r="L273" s="18"/>
      <c r="M273" s="18"/>
      <c r="O273" s="18"/>
    </row>
    <row r="274">
      <c r="L274" s="18"/>
      <c r="M274" s="18"/>
      <c r="O274" s="18"/>
    </row>
    <row r="275">
      <c r="L275" s="18"/>
      <c r="M275" s="18"/>
      <c r="O275" s="18"/>
    </row>
    <row r="276">
      <c r="L276" s="18"/>
      <c r="M276" s="18"/>
      <c r="O276" s="18"/>
    </row>
    <row r="277">
      <c r="L277" s="18"/>
      <c r="M277" s="18"/>
      <c r="O277" s="18"/>
    </row>
    <row r="278">
      <c r="L278" s="18"/>
      <c r="M278" s="18"/>
      <c r="O278" s="18"/>
    </row>
    <row r="279">
      <c r="L279" s="18"/>
      <c r="M279" s="18"/>
      <c r="O279" s="18"/>
    </row>
    <row r="280">
      <c r="L280" s="18"/>
      <c r="M280" s="18"/>
      <c r="O280" s="18"/>
    </row>
    <row r="281">
      <c r="L281" s="18"/>
      <c r="M281" s="18"/>
      <c r="O281" s="18"/>
    </row>
    <row r="282">
      <c r="L282" s="18"/>
      <c r="M282" s="18"/>
      <c r="O282" s="18"/>
    </row>
    <row r="283">
      <c r="L283" s="18"/>
      <c r="M283" s="18"/>
      <c r="O283" s="18"/>
    </row>
    <row r="284">
      <c r="L284" s="18"/>
      <c r="M284" s="18"/>
      <c r="O284" s="18"/>
    </row>
    <row r="285">
      <c r="L285" s="18"/>
      <c r="M285" s="18"/>
      <c r="O285" s="18"/>
    </row>
    <row r="286">
      <c r="L286" s="18"/>
      <c r="M286" s="18"/>
      <c r="O286" s="18"/>
    </row>
    <row r="287">
      <c r="L287" s="18"/>
      <c r="M287" s="18"/>
      <c r="O287" s="18"/>
    </row>
    <row r="288">
      <c r="L288" s="18"/>
      <c r="M288" s="18"/>
      <c r="O288" s="18"/>
    </row>
    <row r="289">
      <c r="L289" s="18"/>
      <c r="M289" s="18"/>
      <c r="O289" s="18"/>
    </row>
    <row r="290">
      <c r="L290" s="18"/>
      <c r="M290" s="18"/>
      <c r="O290" s="18"/>
    </row>
    <row r="291">
      <c r="L291" s="18"/>
      <c r="M291" s="18"/>
      <c r="O291" s="18"/>
    </row>
    <row r="292">
      <c r="L292" s="18"/>
      <c r="M292" s="18"/>
      <c r="O292" s="18"/>
    </row>
    <row r="293">
      <c r="L293" s="18"/>
      <c r="M293" s="18"/>
      <c r="O293" s="18"/>
    </row>
    <row r="294">
      <c r="L294" s="18"/>
      <c r="M294" s="18"/>
      <c r="O294" s="18"/>
    </row>
    <row r="295">
      <c r="L295" s="18"/>
      <c r="M295" s="18"/>
      <c r="O295" s="18"/>
    </row>
    <row r="296">
      <c r="L296" s="18"/>
      <c r="M296" s="18"/>
      <c r="O296" s="18"/>
    </row>
    <row r="297">
      <c r="L297" s="18"/>
      <c r="M297" s="18"/>
      <c r="O297" s="18"/>
    </row>
    <row r="298">
      <c r="L298" s="18"/>
      <c r="M298" s="18"/>
      <c r="O298" s="18"/>
    </row>
    <row r="299">
      <c r="L299" s="18"/>
      <c r="M299" s="18"/>
      <c r="O299" s="18"/>
    </row>
    <row r="300">
      <c r="L300" s="18"/>
      <c r="M300" s="18"/>
      <c r="O300" s="18"/>
    </row>
    <row r="301">
      <c r="L301" s="18"/>
      <c r="M301" s="18"/>
      <c r="O301" s="18"/>
    </row>
    <row r="302">
      <c r="L302" s="18"/>
      <c r="M302" s="18"/>
      <c r="O302" s="18"/>
    </row>
    <row r="303">
      <c r="L303" s="18"/>
      <c r="M303" s="18"/>
      <c r="O303" s="18"/>
    </row>
    <row r="304">
      <c r="L304" s="18"/>
      <c r="M304" s="18"/>
      <c r="O304" s="18"/>
    </row>
    <row r="305">
      <c r="L305" s="18"/>
      <c r="M305" s="18"/>
      <c r="O305" s="18"/>
    </row>
    <row r="306">
      <c r="L306" s="18"/>
      <c r="M306" s="18"/>
      <c r="O306" s="18"/>
    </row>
    <row r="307">
      <c r="L307" s="18"/>
      <c r="M307" s="18"/>
      <c r="O307" s="18"/>
    </row>
    <row r="308">
      <c r="L308" s="18"/>
      <c r="M308" s="18"/>
      <c r="O308" s="18"/>
    </row>
    <row r="309">
      <c r="L309" s="18"/>
      <c r="M309" s="18"/>
      <c r="O309" s="18"/>
    </row>
    <row r="310">
      <c r="L310" s="18"/>
      <c r="M310" s="18"/>
      <c r="O310" s="18"/>
    </row>
    <row r="311">
      <c r="L311" s="18"/>
      <c r="M311" s="18"/>
      <c r="O311" s="18"/>
    </row>
    <row r="312">
      <c r="L312" s="18"/>
      <c r="M312" s="18"/>
      <c r="O312" s="18"/>
    </row>
    <row r="313">
      <c r="L313" s="18"/>
      <c r="M313" s="18"/>
      <c r="O313" s="18"/>
    </row>
    <row r="314">
      <c r="L314" s="18"/>
      <c r="M314" s="18"/>
      <c r="O314" s="18"/>
    </row>
    <row r="315">
      <c r="L315" s="18"/>
      <c r="M315" s="18"/>
      <c r="O315" s="18"/>
    </row>
    <row r="316">
      <c r="L316" s="18"/>
      <c r="M316" s="18"/>
      <c r="O316" s="18"/>
    </row>
    <row r="317">
      <c r="L317" s="18"/>
      <c r="M317" s="18"/>
      <c r="O317" s="18"/>
    </row>
    <row r="318">
      <c r="L318" s="18"/>
      <c r="M318" s="18"/>
      <c r="O318" s="18"/>
    </row>
    <row r="319">
      <c r="L319" s="18"/>
      <c r="M319" s="18"/>
      <c r="O319" s="18"/>
    </row>
    <row r="320">
      <c r="L320" s="18"/>
      <c r="M320" s="18"/>
      <c r="O320" s="18"/>
    </row>
    <row r="321">
      <c r="L321" s="18"/>
      <c r="M321" s="18"/>
      <c r="O321" s="18"/>
    </row>
    <row r="322">
      <c r="L322" s="18"/>
      <c r="M322" s="18"/>
      <c r="O322" s="18"/>
    </row>
    <row r="323">
      <c r="L323" s="18"/>
      <c r="M323" s="18"/>
      <c r="O323" s="18"/>
    </row>
    <row r="324">
      <c r="L324" s="18"/>
      <c r="M324" s="18"/>
      <c r="O324" s="18"/>
    </row>
    <row r="325">
      <c r="L325" s="18"/>
      <c r="M325" s="18"/>
      <c r="O325" s="18"/>
    </row>
    <row r="326">
      <c r="L326" s="18"/>
      <c r="M326" s="18"/>
      <c r="O326" s="18"/>
    </row>
    <row r="327">
      <c r="L327" s="18"/>
      <c r="M327" s="18"/>
      <c r="O327" s="18"/>
    </row>
    <row r="328">
      <c r="L328" s="18"/>
      <c r="M328" s="18"/>
      <c r="O328" s="18"/>
    </row>
    <row r="329">
      <c r="L329" s="18"/>
      <c r="M329" s="18"/>
      <c r="O329" s="18"/>
    </row>
    <row r="330">
      <c r="L330" s="18"/>
      <c r="M330" s="18"/>
      <c r="O330" s="18"/>
    </row>
    <row r="331">
      <c r="L331" s="18"/>
      <c r="M331" s="18"/>
      <c r="O331" s="18"/>
    </row>
    <row r="332">
      <c r="L332" s="18"/>
      <c r="M332" s="18"/>
      <c r="O332" s="18"/>
    </row>
    <row r="333">
      <c r="L333" s="18"/>
      <c r="M333" s="18"/>
      <c r="O333" s="18"/>
    </row>
    <row r="334">
      <c r="L334" s="18"/>
      <c r="M334" s="18"/>
      <c r="O334" s="18"/>
    </row>
    <row r="335">
      <c r="L335" s="18"/>
      <c r="M335" s="18"/>
      <c r="O335" s="18"/>
    </row>
    <row r="336">
      <c r="L336" s="18"/>
      <c r="M336" s="18"/>
      <c r="O336" s="18"/>
    </row>
    <row r="337">
      <c r="L337" s="18"/>
      <c r="M337" s="18"/>
      <c r="O337" s="18"/>
    </row>
    <row r="338">
      <c r="L338" s="18"/>
      <c r="M338" s="18"/>
      <c r="O338" s="18"/>
    </row>
    <row r="339">
      <c r="L339" s="18"/>
      <c r="M339" s="18"/>
      <c r="O339" s="18"/>
    </row>
    <row r="340">
      <c r="L340" s="18"/>
      <c r="M340" s="18"/>
      <c r="O340" s="18"/>
    </row>
    <row r="341">
      <c r="L341" s="18"/>
      <c r="M341" s="18"/>
      <c r="O341" s="18"/>
    </row>
    <row r="342">
      <c r="L342" s="18"/>
      <c r="M342" s="18"/>
      <c r="O342" s="18"/>
    </row>
    <row r="343">
      <c r="L343" s="18"/>
      <c r="M343" s="18"/>
      <c r="O343" s="18"/>
    </row>
    <row r="344">
      <c r="L344" s="18"/>
      <c r="M344" s="18"/>
      <c r="O344" s="18"/>
    </row>
    <row r="345">
      <c r="L345" s="18"/>
      <c r="M345" s="18"/>
      <c r="O345" s="18"/>
    </row>
    <row r="346">
      <c r="L346" s="18"/>
      <c r="M346" s="18"/>
      <c r="O346" s="18"/>
    </row>
    <row r="347">
      <c r="L347" s="18"/>
      <c r="M347" s="18"/>
      <c r="O347" s="18"/>
    </row>
    <row r="348">
      <c r="L348" s="18"/>
      <c r="M348" s="18"/>
      <c r="O348" s="18"/>
    </row>
    <row r="349">
      <c r="L349" s="18"/>
      <c r="M349" s="18"/>
      <c r="O349" s="18"/>
    </row>
    <row r="350">
      <c r="L350" s="18"/>
      <c r="M350" s="18"/>
      <c r="O350" s="18"/>
    </row>
    <row r="351">
      <c r="L351" s="18"/>
      <c r="M351" s="18"/>
      <c r="O351" s="18"/>
    </row>
    <row r="352">
      <c r="L352" s="18"/>
      <c r="M352" s="18"/>
      <c r="O352" s="18"/>
    </row>
    <row r="353">
      <c r="L353" s="18"/>
      <c r="M353" s="18"/>
      <c r="O353" s="18"/>
    </row>
    <row r="354">
      <c r="L354" s="18"/>
      <c r="M354" s="18"/>
      <c r="O354" s="18"/>
    </row>
    <row r="355">
      <c r="L355" s="18"/>
      <c r="M355" s="18"/>
      <c r="O355" s="18"/>
    </row>
    <row r="356">
      <c r="L356" s="18"/>
      <c r="M356" s="18"/>
      <c r="O356" s="18"/>
    </row>
    <row r="357">
      <c r="L357" s="18"/>
      <c r="M357" s="18"/>
      <c r="O357" s="18"/>
    </row>
    <row r="358">
      <c r="L358" s="18"/>
      <c r="M358" s="18"/>
      <c r="O358" s="18"/>
    </row>
    <row r="359">
      <c r="L359" s="18"/>
      <c r="M359" s="18"/>
      <c r="O359" s="18"/>
    </row>
    <row r="360">
      <c r="L360" s="18"/>
      <c r="M360" s="18"/>
      <c r="O360" s="18"/>
    </row>
    <row r="361">
      <c r="L361" s="18"/>
      <c r="M361" s="18"/>
      <c r="O361" s="18"/>
    </row>
    <row r="362">
      <c r="L362" s="18"/>
      <c r="M362" s="18"/>
      <c r="O362" s="18"/>
    </row>
    <row r="363">
      <c r="L363" s="18"/>
      <c r="M363" s="18"/>
      <c r="O363" s="18"/>
    </row>
    <row r="364">
      <c r="L364" s="18"/>
      <c r="M364" s="18"/>
      <c r="O364" s="18"/>
    </row>
    <row r="365">
      <c r="L365" s="18"/>
      <c r="M365" s="18"/>
      <c r="O365" s="18"/>
    </row>
    <row r="366">
      <c r="L366" s="18"/>
      <c r="M366" s="18"/>
      <c r="O366" s="18"/>
    </row>
    <row r="367">
      <c r="L367" s="18"/>
      <c r="M367" s="18"/>
      <c r="O367" s="18"/>
    </row>
    <row r="368">
      <c r="L368" s="18"/>
      <c r="M368" s="18"/>
      <c r="O368" s="18"/>
    </row>
    <row r="369">
      <c r="L369" s="18"/>
      <c r="M369" s="18"/>
      <c r="O369" s="18"/>
    </row>
    <row r="370">
      <c r="L370" s="18"/>
      <c r="M370" s="18"/>
      <c r="O370" s="18"/>
    </row>
    <row r="371">
      <c r="L371" s="18"/>
      <c r="M371" s="18"/>
      <c r="O371" s="18"/>
    </row>
    <row r="372">
      <c r="L372" s="18"/>
      <c r="M372" s="18"/>
      <c r="O372" s="18"/>
    </row>
    <row r="373">
      <c r="L373" s="18"/>
      <c r="M373" s="18"/>
      <c r="O373" s="18"/>
    </row>
    <row r="374">
      <c r="L374" s="18"/>
      <c r="M374" s="18"/>
      <c r="O374" s="18"/>
    </row>
    <row r="375">
      <c r="L375" s="18"/>
      <c r="M375" s="18"/>
      <c r="O375" s="18"/>
    </row>
    <row r="376">
      <c r="L376" s="18"/>
      <c r="M376" s="18"/>
      <c r="O376" s="18"/>
    </row>
    <row r="377">
      <c r="L377" s="18"/>
      <c r="M377" s="18"/>
      <c r="O377" s="18"/>
    </row>
    <row r="378">
      <c r="L378" s="18"/>
      <c r="M378" s="18"/>
      <c r="O378" s="18"/>
    </row>
    <row r="379">
      <c r="L379" s="18"/>
      <c r="M379" s="18"/>
      <c r="O379" s="18"/>
    </row>
    <row r="380">
      <c r="L380" s="18"/>
      <c r="M380" s="18"/>
      <c r="O380" s="18"/>
    </row>
    <row r="381">
      <c r="L381" s="18"/>
      <c r="M381" s="18"/>
      <c r="O381" s="18"/>
    </row>
    <row r="382">
      <c r="L382" s="18"/>
      <c r="M382" s="18"/>
      <c r="O382" s="18"/>
    </row>
    <row r="383">
      <c r="L383" s="18"/>
      <c r="M383" s="18"/>
      <c r="O383" s="18"/>
    </row>
    <row r="384">
      <c r="L384" s="18"/>
      <c r="M384" s="18"/>
      <c r="O384" s="18"/>
    </row>
    <row r="385">
      <c r="L385" s="18"/>
      <c r="M385" s="18"/>
      <c r="O385" s="18"/>
    </row>
    <row r="386">
      <c r="L386" s="18"/>
      <c r="M386" s="18"/>
      <c r="O386" s="18"/>
    </row>
    <row r="387">
      <c r="L387" s="18"/>
      <c r="M387" s="18"/>
      <c r="O387" s="18"/>
    </row>
    <row r="388">
      <c r="L388" s="18"/>
      <c r="M388" s="18"/>
      <c r="O388" s="18"/>
    </row>
    <row r="389">
      <c r="L389" s="18"/>
      <c r="M389" s="18"/>
      <c r="O389" s="18"/>
    </row>
    <row r="390">
      <c r="L390" s="18"/>
      <c r="M390" s="18"/>
      <c r="O390" s="18"/>
    </row>
    <row r="391">
      <c r="L391" s="18"/>
      <c r="M391" s="18"/>
      <c r="O391" s="18"/>
    </row>
    <row r="392">
      <c r="L392" s="18"/>
      <c r="M392" s="18"/>
      <c r="O392" s="18"/>
    </row>
    <row r="393">
      <c r="L393" s="18"/>
      <c r="M393" s="18"/>
      <c r="O393" s="18"/>
    </row>
    <row r="394">
      <c r="L394" s="18"/>
      <c r="M394" s="18"/>
      <c r="O394" s="18"/>
    </row>
    <row r="395">
      <c r="L395" s="18"/>
      <c r="M395" s="18"/>
      <c r="O395" s="18"/>
    </row>
    <row r="396">
      <c r="L396" s="18"/>
      <c r="M396" s="18"/>
      <c r="O396" s="18"/>
    </row>
    <row r="397">
      <c r="L397" s="18"/>
      <c r="M397" s="18"/>
      <c r="O397" s="18"/>
    </row>
    <row r="398">
      <c r="L398" s="18"/>
      <c r="M398" s="18"/>
      <c r="O398" s="18"/>
    </row>
    <row r="399">
      <c r="L399" s="18"/>
      <c r="M399" s="18"/>
      <c r="O399" s="18"/>
    </row>
    <row r="400">
      <c r="L400" s="18"/>
      <c r="M400" s="18"/>
      <c r="O400" s="18"/>
    </row>
    <row r="401">
      <c r="L401" s="18"/>
      <c r="M401" s="18"/>
      <c r="O401" s="18"/>
    </row>
    <row r="402">
      <c r="L402" s="18"/>
      <c r="M402" s="18"/>
      <c r="O402" s="18"/>
    </row>
    <row r="403">
      <c r="L403" s="18"/>
      <c r="M403" s="18"/>
      <c r="O403" s="18"/>
    </row>
    <row r="404">
      <c r="L404" s="18"/>
      <c r="M404" s="18"/>
      <c r="O404" s="18"/>
    </row>
    <row r="405">
      <c r="L405" s="18"/>
      <c r="M405" s="18"/>
      <c r="O405" s="18"/>
    </row>
    <row r="406">
      <c r="L406" s="18"/>
      <c r="M406" s="18"/>
      <c r="O406" s="18"/>
    </row>
    <row r="407">
      <c r="L407" s="18"/>
      <c r="M407" s="18"/>
      <c r="O407" s="18"/>
    </row>
    <row r="408">
      <c r="L408" s="18"/>
      <c r="M408" s="18"/>
      <c r="O408" s="18"/>
    </row>
    <row r="409">
      <c r="L409" s="18"/>
      <c r="M409" s="18"/>
      <c r="O409" s="18"/>
    </row>
    <row r="410">
      <c r="L410" s="18"/>
      <c r="M410" s="18"/>
      <c r="O410" s="18"/>
    </row>
    <row r="411">
      <c r="L411" s="18"/>
      <c r="M411" s="18"/>
      <c r="O411" s="18"/>
    </row>
    <row r="412">
      <c r="L412" s="18"/>
      <c r="M412" s="18"/>
      <c r="O412" s="18"/>
    </row>
    <row r="413">
      <c r="L413" s="18"/>
      <c r="M413" s="18"/>
      <c r="O413" s="18"/>
    </row>
    <row r="414">
      <c r="L414" s="18"/>
      <c r="M414" s="18"/>
      <c r="O414" s="18"/>
    </row>
    <row r="415">
      <c r="L415" s="18"/>
      <c r="M415" s="18"/>
      <c r="O415" s="18"/>
    </row>
    <row r="416">
      <c r="L416" s="18"/>
      <c r="M416" s="18"/>
      <c r="O416" s="18"/>
    </row>
    <row r="417">
      <c r="L417" s="18"/>
      <c r="M417" s="18"/>
      <c r="O417" s="18"/>
    </row>
    <row r="418">
      <c r="L418" s="18"/>
      <c r="M418" s="18"/>
      <c r="O418" s="18"/>
    </row>
    <row r="419">
      <c r="L419" s="18"/>
      <c r="M419" s="18"/>
      <c r="O419" s="18"/>
    </row>
    <row r="420">
      <c r="L420" s="18"/>
      <c r="M420" s="18"/>
      <c r="O420" s="18"/>
    </row>
    <row r="421">
      <c r="L421" s="18"/>
      <c r="M421" s="18"/>
      <c r="O421" s="18"/>
    </row>
    <row r="422">
      <c r="L422" s="18"/>
      <c r="M422" s="18"/>
      <c r="O422" s="18"/>
    </row>
    <row r="423">
      <c r="L423" s="18"/>
      <c r="M423" s="18"/>
      <c r="O423" s="18"/>
    </row>
    <row r="424">
      <c r="L424" s="18"/>
      <c r="M424" s="18"/>
      <c r="O424" s="18"/>
    </row>
    <row r="425">
      <c r="L425" s="18"/>
      <c r="M425" s="18"/>
      <c r="O425" s="18"/>
    </row>
    <row r="426">
      <c r="L426" s="18"/>
      <c r="M426" s="18"/>
      <c r="O426" s="18"/>
    </row>
    <row r="427">
      <c r="L427" s="18"/>
      <c r="M427" s="18"/>
      <c r="O427" s="18"/>
    </row>
    <row r="428">
      <c r="L428" s="18"/>
      <c r="M428" s="18"/>
      <c r="O428" s="18"/>
    </row>
    <row r="429">
      <c r="L429" s="18"/>
      <c r="M429" s="18"/>
      <c r="O429" s="18"/>
    </row>
    <row r="430">
      <c r="L430" s="18"/>
      <c r="M430" s="18"/>
      <c r="O430" s="18"/>
    </row>
    <row r="431">
      <c r="L431" s="18"/>
      <c r="M431" s="18"/>
      <c r="O431" s="18"/>
    </row>
    <row r="432">
      <c r="L432" s="18"/>
      <c r="M432" s="18"/>
      <c r="O432" s="18"/>
    </row>
    <row r="433">
      <c r="L433" s="18"/>
      <c r="M433" s="18"/>
      <c r="O433" s="18"/>
    </row>
    <row r="434">
      <c r="L434" s="18"/>
      <c r="M434" s="18"/>
      <c r="O434" s="18"/>
    </row>
    <row r="435">
      <c r="L435" s="18"/>
      <c r="M435" s="18"/>
      <c r="O435" s="18"/>
    </row>
    <row r="436">
      <c r="L436" s="18"/>
      <c r="M436" s="18"/>
      <c r="O436" s="18"/>
    </row>
    <row r="437">
      <c r="L437" s="18"/>
      <c r="M437" s="18"/>
      <c r="O437" s="18"/>
    </row>
    <row r="438">
      <c r="L438" s="18"/>
      <c r="M438" s="18"/>
      <c r="O438" s="18"/>
    </row>
    <row r="439">
      <c r="L439" s="18"/>
      <c r="M439" s="18"/>
      <c r="O439" s="18"/>
    </row>
    <row r="440">
      <c r="L440" s="18"/>
      <c r="M440" s="18"/>
      <c r="O440" s="18"/>
    </row>
    <row r="441">
      <c r="L441" s="18"/>
      <c r="M441" s="18"/>
      <c r="O441" s="18"/>
    </row>
    <row r="442">
      <c r="L442" s="18"/>
      <c r="M442" s="18"/>
      <c r="O442" s="18"/>
    </row>
    <row r="443">
      <c r="L443" s="18"/>
      <c r="M443" s="18"/>
      <c r="O443" s="18"/>
    </row>
    <row r="444">
      <c r="L444" s="18"/>
      <c r="M444" s="18"/>
      <c r="O444" s="18"/>
    </row>
    <row r="445">
      <c r="L445" s="18"/>
      <c r="M445" s="18"/>
      <c r="O445" s="18"/>
    </row>
    <row r="446">
      <c r="L446" s="18"/>
      <c r="M446" s="18"/>
      <c r="O446" s="18"/>
    </row>
    <row r="447">
      <c r="L447" s="18"/>
      <c r="M447" s="18"/>
      <c r="O447" s="18"/>
    </row>
    <row r="448">
      <c r="L448" s="18"/>
      <c r="M448" s="18"/>
      <c r="O448" s="18"/>
    </row>
    <row r="449">
      <c r="L449" s="18"/>
      <c r="M449" s="18"/>
      <c r="O449" s="18"/>
    </row>
    <row r="450">
      <c r="L450" s="18"/>
      <c r="M450" s="18"/>
      <c r="O450" s="18"/>
    </row>
    <row r="451">
      <c r="L451" s="18"/>
      <c r="M451" s="18"/>
      <c r="O451" s="18"/>
    </row>
    <row r="452">
      <c r="L452" s="18"/>
      <c r="M452" s="18"/>
      <c r="O452" s="18"/>
    </row>
    <row r="453">
      <c r="L453" s="18"/>
      <c r="M453" s="18"/>
      <c r="O453" s="18"/>
    </row>
    <row r="454">
      <c r="L454" s="18"/>
      <c r="M454" s="18"/>
      <c r="O454" s="18"/>
    </row>
    <row r="455">
      <c r="L455" s="18"/>
      <c r="M455" s="18"/>
      <c r="O455" s="18"/>
    </row>
    <row r="456">
      <c r="L456" s="18"/>
      <c r="M456" s="18"/>
      <c r="O456" s="18"/>
    </row>
    <row r="457">
      <c r="L457" s="18"/>
      <c r="M457" s="18"/>
      <c r="O457" s="18"/>
    </row>
    <row r="458">
      <c r="L458" s="18"/>
      <c r="M458" s="18"/>
      <c r="O458" s="18"/>
    </row>
    <row r="459">
      <c r="L459" s="18"/>
      <c r="M459" s="18"/>
      <c r="O459" s="18"/>
    </row>
    <row r="460">
      <c r="L460" s="18"/>
      <c r="M460" s="18"/>
      <c r="O460" s="18"/>
    </row>
    <row r="461">
      <c r="L461" s="18"/>
      <c r="M461" s="18"/>
      <c r="O461" s="18"/>
    </row>
    <row r="462">
      <c r="L462" s="18"/>
      <c r="M462" s="18"/>
      <c r="O462" s="18"/>
    </row>
    <row r="463">
      <c r="L463" s="18"/>
      <c r="M463" s="18"/>
      <c r="O463" s="18"/>
    </row>
    <row r="464">
      <c r="L464" s="18"/>
      <c r="M464" s="18"/>
      <c r="O464" s="18"/>
    </row>
    <row r="465">
      <c r="L465" s="18"/>
      <c r="M465" s="18"/>
      <c r="O465" s="18"/>
    </row>
    <row r="466">
      <c r="L466" s="18"/>
      <c r="M466" s="18"/>
      <c r="O466" s="18"/>
    </row>
    <row r="467">
      <c r="L467" s="18"/>
      <c r="M467" s="18"/>
      <c r="O467" s="18"/>
    </row>
    <row r="468">
      <c r="L468" s="18"/>
      <c r="M468" s="18"/>
      <c r="O468" s="18"/>
    </row>
    <row r="469">
      <c r="L469" s="18"/>
      <c r="M469" s="18"/>
      <c r="O469" s="18"/>
    </row>
    <row r="470">
      <c r="L470" s="18"/>
      <c r="M470" s="18"/>
      <c r="O470" s="18"/>
    </row>
    <row r="471">
      <c r="L471" s="18"/>
      <c r="M471" s="18"/>
      <c r="O471" s="18"/>
    </row>
    <row r="472">
      <c r="L472" s="18"/>
      <c r="M472" s="18"/>
      <c r="O472" s="18"/>
    </row>
    <row r="473">
      <c r="L473" s="18"/>
      <c r="M473" s="18"/>
      <c r="O473" s="18"/>
    </row>
    <row r="474">
      <c r="L474" s="18"/>
      <c r="M474" s="18"/>
      <c r="O474" s="18"/>
    </row>
    <row r="475">
      <c r="L475" s="18"/>
      <c r="M475" s="18"/>
      <c r="O475" s="18"/>
    </row>
    <row r="476">
      <c r="L476" s="18"/>
      <c r="M476" s="18"/>
      <c r="O476" s="18"/>
    </row>
    <row r="477">
      <c r="L477" s="18"/>
      <c r="M477" s="18"/>
      <c r="O477" s="18"/>
    </row>
    <row r="478">
      <c r="L478" s="18"/>
      <c r="M478" s="18"/>
      <c r="O478" s="18"/>
    </row>
    <row r="479">
      <c r="L479" s="18"/>
      <c r="M479" s="18"/>
      <c r="O479" s="18"/>
    </row>
    <row r="480">
      <c r="L480" s="18"/>
      <c r="M480" s="18"/>
      <c r="O480" s="18"/>
    </row>
    <row r="481">
      <c r="L481" s="18"/>
      <c r="M481" s="18"/>
      <c r="O481" s="18"/>
    </row>
    <row r="482">
      <c r="L482" s="18"/>
      <c r="M482" s="18"/>
      <c r="O482" s="18"/>
    </row>
    <row r="483">
      <c r="L483" s="18"/>
      <c r="M483" s="18"/>
      <c r="O483" s="18"/>
    </row>
    <row r="484">
      <c r="L484" s="18"/>
      <c r="M484" s="18"/>
      <c r="O484" s="18"/>
    </row>
    <row r="485">
      <c r="L485" s="18"/>
      <c r="M485" s="18"/>
      <c r="O485" s="18"/>
    </row>
    <row r="486">
      <c r="L486" s="18"/>
      <c r="M486" s="18"/>
      <c r="O486" s="18"/>
    </row>
    <row r="487">
      <c r="L487" s="18"/>
      <c r="M487" s="18"/>
      <c r="O487" s="18"/>
    </row>
    <row r="488">
      <c r="L488" s="18"/>
      <c r="M488" s="18"/>
      <c r="O488" s="18"/>
    </row>
    <row r="489">
      <c r="L489" s="18"/>
      <c r="M489" s="18"/>
      <c r="O489" s="18"/>
    </row>
    <row r="490">
      <c r="L490" s="18"/>
      <c r="M490" s="18"/>
      <c r="O490" s="18"/>
    </row>
    <row r="491">
      <c r="L491" s="18"/>
      <c r="M491" s="18"/>
      <c r="O491" s="18"/>
    </row>
    <row r="492">
      <c r="L492" s="18"/>
      <c r="M492" s="18"/>
      <c r="O492" s="18"/>
    </row>
    <row r="493">
      <c r="L493" s="18"/>
      <c r="M493" s="18"/>
      <c r="O493" s="18"/>
    </row>
    <row r="494">
      <c r="L494" s="18"/>
      <c r="M494" s="18"/>
      <c r="O494" s="18"/>
    </row>
    <row r="495">
      <c r="L495" s="18"/>
      <c r="M495" s="18"/>
      <c r="O495" s="18"/>
    </row>
    <row r="496">
      <c r="L496" s="18"/>
      <c r="M496" s="18"/>
      <c r="O496" s="18"/>
    </row>
    <row r="497">
      <c r="L497" s="18"/>
      <c r="M497" s="18"/>
      <c r="O497" s="18"/>
    </row>
    <row r="498">
      <c r="L498" s="18"/>
      <c r="M498" s="18"/>
      <c r="O498" s="18"/>
    </row>
    <row r="499">
      <c r="L499" s="18"/>
      <c r="M499" s="18"/>
      <c r="O499" s="18"/>
    </row>
    <row r="500">
      <c r="L500" s="18"/>
      <c r="M500" s="18"/>
      <c r="O500" s="18"/>
    </row>
    <row r="501">
      <c r="L501" s="18"/>
      <c r="M501" s="18"/>
      <c r="O501" s="18"/>
    </row>
    <row r="502">
      <c r="L502" s="18"/>
      <c r="M502" s="18"/>
      <c r="O502" s="18"/>
    </row>
    <row r="503">
      <c r="L503" s="18"/>
      <c r="M503" s="18"/>
      <c r="O503" s="18"/>
    </row>
    <row r="504">
      <c r="L504" s="18"/>
      <c r="M504" s="18"/>
      <c r="O504" s="18"/>
    </row>
    <row r="505">
      <c r="L505" s="18"/>
      <c r="M505" s="18"/>
      <c r="O505" s="18"/>
    </row>
    <row r="506">
      <c r="L506" s="18"/>
      <c r="M506" s="18"/>
      <c r="O506" s="18"/>
    </row>
    <row r="507">
      <c r="L507" s="18"/>
      <c r="M507" s="18"/>
      <c r="O507" s="18"/>
    </row>
    <row r="508">
      <c r="L508" s="18"/>
      <c r="M508" s="18"/>
      <c r="O508" s="18"/>
    </row>
    <row r="509">
      <c r="L509" s="18"/>
      <c r="M509" s="18"/>
      <c r="O509" s="18"/>
    </row>
    <row r="510">
      <c r="L510" s="18"/>
      <c r="M510" s="18"/>
      <c r="O510" s="18"/>
    </row>
    <row r="511">
      <c r="L511" s="18"/>
      <c r="M511" s="18"/>
      <c r="O511" s="18"/>
    </row>
    <row r="512">
      <c r="L512" s="18"/>
      <c r="M512" s="18"/>
      <c r="O512" s="18"/>
    </row>
    <row r="513">
      <c r="L513" s="18"/>
      <c r="M513" s="18"/>
      <c r="O513" s="18"/>
    </row>
    <row r="514">
      <c r="L514" s="18"/>
      <c r="M514" s="18"/>
      <c r="O514" s="18"/>
    </row>
    <row r="515">
      <c r="L515" s="18"/>
      <c r="M515" s="18"/>
      <c r="O515" s="18"/>
    </row>
    <row r="516">
      <c r="L516" s="18"/>
      <c r="M516" s="18"/>
      <c r="O516" s="18"/>
    </row>
    <row r="517">
      <c r="L517" s="18"/>
      <c r="M517" s="18"/>
      <c r="O517" s="18"/>
    </row>
    <row r="518">
      <c r="L518" s="18"/>
      <c r="M518" s="18"/>
      <c r="O518" s="18"/>
    </row>
    <row r="519">
      <c r="L519" s="18"/>
      <c r="M519" s="18"/>
      <c r="O519" s="18"/>
    </row>
    <row r="520">
      <c r="L520" s="18"/>
      <c r="M520" s="18"/>
      <c r="O520" s="18"/>
    </row>
    <row r="521">
      <c r="L521" s="18"/>
      <c r="M521" s="18"/>
      <c r="O521" s="18"/>
    </row>
    <row r="522">
      <c r="L522" s="18"/>
      <c r="M522" s="18"/>
      <c r="O522" s="18"/>
    </row>
    <row r="523">
      <c r="L523" s="18"/>
      <c r="M523" s="18"/>
      <c r="O523" s="18"/>
    </row>
    <row r="524">
      <c r="L524" s="18"/>
      <c r="M524" s="18"/>
      <c r="O524" s="18"/>
    </row>
    <row r="525">
      <c r="L525" s="18"/>
      <c r="M525" s="18"/>
      <c r="O525" s="18"/>
    </row>
    <row r="526">
      <c r="L526" s="18"/>
      <c r="M526" s="18"/>
      <c r="O526" s="18"/>
    </row>
    <row r="527">
      <c r="L527" s="18"/>
      <c r="M527" s="18"/>
      <c r="O527" s="18"/>
    </row>
    <row r="528">
      <c r="L528" s="18"/>
      <c r="M528" s="18"/>
      <c r="O528" s="18"/>
    </row>
    <row r="529">
      <c r="L529" s="18"/>
      <c r="M529" s="18"/>
      <c r="O529" s="18"/>
    </row>
    <row r="530">
      <c r="L530" s="18"/>
      <c r="M530" s="18"/>
      <c r="O530" s="18"/>
    </row>
    <row r="531">
      <c r="L531" s="18"/>
      <c r="M531" s="18"/>
      <c r="O531" s="18"/>
    </row>
    <row r="532">
      <c r="L532" s="18"/>
      <c r="M532" s="18"/>
      <c r="O532" s="18"/>
    </row>
    <row r="533">
      <c r="L533" s="18"/>
      <c r="M533" s="18"/>
      <c r="O533" s="18"/>
    </row>
    <row r="534">
      <c r="L534" s="18"/>
      <c r="M534" s="18"/>
      <c r="O534" s="18"/>
    </row>
    <row r="535">
      <c r="L535" s="18"/>
      <c r="M535" s="18"/>
      <c r="O535" s="18"/>
    </row>
    <row r="536">
      <c r="L536" s="18"/>
      <c r="M536" s="18"/>
      <c r="O536" s="18"/>
    </row>
    <row r="537">
      <c r="L537" s="18"/>
      <c r="M537" s="18"/>
      <c r="O537" s="18"/>
    </row>
    <row r="538">
      <c r="L538" s="18"/>
      <c r="M538" s="18"/>
      <c r="O538" s="18"/>
    </row>
    <row r="539">
      <c r="L539" s="18"/>
      <c r="M539" s="18"/>
      <c r="O539" s="18"/>
    </row>
    <row r="540">
      <c r="L540" s="18"/>
      <c r="M540" s="18"/>
      <c r="O540" s="18"/>
    </row>
    <row r="541">
      <c r="L541" s="18"/>
      <c r="M541" s="18"/>
      <c r="O541" s="18"/>
    </row>
    <row r="542">
      <c r="L542" s="18"/>
      <c r="M542" s="18"/>
      <c r="O542" s="18"/>
    </row>
    <row r="543">
      <c r="L543" s="18"/>
      <c r="M543" s="18"/>
      <c r="O543" s="18"/>
    </row>
    <row r="544">
      <c r="L544" s="18"/>
      <c r="M544" s="18"/>
      <c r="O544" s="18"/>
    </row>
    <row r="545">
      <c r="L545" s="18"/>
      <c r="M545" s="18"/>
      <c r="O545" s="18"/>
    </row>
    <row r="546">
      <c r="L546" s="18"/>
      <c r="M546" s="18"/>
      <c r="O546" s="18"/>
    </row>
    <row r="547">
      <c r="L547" s="18"/>
      <c r="M547" s="18"/>
      <c r="O547" s="18"/>
    </row>
    <row r="548">
      <c r="L548" s="18"/>
      <c r="M548" s="18"/>
      <c r="O548" s="18"/>
    </row>
    <row r="549">
      <c r="L549" s="18"/>
      <c r="M549" s="18"/>
      <c r="O549" s="18"/>
    </row>
    <row r="550">
      <c r="L550" s="18"/>
      <c r="M550" s="18"/>
      <c r="O550" s="18"/>
    </row>
    <row r="551">
      <c r="L551" s="18"/>
      <c r="M551" s="18"/>
      <c r="O551" s="18"/>
    </row>
    <row r="552">
      <c r="L552" s="18"/>
      <c r="M552" s="18"/>
      <c r="O552" s="18"/>
    </row>
    <row r="553">
      <c r="L553" s="18"/>
      <c r="M553" s="18"/>
      <c r="O553" s="18"/>
    </row>
    <row r="554">
      <c r="L554" s="18"/>
      <c r="M554" s="18"/>
      <c r="O554" s="18"/>
    </row>
    <row r="555">
      <c r="L555" s="18"/>
      <c r="M555" s="18"/>
      <c r="O555" s="18"/>
    </row>
    <row r="556">
      <c r="L556" s="18"/>
      <c r="M556" s="18"/>
      <c r="O556" s="18"/>
    </row>
    <row r="557">
      <c r="L557" s="18"/>
      <c r="M557" s="18"/>
      <c r="O557" s="18"/>
    </row>
    <row r="558">
      <c r="L558" s="18"/>
      <c r="M558" s="18"/>
      <c r="O558" s="18"/>
    </row>
    <row r="559">
      <c r="L559" s="18"/>
      <c r="M559" s="18"/>
      <c r="O559" s="18"/>
    </row>
    <row r="560">
      <c r="L560" s="18"/>
      <c r="M560" s="18"/>
      <c r="O560" s="18"/>
    </row>
    <row r="561">
      <c r="L561" s="18"/>
      <c r="M561" s="18"/>
      <c r="O561" s="18"/>
    </row>
    <row r="562">
      <c r="L562" s="18"/>
      <c r="M562" s="18"/>
      <c r="O562" s="18"/>
    </row>
    <row r="563">
      <c r="L563" s="18"/>
      <c r="M563" s="18"/>
      <c r="O563" s="18"/>
    </row>
    <row r="564">
      <c r="L564" s="18"/>
      <c r="M564" s="18"/>
      <c r="O564" s="18"/>
    </row>
    <row r="565">
      <c r="L565" s="18"/>
      <c r="M565" s="18"/>
      <c r="O565" s="18"/>
    </row>
    <row r="566">
      <c r="L566" s="18"/>
      <c r="M566" s="18"/>
      <c r="O566" s="18"/>
    </row>
    <row r="567">
      <c r="L567" s="18"/>
      <c r="M567" s="18"/>
      <c r="O567" s="18"/>
    </row>
    <row r="568">
      <c r="L568" s="18"/>
      <c r="M568" s="18"/>
      <c r="O568" s="18"/>
    </row>
    <row r="569">
      <c r="L569" s="18"/>
      <c r="M569" s="18"/>
      <c r="O569" s="18"/>
    </row>
    <row r="570">
      <c r="L570" s="18"/>
      <c r="M570" s="18"/>
      <c r="O570" s="18"/>
    </row>
    <row r="571">
      <c r="L571" s="18"/>
      <c r="M571" s="18"/>
      <c r="O571" s="18"/>
    </row>
    <row r="572">
      <c r="L572" s="18"/>
      <c r="M572" s="18"/>
      <c r="O572" s="18"/>
    </row>
    <row r="573">
      <c r="L573" s="18"/>
      <c r="M573" s="18"/>
      <c r="O573" s="18"/>
    </row>
    <row r="574">
      <c r="L574" s="18"/>
      <c r="M574" s="18"/>
      <c r="O574" s="18"/>
    </row>
    <row r="575">
      <c r="L575" s="18"/>
      <c r="M575" s="18"/>
      <c r="O575" s="18"/>
    </row>
    <row r="576">
      <c r="L576" s="18"/>
      <c r="M576" s="18"/>
      <c r="O576" s="18"/>
    </row>
    <row r="577">
      <c r="L577" s="18"/>
      <c r="M577" s="18"/>
      <c r="O577" s="18"/>
    </row>
    <row r="578">
      <c r="L578" s="18"/>
      <c r="M578" s="18"/>
      <c r="O578" s="18"/>
    </row>
    <row r="579">
      <c r="L579" s="18"/>
      <c r="M579" s="18"/>
      <c r="O579" s="18"/>
    </row>
    <row r="580">
      <c r="L580" s="18"/>
      <c r="M580" s="18"/>
      <c r="O580" s="18"/>
    </row>
    <row r="581">
      <c r="L581" s="18"/>
      <c r="M581" s="18"/>
      <c r="O581" s="18"/>
    </row>
    <row r="582">
      <c r="L582" s="18"/>
      <c r="M582" s="18"/>
      <c r="O582" s="18"/>
    </row>
    <row r="583">
      <c r="L583" s="18"/>
      <c r="M583" s="18"/>
      <c r="O583" s="18"/>
    </row>
    <row r="584">
      <c r="L584" s="18"/>
      <c r="M584" s="18"/>
      <c r="O584" s="18"/>
    </row>
    <row r="585">
      <c r="L585" s="18"/>
      <c r="M585" s="18"/>
      <c r="O585" s="18"/>
    </row>
    <row r="586">
      <c r="L586" s="18"/>
      <c r="M586" s="18"/>
      <c r="O586" s="18"/>
    </row>
    <row r="587">
      <c r="L587" s="18"/>
      <c r="M587" s="18"/>
      <c r="O587" s="18"/>
    </row>
    <row r="588">
      <c r="L588" s="18"/>
      <c r="M588" s="18"/>
      <c r="O588" s="18"/>
    </row>
    <row r="589">
      <c r="L589" s="18"/>
      <c r="M589" s="18"/>
      <c r="O589" s="18"/>
    </row>
    <row r="590">
      <c r="L590" s="18"/>
      <c r="M590" s="18"/>
      <c r="O590" s="18"/>
    </row>
    <row r="591">
      <c r="L591" s="18"/>
      <c r="M591" s="18"/>
      <c r="O591" s="18"/>
    </row>
    <row r="592">
      <c r="L592" s="18"/>
      <c r="M592" s="18"/>
      <c r="O592" s="18"/>
    </row>
    <row r="593">
      <c r="L593" s="18"/>
      <c r="M593" s="18"/>
      <c r="O593" s="18"/>
    </row>
    <row r="594">
      <c r="L594" s="18"/>
      <c r="M594" s="18"/>
      <c r="O594" s="18"/>
    </row>
    <row r="595">
      <c r="L595" s="18"/>
      <c r="M595" s="18"/>
      <c r="O595" s="18"/>
    </row>
    <row r="596">
      <c r="L596" s="18"/>
      <c r="M596" s="18"/>
      <c r="O596" s="18"/>
    </row>
    <row r="597">
      <c r="L597" s="18"/>
      <c r="M597" s="18"/>
      <c r="O597" s="18"/>
    </row>
    <row r="598">
      <c r="L598" s="18"/>
      <c r="M598" s="18"/>
      <c r="O598" s="18"/>
    </row>
    <row r="599">
      <c r="L599" s="18"/>
      <c r="M599" s="18"/>
      <c r="O599" s="18"/>
    </row>
    <row r="600">
      <c r="L600" s="18"/>
      <c r="M600" s="18"/>
      <c r="O600" s="18"/>
    </row>
    <row r="601">
      <c r="L601" s="18"/>
      <c r="M601" s="18"/>
      <c r="O601" s="18"/>
    </row>
    <row r="602">
      <c r="L602" s="18"/>
      <c r="M602" s="18"/>
      <c r="O602" s="18"/>
    </row>
    <row r="603">
      <c r="L603" s="18"/>
      <c r="M603" s="18"/>
      <c r="O603" s="18"/>
    </row>
    <row r="604">
      <c r="L604" s="18"/>
      <c r="M604" s="18"/>
      <c r="O604" s="18"/>
    </row>
    <row r="605">
      <c r="L605" s="18"/>
      <c r="M605" s="18"/>
      <c r="O605" s="18"/>
    </row>
    <row r="606">
      <c r="L606" s="18"/>
      <c r="M606" s="18"/>
      <c r="O606" s="18"/>
    </row>
    <row r="607">
      <c r="L607" s="18"/>
      <c r="M607" s="18"/>
      <c r="O607" s="18"/>
    </row>
    <row r="608">
      <c r="L608" s="18"/>
      <c r="M608" s="18"/>
      <c r="O608" s="18"/>
    </row>
    <row r="609">
      <c r="L609" s="18"/>
      <c r="M609" s="18"/>
      <c r="O609" s="18"/>
    </row>
    <row r="610">
      <c r="L610" s="18"/>
      <c r="M610" s="18"/>
      <c r="O610" s="18"/>
    </row>
    <row r="611">
      <c r="L611" s="18"/>
      <c r="M611" s="18"/>
      <c r="O611" s="18"/>
    </row>
    <row r="612">
      <c r="L612" s="18"/>
      <c r="M612" s="18"/>
      <c r="O612" s="18"/>
    </row>
    <row r="613">
      <c r="L613" s="18"/>
      <c r="M613" s="18"/>
      <c r="O613" s="18"/>
    </row>
    <row r="614">
      <c r="L614" s="18"/>
      <c r="M614" s="18"/>
      <c r="O614" s="18"/>
    </row>
    <row r="615">
      <c r="L615" s="18"/>
      <c r="M615" s="18"/>
      <c r="O615" s="18"/>
    </row>
    <row r="616">
      <c r="L616" s="18"/>
      <c r="M616" s="18"/>
      <c r="O616" s="18"/>
    </row>
    <row r="617">
      <c r="L617" s="18"/>
      <c r="M617" s="18"/>
      <c r="O617" s="18"/>
    </row>
    <row r="618">
      <c r="L618" s="18"/>
      <c r="M618" s="18"/>
      <c r="O618" s="18"/>
    </row>
    <row r="619">
      <c r="L619" s="18"/>
      <c r="M619" s="18"/>
      <c r="O619" s="18"/>
    </row>
    <row r="620">
      <c r="L620" s="18"/>
      <c r="M620" s="18"/>
      <c r="O620" s="18"/>
    </row>
    <row r="621">
      <c r="L621" s="18"/>
      <c r="M621" s="18"/>
      <c r="O621" s="18"/>
    </row>
    <row r="622">
      <c r="L622" s="18"/>
      <c r="M622" s="18"/>
      <c r="O622" s="18"/>
    </row>
    <row r="623">
      <c r="L623" s="18"/>
      <c r="M623" s="18"/>
      <c r="O623" s="18"/>
    </row>
    <row r="624">
      <c r="L624" s="18"/>
      <c r="M624" s="18"/>
      <c r="O624" s="18"/>
    </row>
    <row r="625">
      <c r="L625" s="18"/>
      <c r="M625" s="18"/>
      <c r="O625" s="18"/>
    </row>
    <row r="626">
      <c r="L626" s="18"/>
      <c r="M626" s="18"/>
      <c r="O626" s="18"/>
    </row>
    <row r="627">
      <c r="L627" s="18"/>
      <c r="M627" s="18"/>
      <c r="O627" s="18"/>
    </row>
    <row r="628">
      <c r="L628" s="18"/>
      <c r="M628" s="18"/>
      <c r="O628" s="18"/>
    </row>
    <row r="629">
      <c r="L629" s="18"/>
      <c r="M629" s="18"/>
      <c r="O629" s="18"/>
    </row>
    <row r="630">
      <c r="L630" s="18"/>
      <c r="M630" s="18"/>
      <c r="O630" s="18"/>
    </row>
    <row r="631">
      <c r="L631" s="18"/>
      <c r="M631" s="18"/>
      <c r="O631" s="18"/>
    </row>
    <row r="632">
      <c r="L632" s="18"/>
      <c r="M632" s="18"/>
      <c r="O632" s="18"/>
    </row>
    <row r="633">
      <c r="L633" s="18"/>
      <c r="M633" s="18"/>
      <c r="O633" s="18"/>
    </row>
    <row r="634">
      <c r="L634" s="18"/>
      <c r="M634" s="18"/>
      <c r="O634" s="18"/>
    </row>
    <row r="635">
      <c r="L635" s="18"/>
      <c r="M635" s="18"/>
      <c r="O635" s="18"/>
    </row>
    <row r="636">
      <c r="L636" s="18"/>
      <c r="M636" s="18"/>
      <c r="O636" s="18"/>
    </row>
    <row r="637">
      <c r="L637" s="18"/>
      <c r="M637" s="18"/>
      <c r="O637" s="18"/>
    </row>
    <row r="638">
      <c r="L638" s="18"/>
      <c r="M638" s="18"/>
      <c r="O638" s="18"/>
    </row>
    <row r="639">
      <c r="L639" s="18"/>
      <c r="M639" s="18"/>
      <c r="O639" s="18"/>
    </row>
    <row r="640">
      <c r="L640" s="18"/>
      <c r="M640" s="18"/>
      <c r="O640" s="18"/>
    </row>
    <row r="641">
      <c r="L641" s="18"/>
      <c r="M641" s="18"/>
      <c r="O641" s="18"/>
    </row>
    <row r="642">
      <c r="L642" s="18"/>
      <c r="M642" s="18"/>
      <c r="O642" s="18"/>
    </row>
    <row r="643">
      <c r="L643" s="18"/>
      <c r="M643" s="18"/>
      <c r="O643" s="18"/>
    </row>
    <row r="644">
      <c r="L644" s="18"/>
      <c r="M644" s="18"/>
      <c r="O644" s="18"/>
    </row>
    <row r="645">
      <c r="L645" s="18"/>
      <c r="M645" s="18"/>
      <c r="O645" s="18"/>
    </row>
    <row r="646">
      <c r="L646" s="18"/>
      <c r="M646" s="18"/>
      <c r="O646" s="18"/>
    </row>
    <row r="647">
      <c r="L647" s="18"/>
      <c r="M647" s="18"/>
      <c r="O647" s="18"/>
    </row>
    <row r="648">
      <c r="L648" s="18"/>
      <c r="M648" s="18"/>
      <c r="O648" s="18"/>
    </row>
    <row r="649">
      <c r="L649" s="18"/>
      <c r="M649" s="18"/>
      <c r="O649" s="18"/>
    </row>
    <row r="650">
      <c r="L650" s="18"/>
      <c r="M650" s="18"/>
      <c r="O650" s="18"/>
    </row>
    <row r="651">
      <c r="L651" s="18"/>
      <c r="M651" s="18"/>
      <c r="O651" s="18"/>
    </row>
    <row r="652">
      <c r="L652" s="18"/>
      <c r="M652" s="18"/>
      <c r="O652" s="18"/>
    </row>
    <row r="653">
      <c r="L653" s="18"/>
      <c r="M653" s="18"/>
      <c r="O653" s="18"/>
    </row>
    <row r="654">
      <c r="L654" s="18"/>
      <c r="M654" s="18"/>
      <c r="O654" s="18"/>
    </row>
    <row r="655">
      <c r="L655" s="18"/>
      <c r="M655" s="18"/>
      <c r="O655" s="18"/>
    </row>
    <row r="656">
      <c r="L656" s="18"/>
      <c r="M656" s="18"/>
      <c r="O656" s="18"/>
    </row>
    <row r="657">
      <c r="L657" s="18"/>
      <c r="M657" s="18"/>
      <c r="O657" s="18"/>
    </row>
    <row r="658">
      <c r="L658" s="18"/>
      <c r="M658" s="18"/>
      <c r="O658" s="18"/>
    </row>
    <row r="659">
      <c r="L659" s="18"/>
      <c r="M659" s="18"/>
      <c r="O659" s="18"/>
    </row>
    <row r="660">
      <c r="L660" s="18"/>
      <c r="M660" s="18"/>
      <c r="O660" s="18"/>
    </row>
    <row r="661">
      <c r="L661" s="18"/>
      <c r="M661" s="18"/>
      <c r="O661" s="18"/>
    </row>
    <row r="662">
      <c r="L662" s="18"/>
      <c r="M662" s="18"/>
      <c r="O662" s="18"/>
    </row>
    <row r="663">
      <c r="L663" s="18"/>
      <c r="M663" s="18"/>
      <c r="O663" s="18"/>
    </row>
    <row r="664">
      <c r="L664" s="18"/>
      <c r="M664" s="18"/>
      <c r="O664" s="18"/>
    </row>
    <row r="665">
      <c r="L665" s="18"/>
      <c r="M665" s="18"/>
      <c r="O665" s="18"/>
    </row>
    <row r="666">
      <c r="L666" s="18"/>
      <c r="M666" s="18"/>
      <c r="O666" s="18"/>
    </row>
    <row r="667">
      <c r="L667" s="18"/>
      <c r="M667" s="18"/>
      <c r="O667" s="18"/>
    </row>
    <row r="668">
      <c r="L668" s="18"/>
      <c r="M668" s="18"/>
      <c r="O668" s="18"/>
    </row>
    <row r="669">
      <c r="L669" s="18"/>
      <c r="M669" s="18"/>
      <c r="O669" s="18"/>
    </row>
    <row r="670">
      <c r="L670" s="18"/>
      <c r="M670" s="18"/>
      <c r="O670" s="18"/>
    </row>
    <row r="671">
      <c r="L671" s="18"/>
      <c r="M671" s="18"/>
      <c r="O671" s="18"/>
    </row>
    <row r="672">
      <c r="L672" s="18"/>
      <c r="M672" s="18"/>
      <c r="O672" s="18"/>
    </row>
    <row r="673">
      <c r="L673" s="18"/>
      <c r="M673" s="18"/>
      <c r="O673" s="18"/>
    </row>
    <row r="674">
      <c r="L674" s="18"/>
      <c r="M674" s="18"/>
      <c r="O674" s="18"/>
    </row>
    <row r="675">
      <c r="L675" s="18"/>
      <c r="M675" s="18"/>
      <c r="O675" s="18"/>
    </row>
    <row r="676">
      <c r="L676" s="18"/>
      <c r="M676" s="18"/>
      <c r="O676" s="18"/>
    </row>
    <row r="677">
      <c r="L677" s="18"/>
      <c r="M677" s="18"/>
      <c r="O677" s="18"/>
    </row>
    <row r="678">
      <c r="L678" s="18"/>
      <c r="M678" s="18"/>
      <c r="O678" s="18"/>
    </row>
    <row r="679">
      <c r="L679" s="18"/>
      <c r="M679" s="18"/>
      <c r="O679" s="18"/>
    </row>
    <row r="680">
      <c r="L680" s="18"/>
      <c r="M680" s="18"/>
      <c r="O680" s="18"/>
    </row>
    <row r="681">
      <c r="L681" s="18"/>
      <c r="M681" s="18"/>
      <c r="O681" s="18"/>
    </row>
    <row r="682">
      <c r="L682" s="18"/>
      <c r="M682" s="18"/>
      <c r="O682" s="18"/>
    </row>
    <row r="683">
      <c r="L683" s="18"/>
      <c r="M683" s="18"/>
      <c r="O683" s="18"/>
    </row>
    <row r="684">
      <c r="L684" s="18"/>
      <c r="M684" s="18"/>
      <c r="O684" s="18"/>
    </row>
    <row r="685">
      <c r="L685" s="18"/>
      <c r="M685" s="18"/>
      <c r="O685" s="18"/>
    </row>
    <row r="686">
      <c r="L686" s="18"/>
      <c r="M686" s="18"/>
      <c r="O686" s="18"/>
    </row>
    <row r="687">
      <c r="L687" s="18"/>
      <c r="M687" s="18"/>
      <c r="O687" s="18"/>
    </row>
    <row r="688">
      <c r="L688" s="18"/>
      <c r="M688" s="18"/>
      <c r="O688" s="18"/>
    </row>
    <row r="689">
      <c r="L689" s="18"/>
      <c r="M689" s="18"/>
      <c r="O689" s="18"/>
    </row>
    <row r="690">
      <c r="L690" s="18"/>
      <c r="M690" s="18"/>
      <c r="O690" s="18"/>
    </row>
    <row r="691">
      <c r="L691" s="18"/>
      <c r="M691" s="18"/>
      <c r="O691" s="18"/>
    </row>
    <row r="692">
      <c r="L692" s="18"/>
      <c r="M692" s="18"/>
      <c r="O692" s="18"/>
    </row>
    <row r="693">
      <c r="L693" s="18"/>
      <c r="M693" s="18"/>
      <c r="O693" s="18"/>
    </row>
    <row r="694">
      <c r="L694" s="18"/>
      <c r="M694" s="18"/>
      <c r="O694" s="18"/>
    </row>
    <row r="695">
      <c r="L695" s="18"/>
      <c r="M695" s="18"/>
      <c r="O695" s="18"/>
    </row>
    <row r="696">
      <c r="L696" s="18"/>
      <c r="M696" s="18"/>
      <c r="O696" s="18"/>
    </row>
    <row r="697">
      <c r="L697" s="18"/>
      <c r="M697" s="18"/>
      <c r="O697" s="18"/>
    </row>
    <row r="698">
      <c r="L698" s="18"/>
      <c r="M698" s="18"/>
      <c r="O698" s="18"/>
    </row>
    <row r="699">
      <c r="L699" s="18"/>
      <c r="M699" s="18"/>
      <c r="O699" s="18"/>
    </row>
    <row r="700">
      <c r="L700" s="18"/>
      <c r="M700" s="18"/>
      <c r="O700" s="18"/>
    </row>
    <row r="701">
      <c r="L701" s="18"/>
      <c r="M701" s="18"/>
      <c r="O701" s="18"/>
    </row>
    <row r="702">
      <c r="L702" s="18"/>
      <c r="M702" s="18"/>
      <c r="O702" s="18"/>
    </row>
    <row r="703">
      <c r="L703" s="18"/>
      <c r="M703" s="18"/>
      <c r="O703" s="18"/>
    </row>
    <row r="704">
      <c r="L704" s="18"/>
      <c r="M704" s="18"/>
      <c r="O704" s="18"/>
    </row>
    <row r="705">
      <c r="L705" s="18"/>
      <c r="M705" s="18"/>
      <c r="O705" s="18"/>
    </row>
    <row r="706">
      <c r="L706" s="18"/>
      <c r="M706" s="18"/>
      <c r="O706" s="18"/>
    </row>
    <row r="707">
      <c r="L707" s="18"/>
      <c r="M707" s="18"/>
      <c r="O707" s="18"/>
    </row>
    <row r="708">
      <c r="L708" s="18"/>
      <c r="M708" s="18"/>
      <c r="O708" s="18"/>
    </row>
    <row r="709">
      <c r="L709" s="18"/>
      <c r="M709" s="18"/>
      <c r="O709" s="18"/>
    </row>
    <row r="710">
      <c r="L710" s="18"/>
      <c r="M710" s="18"/>
      <c r="O710" s="18"/>
    </row>
    <row r="711">
      <c r="L711" s="18"/>
      <c r="M711" s="18"/>
      <c r="O711" s="18"/>
    </row>
    <row r="712">
      <c r="L712" s="18"/>
      <c r="M712" s="18"/>
      <c r="O712" s="18"/>
    </row>
    <row r="713">
      <c r="L713" s="18"/>
      <c r="M713" s="18"/>
      <c r="O713" s="18"/>
    </row>
    <row r="714">
      <c r="L714" s="18"/>
      <c r="M714" s="18"/>
      <c r="O714" s="18"/>
    </row>
    <row r="715">
      <c r="L715" s="18"/>
      <c r="M715" s="18"/>
      <c r="O715" s="18"/>
    </row>
    <row r="716">
      <c r="L716" s="18"/>
      <c r="M716" s="18"/>
      <c r="O716" s="18"/>
    </row>
    <row r="717">
      <c r="L717" s="18"/>
      <c r="M717" s="18"/>
      <c r="O717" s="18"/>
    </row>
    <row r="718">
      <c r="L718" s="18"/>
      <c r="M718" s="18"/>
      <c r="O718" s="18"/>
    </row>
    <row r="719">
      <c r="L719" s="18"/>
      <c r="M719" s="18"/>
      <c r="O719" s="18"/>
    </row>
    <row r="720">
      <c r="L720" s="18"/>
      <c r="M720" s="18"/>
      <c r="O720" s="18"/>
    </row>
    <row r="721">
      <c r="L721" s="18"/>
      <c r="M721" s="18"/>
      <c r="O721" s="18"/>
    </row>
    <row r="722">
      <c r="L722" s="18"/>
      <c r="M722" s="18"/>
      <c r="O722" s="18"/>
    </row>
    <row r="723">
      <c r="L723" s="18"/>
      <c r="M723" s="18"/>
      <c r="O723" s="18"/>
    </row>
    <row r="724">
      <c r="L724" s="18"/>
      <c r="M724" s="18"/>
      <c r="O724" s="18"/>
    </row>
    <row r="725">
      <c r="L725" s="18"/>
      <c r="M725" s="18"/>
      <c r="O725" s="18"/>
    </row>
    <row r="726">
      <c r="L726" s="18"/>
      <c r="M726" s="18"/>
      <c r="O726" s="18"/>
    </row>
    <row r="727">
      <c r="L727" s="18"/>
      <c r="M727" s="18"/>
      <c r="O727" s="18"/>
    </row>
    <row r="728">
      <c r="L728" s="18"/>
      <c r="M728" s="18"/>
      <c r="O728" s="18"/>
    </row>
    <row r="729">
      <c r="L729" s="18"/>
      <c r="M729" s="18"/>
      <c r="O729" s="18"/>
    </row>
    <row r="730">
      <c r="L730" s="18"/>
      <c r="M730" s="18"/>
      <c r="O730" s="18"/>
    </row>
    <row r="731">
      <c r="L731" s="18"/>
      <c r="M731" s="18"/>
      <c r="O731" s="18"/>
    </row>
    <row r="732">
      <c r="L732" s="18"/>
      <c r="M732" s="18"/>
      <c r="O732" s="18"/>
    </row>
    <row r="733">
      <c r="L733" s="18"/>
      <c r="M733" s="18"/>
      <c r="O733" s="18"/>
    </row>
    <row r="734">
      <c r="L734" s="18"/>
      <c r="M734" s="18"/>
      <c r="O734" s="18"/>
    </row>
    <row r="735">
      <c r="L735" s="18"/>
      <c r="M735" s="18"/>
      <c r="O735" s="18"/>
    </row>
    <row r="736">
      <c r="L736" s="18"/>
      <c r="M736" s="18"/>
      <c r="O736" s="18"/>
    </row>
    <row r="737">
      <c r="L737" s="18"/>
      <c r="M737" s="18"/>
      <c r="O737" s="18"/>
    </row>
    <row r="738">
      <c r="L738" s="18"/>
      <c r="M738" s="18"/>
      <c r="O738" s="18"/>
    </row>
    <row r="739">
      <c r="L739" s="18"/>
      <c r="M739" s="18"/>
      <c r="O739" s="18"/>
    </row>
    <row r="740">
      <c r="L740" s="18"/>
      <c r="M740" s="18"/>
      <c r="O740" s="18"/>
    </row>
    <row r="741">
      <c r="L741" s="18"/>
      <c r="M741" s="18"/>
      <c r="O741" s="18"/>
    </row>
    <row r="742">
      <c r="L742" s="18"/>
      <c r="M742" s="18"/>
      <c r="O742" s="18"/>
    </row>
    <row r="743">
      <c r="L743" s="18"/>
      <c r="M743" s="18"/>
      <c r="O743" s="18"/>
    </row>
    <row r="744">
      <c r="L744" s="18"/>
      <c r="M744" s="18"/>
      <c r="O744" s="18"/>
    </row>
    <row r="745">
      <c r="L745" s="18"/>
      <c r="M745" s="18"/>
      <c r="O745" s="18"/>
    </row>
    <row r="746">
      <c r="L746" s="18"/>
      <c r="M746" s="18"/>
      <c r="O746" s="18"/>
    </row>
    <row r="747">
      <c r="L747" s="18"/>
      <c r="M747" s="18"/>
      <c r="O747" s="18"/>
    </row>
    <row r="748">
      <c r="L748" s="18"/>
      <c r="M748" s="18"/>
      <c r="O748" s="18"/>
    </row>
    <row r="749">
      <c r="L749" s="18"/>
      <c r="M749" s="18"/>
      <c r="O749" s="18"/>
    </row>
    <row r="750">
      <c r="L750" s="18"/>
      <c r="M750" s="18"/>
      <c r="O750" s="18"/>
    </row>
    <row r="751">
      <c r="L751" s="18"/>
      <c r="M751" s="18"/>
      <c r="O751" s="18"/>
    </row>
    <row r="752">
      <c r="L752" s="18"/>
      <c r="M752" s="18"/>
      <c r="O752" s="18"/>
    </row>
    <row r="753">
      <c r="L753" s="18"/>
      <c r="M753" s="18"/>
      <c r="O753" s="18"/>
    </row>
    <row r="754">
      <c r="L754" s="18"/>
      <c r="M754" s="18"/>
      <c r="O754" s="18"/>
    </row>
    <row r="755">
      <c r="L755" s="18"/>
      <c r="M755" s="18"/>
      <c r="O755" s="18"/>
    </row>
    <row r="756">
      <c r="L756" s="18"/>
      <c r="M756" s="18"/>
      <c r="O756" s="18"/>
    </row>
    <row r="757">
      <c r="L757" s="18"/>
      <c r="M757" s="18"/>
      <c r="O757" s="18"/>
    </row>
    <row r="758">
      <c r="L758" s="18"/>
      <c r="M758" s="18"/>
      <c r="O758" s="18"/>
    </row>
    <row r="759">
      <c r="L759" s="18"/>
      <c r="M759" s="18"/>
      <c r="O759" s="18"/>
    </row>
    <row r="760">
      <c r="L760" s="18"/>
      <c r="M760" s="18"/>
      <c r="O760" s="18"/>
    </row>
    <row r="761">
      <c r="L761" s="18"/>
      <c r="M761" s="18"/>
      <c r="O761" s="18"/>
    </row>
    <row r="762">
      <c r="L762" s="18"/>
      <c r="M762" s="18"/>
      <c r="O762" s="18"/>
    </row>
    <row r="763">
      <c r="L763" s="18"/>
      <c r="M763" s="18"/>
      <c r="O763" s="18"/>
    </row>
    <row r="764">
      <c r="L764" s="18"/>
      <c r="M764" s="18"/>
      <c r="O764" s="18"/>
    </row>
    <row r="765">
      <c r="L765" s="18"/>
      <c r="M765" s="18"/>
      <c r="O765" s="18"/>
    </row>
    <row r="766">
      <c r="L766" s="18"/>
      <c r="M766" s="18"/>
      <c r="O766" s="18"/>
    </row>
    <row r="767">
      <c r="L767" s="18"/>
      <c r="M767" s="18"/>
      <c r="O767" s="18"/>
    </row>
    <row r="768">
      <c r="L768" s="18"/>
      <c r="M768" s="18"/>
      <c r="O768" s="18"/>
    </row>
    <row r="769">
      <c r="L769" s="18"/>
      <c r="M769" s="18"/>
      <c r="O769" s="18"/>
    </row>
    <row r="770">
      <c r="L770" s="18"/>
      <c r="M770" s="18"/>
      <c r="O770" s="18"/>
    </row>
    <row r="771">
      <c r="L771" s="18"/>
      <c r="M771" s="18"/>
      <c r="O771" s="18"/>
    </row>
    <row r="772">
      <c r="L772" s="18"/>
      <c r="M772" s="18"/>
      <c r="O772" s="18"/>
    </row>
    <row r="773">
      <c r="L773" s="18"/>
      <c r="M773" s="18"/>
      <c r="O773" s="18"/>
    </row>
    <row r="774">
      <c r="L774" s="18"/>
      <c r="M774" s="18"/>
      <c r="O774" s="18"/>
    </row>
    <row r="775">
      <c r="L775" s="18"/>
      <c r="M775" s="18"/>
      <c r="O775" s="18"/>
    </row>
    <row r="776">
      <c r="L776" s="18"/>
      <c r="M776" s="18"/>
      <c r="O776" s="18"/>
    </row>
    <row r="777">
      <c r="L777" s="18"/>
      <c r="M777" s="18"/>
      <c r="O777" s="18"/>
    </row>
    <row r="778">
      <c r="L778" s="18"/>
      <c r="M778" s="18"/>
      <c r="O778" s="18"/>
    </row>
    <row r="779">
      <c r="L779" s="18"/>
      <c r="M779" s="18"/>
      <c r="O779" s="18"/>
    </row>
    <row r="780">
      <c r="L780" s="18"/>
      <c r="M780" s="18"/>
      <c r="O780" s="18"/>
    </row>
    <row r="781">
      <c r="L781" s="18"/>
      <c r="M781" s="18"/>
      <c r="O781" s="18"/>
    </row>
    <row r="782">
      <c r="L782" s="18"/>
      <c r="M782" s="18"/>
      <c r="O782" s="18"/>
    </row>
    <row r="783">
      <c r="L783" s="18"/>
      <c r="M783" s="18"/>
      <c r="O783" s="18"/>
    </row>
    <row r="784">
      <c r="L784" s="18"/>
      <c r="M784" s="18"/>
      <c r="O784" s="18"/>
    </row>
    <row r="785">
      <c r="L785" s="18"/>
      <c r="M785" s="18"/>
      <c r="O785" s="18"/>
    </row>
    <row r="786">
      <c r="L786" s="18"/>
      <c r="M786" s="18"/>
      <c r="O786" s="18"/>
    </row>
    <row r="787">
      <c r="L787" s="18"/>
      <c r="M787" s="18"/>
      <c r="O787" s="18"/>
    </row>
    <row r="788">
      <c r="L788" s="18"/>
      <c r="M788" s="18"/>
      <c r="O788" s="18"/>
    </row>
    <row r="789">
      <c r="L789" s="18"/>
      <c r="M789" s="18"/>
      <c r="O789" s="18"/>
    </row>
    <row r="790">
      <c r="L790" s="18"/>
      <c r="M790" s="18"/>
      <c r="O790" s="18"/>
    </row>
    <row r="791">
      <c r="L791" s="18"/>
      <c r="M791" s="18"/>
      <c r="O791" s="18"/>
    </row>
    <row r="792">
      <c r="L792" s="18"/>
      <c r="M792" s="18"/>
      <c r="O792" s="18"/>
    </row>
    <row r="793">
      <c r="L793" s="18"/>
      <c r="M793" s="18"/>
      <c r="O793" s="18"/>
    </row>
    <row r="794">
      <c r="L794" s="18"/>
      <c r="M794" s="18"/>
      <c r="O794" s="18"/>
    </row>
    <row r="795">
      <c r="L795" s="18"/>
      <c r="M795" s="18"/>
      <c r="O795" s="18"/>
    </row>
    <row r="796">
      <c r="L796" s="18"/>
      <c r="M796" s="18"/>
      <c r="O796" s="18"/>
    </row>
    <row r="797">
      <c r="L797" s="18"/>
      <c r="M797" s="18"/>
      <c r="O797" s="18"/>
    </row>
    <row r="798">
      <c r="L798" s="18"/>
      <c r="M798" s="18"/>
      <c r="O798" s="18"/>
    </row>
    <row r="799">
      <c r="L799" s="18"/>
      <c r="M799" s="18"/>
      <c r="O799" s="18"/>
    </row>
    <row r="800">
      <c r="L800" s="18"/>
      <c r="M800" s="18"/>
      <c r="O800" s="18"/>
    </row>
    <row r="801">
      <c r="L801" s="18"/>
      <c r="M801" s="18"/>
      <c r="O801" s="18"/>
    </row>
    <row r="802">
      <c r="L802" s="18"/>
      <c r="M802" s="18"/>
      <c r="O802" s="18"/>
    </row>
    <row r="803">
      <c r="L803" s="18"/>
      <c r="M803" s="18"/>
      <c r="O803" s="18"/>
    </row>
    <row r="804">
      <c r="L804" s="18"/>
      <c r="M804" s="18"/>
      <c r="O804" s="18"/>
    </row>
    <row r="805">
      <c r="L805" s="18"/>
      <c r="M805" s="18"/>
      <c r="O805" s="18"/>
    </row>
    <row r="806">
      <c r="L806" s="18"/>
      <c r="M806" s="18"/>
      <c r="O806" s="18"/>
    </row>
    <row r="807">
      <c r="L807" s="18"/>
      <c r="M807" s="18"/>
      <c r="O807" s="18"/>
    </row>
    <row r="808">
      <c r="L808" s="18"/>
      <c r="M808" s="18"/>
      <c r="O808" s="18"/>
    </row>
    <row r="809">
      <c r="L809" s="18"/>
      <c r="M809" s="18"/>
      <c r="O809" s="18"/>
    </row>
    <row r="810">
      <c r="L810" s="18"/>
      <c r="M810" s="18"/>
      <c r="O810" s="18"/>
    </row>
    <row r="811">
      <c r="L811" s="18"/>
      <c r="M811" s="18"/>
      <c r="O811" s="18"/>
    </row>
    <row r="812">
      <c r="L812" s="18"/>
      <c r="M812" s="18"/>
      <c r="O812" s="18"/>
    </row>
    <row r="813">
      <c r="L813" s="18"/>
      <c r="M813" s="18"/>
      <c r="O813" s="18"/>
    </row>
    <row r="814">
      <c r="L814" s="18"/>
      <c r="M814" s="18"/>
      <c r="O814" s="18"/>
    </row>
    <row r="815">
      <c r="L815" s="18"/>
      <c r="M815" s="18"/>
      <c r="O815" s="18"/>
    </row>
    <row r="816">
      <c r="L816" s="18"/>
      <c r="M816" s="18"/>
      <c r="O816" s="18"/>
    </row>
    <row r="817">
      <c r="L817" s="18"/>
      <c r="M817" s="18"/>
      <c r="O817" s="18"/>
    </row>
    <row r="818">
      <c r="L818" s="18"/>
      <c r="M818" s="18"/>
      <c r="O818" s="18"/>
    </row>
    <row r="819">
      <c r="L819" s="18"/>
      <c r="M819" s="18"/>
      <c r="O819" s="18"/>
    </row>
    <row r="820">
      <c r="L820" s="18"/>
      <c r="M820" s="18"/>
      <c r="O820" s="18"/>
    </row>
    <row r="821">
      <c r="L821" s="18"/>
      <c r="M821" s="18"/>
      <c r="O821" s="18"/>
    </row>
    <row r="822">
      <c r="L822" s="18"/>
      <c r="M822" s="18"/>
      <c r="O822" s="18"/>
    </row>
    <row r="823">
      <c r="L823" s="18"/>
      <c r="M823" s="18"/>
      <c r="O823" s="18"/>
    </row>
    <row r="824">
      <c r="L824" s="18"/>
      <c r="M824" s="18"/>
      <c r="O824" s="18"/>
    </row>
    <row r="825">
      <c r="L825" s="18"/>
      <c r="M825" s="18"/>
      <c r="O825" s="18"/>
    </row>
    <row r="826">
      <c r="L826" s="18"/>
      <c r="M826" s="18"/>
      <c r="O826" s="18"/>
    </row>
    <row r="827">
      <c r="L827" s="18"/>
      <c r="M827" s="18"/>
      <c r="O827" s="18"/>
    </row>
    <row r="828">
      <c r="L828" s="18"/>
      <c r="M828" s="18"/>
      <c r="O828" s="18"/>
    </row>
    <row r="829">
      <c r="L829" s="18"/>
      <c r="M829" s="18"/>
      <c r="O829" s="18"/>
    </row>
    <row r="830">
      <c r="L830" s="18"/>
      <c r="M830" s="18"/>
      <c r="O830" s="18"/>
    </row>
    <row r="831">
      <c r="L831" s="18"/>
      <c r="M831" s="18"/>
      <c r="O831" s="18"/>
    </row>
    <row r="832">
      <c r="L832" s="18"/>
      <c r="M832" s="18"/>
      <c r="O832" s="18"/>
    </row>
    <row r="833">
      <c r="L833" s="18"/>
      <c r="M833" s="18"/>
      <c r="O833" s="18"/>
    </row>
    <row r="834">
      <c r="L834" s="18"/>
      <c r="M834" s="18"/>
      <c r="O834" s="18"/>
    </row>
    <row r="835">
      <c r="L835" s="18"/>
      <c r="M835" s="18"/>
      <c r="O835" s="18"/>
    </row>
    <row r="836">
      <c r="L836" s="18"/>
      <c r="M836" s="18"/>
      <c r="O836" s="18"/>
    </row>
    <row r="837">
      <c r="L837" s="18"/>
      <c r="M837" s="18"/>
      <c r="O837" s="18"/>
    </row>
    <row r="838">
      <c r="L838" s="18"/>
      <c r="M838" s="18"/>
      <c r="O838" s="18"/>
    </row>
    <row r="839">
      <c r="L839" s="18"/>
      <c r="M839" s="18"/>
      <c r="O839" s="18"/>
    </row>
    <row r="840">
      <c r="L840" s="18"/>
      <c r="M840" s="18"/>
      <c r="O840" s="18"/>
    </row>
    <row r="841">
      <c r="L841" s="18"/>
      <c r="M841" s="18"/>
      <c r="O841" s="18"/>
    </row>
    <row r="842">
      <c r="L842" s="18"/>
      <c r="M842" s="18"/>
      <c r="O842" s="18"/>
    </row>
    <row r="843">
      <c r="L843" s="18"/>
      <c r="M843" s="18"/>
      <c r="O843" s="18"/>
    </row>
    <row r="844">
      <c r="L844" s="18"/>
      <c r="M844" s="18"/>
      <c r="O844" s="18"/>
    </row>
    <row r="845">
      <c r="L845" s="18"/>
      <c r="M845" s="18"/>
      <c r="O845" s="18"/>
    </row>
    <row r="846">
      <c r="L846" s="18"/>
      <c r="M846" s="18"/>
      <c r="O846" s="18"/>
    </row>
    <row r="847">
      <c r="L847" s="18"/>
      <c r="M847" s="18"/>
      <c r="O847" s="18"/>
    </row>
    <row r="848">
      <c r="L848" s="18"/>
      <c r="M848" s="18"/>
      <c r="O848" s="18"/>
    </row>
    <row r="849">
      <c r="L849" s="18"/>
      <c r="M849" s="18"/>
      <c r="O849" s="18"/>
    </row>
    <row r="850">
      <c r="L850" s="18"/>
      <c r="M850" s="18"/>
      <c r="O850" s="18"/>
    </row>
    <row r="851">
      <c r="L851" s="18"/>
      <c r="M851" s="18"/>
      <c r="O851" s="18"/>
    </row>
    <row r="852">
      <c r="L852" s="18"/>
      <c r="M852" s="18"/>
      <c r="O852" s="18"/>
    </row>
    <row r="853">
      <c r="L853" s="18"/>
      <c r="M853" s="18"/>
      <c r="O853" s="18"/>
    </row>
    <row r="854">
      <c r="L854" s="18"/>
      <c r="M854" s="18"/>
      <c r="O854" s="18"/>
    </row>
    <row r="855">
      <c r="L855" s="18"/>
      <c r="M855" s="18"/>
      <c r="O855" s="18"/>
    </row>
    <row r="856">
      <c r="L856" s="18"/>
      <c r="M856" s="18"/>
      <c r="O856" s="18"/>
    </row>
    <row r="857">
      <c r="L857" s="18"/>
      <c r="M857" s="18"/>
      <c r="O857" s="18"/>
    </row>
    <row r="858">
      <c r="L858" s="18"/>
      <c r="M858" s="18"/>
      <c r="O858" s="18"/>
    </row>
    <row r="859">
      <c r="L859" s="18"/>
      <c r="M859" s="18"/>
      <c r="O859" s="18"/>
    </row>
    <row r="860">
      <c r="L860" s="18"/>
      <c r="M860" s="18"/>
      <c r="O860" s="18"/>
    </row>
    <row r="861">
      <c r="L861" s="18"/>
      <c r="M861" s="18"/>
      <c r="O861" s="18"/>
    </row>
    <row r="862">
      <c r="L862" s="18"/>
      <c r="M862" s="18"/>
      <c r="O862" s="18"/>
    </row>
    <row r="863">
      <c r="L863" s="18"/>
      <c r="M863" s="18"/>
      <c r="O863" s="18"/>
    </row>
    <row r="864">
      <c r="L864" s="18"/>
      <c r="M864" s="18"/>
      <c r="O864" s="18"/>
    </row>
    <row r="865">
      <c r="L865" s="18"/>
      <c r="M865" s="18"/>
      <c r="O865" s="18"/>
    </row>
    <row r="866">
      <c r="L866" s="18"/>
      <c r="M866" s="18"/>
      <c r="O866" s="18"/>
    </row>
    <row r="867">
      <c r="L867" s="18"/>
      <c r="M867" s="18"/>
      <c r="O867" s="18"/>
    </row>
    <row r="868">
      <c r="L868" s="18"/>
      <c r="M868" s="18"/>
      <c r="O868" s="18"/>
    </row>
    <row r="869">
      <c r="L869" s="18"/>
      <c r="M869" s="18"/>
      <c r="O869" s="18"/>
    </row>
    <row r="870">
      <c r="L870" s="18"/>
      <c r="M870" s="18"/>
      <c r="O870" s="18"/>
    </row>
    <row r="871">
      <c r="L871" s="18"/>
      <c r="M871" s="18"/>
      <c r="O871" s="18"/>
    </row>
    <row r="872">
      <c r="L872" s="18"/>
      <c r="M872" s="18"/>
      <c r="O872" s="18"/>
    </row>
    <row r="873">
      <c r="L873" s="18"/>
      <c r="M873" s="18"/>
      <c r="O873" s="18"/>
    </row>
    <row r="874">
      <c r="L874" s="18"/>
      <c r="M874" s="18"/>
      <c r="O874" s="18"/>
    </row>
    <row r="875">
      <c r="L875" s="18"/>
      <c r="M875" s="18"/>
      <c r="O875" s="18"/>
    </row>
    <row r="876">
      <c r="L876" s="18"/>
      <c r="M876" s="18"/>
      <c r="O876" s="18"/>
    </row>
    <row r="877">
      <c r="L877" s="18"/>
      <c r="M877" s="18"/>
      <c r="O877" s="18"/>
    </row>
    <row r="878">
      <c r="L878" s="18"/>
      <c r="M878" s="18"/>
      <c r="O878" s="18"/>
    </row>
    <row r="879">
      <c r="L879" s="18"/>
      <c r="M879" s="18"/>
      <c r="O879" s="18"/>
    </row>
    <row r="880">
      <c r="L880" s="18"/>
      <c r="M880" s="18"/>
      <c r="O880" s="18"/>
    </row>
    <row r="881">
      <c r="L881" s="18"/>
      <c r="M881" s="18"/>
      <c r="O881" s="18"/>
    </row>
    <row r="882">
      <c r="L882" s="18"/>
      <c r="M882" s="18"/>
      <c r="O882" s="18"/>
    </row>
    <row r="883">
      <c r="L883" s="18"/>
      <c r="M883" s="18"/>
      <c r="O883" s="18"/>
    </row>
    <row r="884">
      <c r="L884" s="18"/>
      <c r="M884" s="18"/>
      <c r="O884" s="18"/>
    </row>
    <row r="885">
      <c r="L885" s="18"/>
      <c r="M885" s="18"/>
      <c r="O885" s="18"/>
    </row>
    <row r="886">
      <c r="L886" s="18"/>
      <c r="M886" s="18"/>
      <c r="O886" s="18"/>
    </row>
    <row r="887">
      <c r="L887" s="18"/>
      <c r="M887" s="18"/>
      <c r="O887" s="18"/>
    </row>
    <row r="888">
      <c r="L888" s="18"/>
      <c r="M888" s="18"/>
      <c r="O888" s="18"/>
    </row>
    <row r="889">
      <c r="L889" s="18"/>
      <c r="M889" s="18"/>
      <c r="O889" s="18"/>
    </row>
    <row r="890">
      <c r="L890" s="18"/>
      <c r="M890" s="18"/>
      <c r="O890" s="18"/>
    </row>
    <row r="891">
      <c r="L891" s="18"/>
      <c r="M891" s="18"/>
      <c r="O891" s="18"/>
    </row>
    <row r="892">
      <c r="L892" s="18"/>
      <c r="M892" s="18"/>
      <c r="O892" s="18"/>
    </row>
    <row r="893">
      <c r="L893" s="18"/>
      <c r="M893" s="18"/>
      <c r="O893" s="18"/>
    </row>
    <row r="894">
      <c r="L894" s="18"/>
      <c r="M894" s="18"/>
      <c r="O894" s="18"/>
    </row>
    <row r="895">
      <c r="L895" s="18"/>
      <c r="M895" s="18"/>
      <c r="O895" s="18"/>
    </row>
    <row r="896">
      <c r="L896" s="18"/>
      <c r="M896" s="18"/>
      <c r="O896" s="18"/>
    </row>
    <row r="897">
      <c r="L897" s="18"/>
      <c r="M897" s="18"/>
      <c r="O897" s="18"/>
    </row>
    <row r="898">
      <c r="L898" s="18"/>
      <c r="M898" s="18"/>
      <c r="O898" s="18"/>
    </row>
    <row r="899">
      <c r="L899" s="18"/>
      <c r="M899" s="18"/>
      <c r="O899" s="18"/>
    </row>
    <row r="900">
      <c r="L900" s="18"/>
      <c r="M900" s="18"/>
      <c r="O900" s="18"/>
    </row>
    <row r="901">
      <c r="L901" s="18"/>
      <c r="M901" s="18"/>
      <c r="O901" s="18"/>
    </row>
    <row r="902">
      <c r="L902" s="18"/>
      <c r="M902" s="18"/>
      <c r="O902" s="18"/>
    </row>
    <row r="903">
      <c r="L903" s="18"/>
      <c r="M903" s="18"/>
      <c r="O903" s="18"/>
    </row>
    <row r="904">
      <c r="L904" s="18"/>
      <c r="M904" s="18"/>
      <c r="O904" s="18"/>
    </row>
    <row r="905">
      <c r="L905" s="18"/>
      <c r="M905" s="18"/>
      <c r="O905" s="18"/>
    </row>
    <row r="906">
      <c r="L906" s="18"/>
      <c r="M906" s="18"/>
      <c r="O906" s="18"/>
    </row>
    <row r="907">
      <c r="L907" s="18"/>
      <c r="M907" s="18"/>
      <c r="O907" s="18"/>
    </row>
    <row r="908">
      <c r="L908" s="18"/>
      <c r="M908" s="18"/>
      <c r="O908" s="18"/>
    </row>
    <row r="909">
      <c r="L909" s="18"/>
      <c r="M909" s="18"/>
      <c r="O909" s="18"/>
    </row>
    <row r="910">
      <c r="L910" s="18"/>
      <c r="M910" s="18"/>
      <c r="O910" s="18"/>
    </row>
    <row r="911">
      <c r="L911" s="18"/>
      <c r="M911" s="18"/>
      <c r="O911" s="18"/>
    </row>
    <row r="912">
      <c r="L912" s="18"/>
      <c r="M912" s="18"/>
      <c r="O912" s="18"/>
    </row>
    <row r="913">
      <c r="L913" s="18"/>
      <c r="M913" s="18"/>
      <c r="O913" s="18"/>
    </row>
    <row r="914">
      <c r="L914" s="18"/>
      <c r="M914" s="18"/>
      <c r="O914" s="18"/>
    </row>
    <row r="915">
      <c r="L915" s="18"/>
      <c r="M915" s="18"/>
      <c r="O915" s="18"/>
    </row>
    <row r="916">
      <c r="L916" s="18"/>
      <c r="M916" s="18"/>
      <c r="O916" s="18"/>
    </row>
    <row r="917">
      <c r="L917" s="18"/>
      <c r="M917" s="18"/>
      <c r="O917" s="18"/>
    </row>
    <row r="918">
      <c r="L918" s="18"/>
      <c r="M918" s="18"/>
      <c r="O918" s="18"/>
    </row>
    <row r="919">
      <c r="L919" s="18"/>
      <c r="M919" s="18"/>
      <c r="O919" s="18"/>
    </row>
    <row r="920">
      <c r="L920" s="18"/>
      <c r="M920" s="18"/>
      <c r="O920" s="18"/>
    </row>
    <row r="921">
      <c r="L921" s="18"/>
      <c r="M921" s="18"/>
      <c r="O921" s="18"/>
    </row>
    <row r="922">
      <c r="L922" s="18"/>
      <c r="M922" s="18"/>
      <c r="O922" s="18"/>
    </row>
    <row r="923">
      <c r="L923" s="18"/>
      <c r="M923" s="18"/>
      <c r="O923" s="18"/>
    </row>
    <row r="924">
      <c r="L924" s="18"/>
      <c r="M924" s="18"/>
      <c r="O924" s="18"/>
    </row>
    <row r="925">
      <c r="L925" s="18"/>
      <c r="M925" s="18"/>
      <c r="O925" s="18"/>
    </row>
    <row r="926">
      <c r="L926" s="18"/>
      <c r="M926" s="18"/>
      <c r="O926" s="18"/>
    </row>
    <row r="927">
      <c r="L927" s="18"/>
      <c r="M927" s="18"/>
      <c r="O927" s="18"/>
    </row>
    <row r="928">
      <c r="L928" s="18"/>
      <c r="M928" s="18"/>
      <c r="O928" s="18"/>
    </row>
    <row r="929">
      <c r="L929" s="18"/>
      <c r="M929" s="18"/>
      <c r="O929" s="18"/>
    </row>
    <row r="930">
      <c r="L930" s="18"/>
      <c r="M930" s="18"/>
      <c r="O930" s="18"/>
    </row>
    <row r="931">
      <c r="L931" s="18"/>
      <c r="M931" s="18"/>
      <c r="O931" s="18"/>
    </row>
    <row r="932">
      <c r="L932" s="18"/>
      <c r="M932" s="18"/>
      <c r="O932" s="18"/>
    </row>
    <row r="933">
      <c r="L933" s="18"/>
      <c r="M933" s="18"/>
      <c r="O933" s="18"/>
    </row>
    <row r="934">
      <c r="L934" s="18"/>
      <c r="M934" s="18"/>
      <c r="O934" s="18"/>
    </row>
    <row r="935">
      <c r="L935" s="18"/>
      <c r="M935" s="18"/>
      <c r="O935" s="18"/>
    </row>
    <row r="936">
      <c r="L936" s="18"/>
      <c r="M936" s="18"/>
      <c r="O936" s="18"/>
    </row>
    <row r="937">
      <c r="L937" s="18"/>
      <c r="M937" s="18"/>
      <c r="O937" s="18"/>
    </row>
    <row r="938">
      <c r="L938" s="18"/>
      <c r="M938" s="18"/>
      <c r="O938" s="18"/>
    </row>
    <row r="939">
      <c r="L939" s="18"/>
      <c r="M939" s="18"/>
      <c r="O939" s="18"/>
    </row>
    <row r="940">
      <c r="L940" s="18"/>
      <c r="M940" s="18"/>
      <c r="O940" s="18"/>
    </row>
    <row r="941">
      <c r="L941" s="18"/>
      <c r="M941" s="18"/>
      <c r="O941" s="18"/>
    </row>
    <row r="942">
      <c r="L942" s="18"/>
      <c r="M942" s="18"/>
      <c r="O942" s="18"/>
    </row>
    <row r="943">
      <c r="L943" s="18"/>
      <c r="M943" s="18"/>
      <c r="O943" s="18"/>
    </row>
    <row r="944">
      <c r="L944" s="18"/>
      <c r="M944" s="18"/>
      <c r="O944" s="18"/>
    </row>
    <row r="945">
      <c r="L945" s="18"/>
      <c r="M945" s="18"/>
      <c r="O945" s="18"/>
    </row>
    <row r="946">
      <c r="L946" s="18"/>
      <c r="M946" s="18"/>
      <c r="O946" s="18"/>
    </row>
    <row r="947">
      <c r="L947" s="18"/>
      <c r="M947" s="18"/>
      <c r="O947" s="18"/>
    </row>
    <row r="948">
      <c r="L948" s="18"/>
      <c r="M948" s="18"/>
      <c r="O948" s="18"/>
    </row>
    <row r="949">
      <c r="L949" s="18"/>
      <c r="M949" s="18"/>
      <c r="O949" s="18"/>
    </row>
    <row r="950">
      <c r="L950" s="18"/>
      <c r="M950" s="18"/>
      <c r="O950" s="18"/>
    </row>
    <row r="951">
      <c r="L951" s="18"/>
      <c r="M951" s="18"/>
      <c r="O951" s="18"/>
    </row>
    <row r="952">
      <c r="L952" s="18"/>
      <c r="M952" s="18"/>
      <c r="O952" s="18"/>
    </row>
    <row r="953">
      <c r="L953" s="18"/>
      <c r="M953" s="18"/>
      <c r="O953" s="18"/>
    </row>
    <row r="954">
      <c r="L954" s="18"/>
      <c r="M954" s="18"/>
      <c r="O954" s="18"/>
    </row>
    <row r="955">
      <c r="L955" s="18"/>
      <c r="M955" s="18"/>
      <c r="O955" s="18"/>
    </row>
    <row r="956">
      <c r="L956" s="18"/>
      <c r="M956" s="18"/>
      <c r="O956" s="18"/>
    </row>
    <row r="957">
      <c r="L957" s="18"/>
      <c r="M957" s="18"/>
      <c r="O957" s="18"/>
    </row>
    <row r="958">
      <c r="L958" s="18"/>
      <c r="M958" s="18"/>
      <c r="O958" s="18"/>
    </row>
    <row r="959">
      <c r="L959" s="18"/>
      <c r="M959" s="18"/>
      <c r="O959" s="18"/>
    </row>
    <row r="960">
      <c r="L960" s="18"/>
      <c r="M960" s="18"/>
      <c r="O960" s="18"/>
    </row>
    <row r="961">
      <c r="L961" s="18"/>
      <c r="M961" s="18"/>
      <c r="O961" s="18"/>
    </row>
    <row r="962">
      <c r="L962" s="18"/>
      <c r="M962" s="18"/>
      <c r="O962" s="18"/>
    </row>
    <row r="963">
      <c r="L963" s="18"/>
      <c r="M963" s="18"/>
      <c r="O963" s="18"/>
    </row>
    <row r="964">
      <c r="L964" s="18"/>
      <c r="M964" s="18"/>
      <c r="O964" s="18"/>
    </row>
    <row r="965">
      <c r="L965" s="18"/>
      <c r="M965" s="18"/>
      <c r="O965" s="18"/>
    </row>
    <row r="966">
      <c r="L966" s="18"/>
      <c r="M966" s="18"/>
      <c r="O966" s="18"/>
    </row>
    <row r="967">
      <c r="L967" s="18"/>
      <c r="M967" s="18"/>
      <c r="O967" s="18"/>
    </row>
    <row r="968">
      <c r="L968" s="18"/>
      <c r="M968" s="18"/>
      <c r="O968" s="18"/>
    </row>
    <row r="969">
      <c r="L969" s="18"/>
      <c r="M969" s="18"/>
      <c r="O969" s="18"/>
    </row>
    <row r="970">
      <c r="L970" s="18"/>
      <c r="M970" s="18"/>
      <c r="O970" s="18"/>
    </row>
    <row r="971">
      <c r="L971" s="18"/>
      <c r="M971" s="18"/>
      <c r="O971" s="18"/>
    </row>
    <row r="972">
      <c r="L972" s="18"/>
      <c r="M972" s="18"/>
      <c r="O972" s="18"/>
    </row>
    <row r="973">
      <c r="L973" s="18"/>
      <c r="M973" s="18"/>
      <c r="O973" s="18"/>
    </row>
    <row r="974">
      <c r="L974" s="18"/>
      <c r="M974" s="18"/>
      <c r="O974" s="18"/>
    </row>
    <row r="975">
      <c r="L975" s="18"/>
      <c r="M975" s="18"/>
      <c r="O975" s="18"/>
    </row>
    <row r="976">
      <c r="L976" s="18"/>
      <c r="M976" s="18"/>
      <c r="O976" s="18"/>
    </row>
    <row r="977">
      <c r="L977" s="18"/>
      <c r="M977" s="18"/>
      <c r="O977" s="18"/>
    </row>
    <row r="978">
      <c r="L978" s="18"/>
      <c r="M978" s="18"/>
      <c r="O978" s="18"/>
    </row>
    <row r="979">
      <c r="L979" s="18"/>
      <c r="M979" s="18"/>
      <c r="O979" s="18"/>
    </row>
    <row r="980">
      <c r="L980" s="18"/>
      <c r="M980" s="18"/>
      <c r="O980" s="18"/>
    </row>
    <row r="981">
      <c r="L981" s="18"/>
      <c r="M981" s="18"/>
      <c r="O981" s="18"/>
    </row>
    <row r="982">
      <c r="L982" s="18"/>
      <c r="M982" s="18"/>
      <c r="O982" s="18"/>
    </row>
    <row r="983">
      <c r="L983" s="18"/>
      <c r="M983" s="18"/>
      <c r="O983" s="18"/>
    </row>
    <row r="984">
      <c r="L984" s="18"/>
      <c r="M984" s="18"/>
      <c r="O984" s="18"/>
    </row>
    <row r="985">
      <c r="L985" s="18"/>
      <c r="M985" s="18"/>
      <c r="O985" s="18"/>
    </row>
    <row r="986">
      <c r="L986" s="18"/>
      <c r="M986" s="18"/>
      <c r="O986" s="18"/>
    </row>
    <row r="987">
      <c r="L987" s="18"/>
      <c r="M987" s="18"/>
      <c r="O987" s="18"/>
    </row>
    <row r="988">
      <c r="L988" s="18"/>
      <c r="M988" s="18"/>
      <c r="O988" s="18"/>
    </row>
    <row r="989">
      <c r="L989" s="18"/>
      <c r="M989" s="18"/>
      <c r="O989" s="18"/>
    </row>
    <row r="990">
      <c r="L990" s="18"/>
      <c r="M990" s="18"/>
      <c r="O990" s="18"/>
    </row>
    <row r="991">
      <c r="L991" s="18"/>
      <c r="M991" s="18"/>
      <c r="O991" s="18"/>
    </row>
    <row r="992">
      <c r="L992" s="18"/>
      <c r="M992" s="18"/>
      <c r="O992" s="18"/>
    </row>
    <row r="993">
      <c r="L993" s="18"/>
      <c r="M993" s="18"/>
      <c r="O993" s="18"/>
    </row>
    <row r="994">
      <c r="L994" s="18"/>
      <c r="M994" s="18"/>
      <c r="O994" s="18"/>
    </row>
    <row r="995">
      <c r="L995" s="18"/>
      <c r="M995" s="18"/>
      <c r="O995" s="18"/>
    </row>
    <row r="996">
      <c r="L996" s="18"/>
      <c r="M996" s="18"/>
      <c r="O996" s="18"/>
    </row>
    <row r="997">
      <c r="L997" s="18"/>
      <c r="M997" s="18"/>
      <c r="O997" s="18"/>
    </row>
    <row r="998">
      <c r="L998" s="18"/>
      <c r="M998" s="18"/>
      <c r="O998" s="18"/>
    </row>
    <row r="999">
      <c r="L999" s="18"/>
      <c r="M999" s="18"/>
      <c r="O999" s="18"/>
    </row>
    <row r="1000">
      <c r="L1000" s="18"/>
      <c r="M1000" s="18"/>
      <c r="O1000" s="18"/>
    </row>
  </sheetData>
  <mergeCells count="1">
    <mergeCell ref="N2:O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9.75"/>
    <col customWidth="1" min="5" max="5" width="21.25"/>
    <col customWidth="1" min="6" max="6" width="31.38"/>
    <col customWidth="1" min="7" max="7" width="23.88"/>
    <col customWidth="1" min="8" max="8" width="20.75"/>
    <col customWidth="1" min="9" max="9" width="18.25"/>
    <col customWidth="1" min="10" max="10" width="18.88"/>
  </cols>
  <sheetData>
    <row r="1">
      <c r="A1" s="1" t="s">
        <v>0</v>
      </c>
      <c r="B1" s="1" t="s">
        <v>1</v>
      </c>
      <c r="C1" s="2" t="s">
        <v>2</v>
      </c>
      <c r="D1" s="2" t="s">
        <v>3</v>
      </c>
      <c r="E1" s="1" t="s">
        <v>4</v>
      </c>
      <c r="F1" s="1" t="s">
        <v>5</v>
      </c>
      <c r="G1" s="1" t="s">
        <v>6</v>
      </c>
      <c r="H1" s="1" t="s">
        <v>7</v>
      </c>
      <c r="I1" s="1" t="s">
        <v>8</v>
      </c>
      <c r="J1" s="1" t="s">
        <v>9</v>
      </c>
      <c r="K1" s="3"/>
      <c r="L1" s="3"/>
      <c r="M1" s="3"/>
      <c r="N1" s="3"/>
      <c r="O1" s="3"/>
      <c r="P1" s="3"/>
      <c r="Q1" s="3"/>
      <c r="R1" s="3"/>
      <c r="S1" s="3"/>
      <c r="T1" s="3"/>
      <c r="U1" s="3"/>
      <c r="V1" s="3"/>
      <c r="W1" s="3"/>
      <c r="X1" s="3"/>
      <c r="Y1" s="3"/>
      <c r="Z1" s="4" t="s">
        <v>10</v>
      </c>
      <c r="AB1" s="3"/>
    </row>
    <row r="2">
      <c r="A2" s="5" t="b">
        <v>1</v>
      </c>
      <c r="B2" s="5" t="s">
        <v>17</v>
      </c>
      <c r="C2" s="7" t="s">
        <v>19</v>
      </c>
      <c r="D2" s="7" t="s">
        <v>21</v>
      </c>
      <c r="E2" s="5" t="s">
        <v>31</v>
      </c>
      <c r="F2" s="12" t="s">
        <v>33</v>
      </c>
      <c r="G2" s="5" t="s">
        <v>36</v>
      </c>
      <c r="H2" s="15"/>
      <c r="I2" s="16"/>
      <c r="J2" s="18">
        <f>SUMIFS(
  'Présences'!M:M,
  'Présences'!D:D,C2,
  'Présences'!E:E,D2
)</f>
        <v>4</v>
      </c>
      <c r="Z2" s="8">
        <f t="array" ref="Z2:Z988">IF(B2:B988="",,MATCH(B2:B988,'Données'!A$2:A988,0))</f>
        <v>1</v>
      </c>
    </row>
    <row r="3">
      <c r="A3" s="5" t="b">
        <v>1</v>
      </c>
      <c r="B3" s="5" t="s">
        <v>41</v>
      </c>
      <c r="C3" s="7" t="s">
        <v>42</v>
      </c>
      <c r="D3" s="21"/>
      <c r="E3" s="5" t="s">
        <v>31</v>
      </c>
      <c r="F3" s="12" t="s">
        <v>33</v>
      </c>
      <c r="G3" s="5" t="s">
        <v>36</v>
      </c>
      <c r="H3" s="15"/>
      <c r="I3" s="16"/>
      <c r="J3" s="18">
        <f>SUMIFS(
  'Présences'!M:M,
  'Présences'!D:D,C3,
  'Présences'!E:E,D3
)</f>
        <v>0</v>
      </c>
      <c r="Z3" s="8">
        <v>2.0</v>
      </c>
    </row>
    <row r="4">
      <c r="A4" s="5" t="b">
        <v>1</v>
      </c>
      <c r="B4" s="5" t="s">
        <v>51</v>
      </c>
      <c r="C4" s="7" t="s">
        <v>52</v>
      </c>
      <c r="D4" s="7" t="s">
        <v>53</v>
      </c>
      <c r="E4" s="5" t="s">
        <v>31</v>
      </c>
      <c r="F4" s="12" t="s">
        <v>34</v>
      </c>
      <c r="G4" s="5" t="s">
        <v>54</v>
      </c>
      <c r="H4" s="15"/>
      <c r="I4" s="16"/>
      <c r="J4" s="18">
        <f>SUMIFS(
  'Présences'!M:M,
  'Présences'!D:D,C4,
  'Présences'!E:E,D4
)</f>
        <v>0</v>
      </c>
      <c r="Z4" s="8">
        <v>3.0</v>
      </c>
    </row>
    <row r="5">
      <c r="A5" s="5" t="b">
        <v>1</v>
      </c>
      <c r="B5" s="5" t="s">
        <v>44</v>
      </c>
      <c r="C5" s="7" t="s">
        <v>57</v>
      </c>
      <c r="D5" s="7" t="s">
        <v>58</v>
      </c>
      <c r="E5" s="5" t="s">
        <v>60</v>
      </c>
      <c r="F5" s="12" t="s">
        <v>34</v>
      </c>
      <c r="G5" s="5" t="s">
        <v>36</v>
      </c>
      <c r="H5" s="15" t="s">
        <v>61</v>
      </c>
      <c r="I5" s="16"/>
      <c r="J5" s="18">
        <f>SUMIFS(
  'Présences'!M:M,
  'Présences'!D:D,C5,
  'Présences'!E:E,D5
)</f>
        <v>10</v>
      </c>
      <c r="Z5" s="8">
        <v>4.0</v>
      </c>
    </row>
    <row r="6">
      <c r="A6" s="5" t="b">
        <v>1</v>
      </c>
      <c r="B6" s="5" t="s">
        <v>44</v>
      </c>
      <c r="C6" s="7" t="s">
        <v>62</v>
      </c>
      <c r="D6" s="7" t="s">
        <v>63</v>
      </c>
      <c r="E6" s="5" t="s">
        <v>64</v>
      </c>
      <c r="F6" s="12" t="s">
        <v>65</v>
      </c>
      <c r="G6" s="5" t="s">
        <v>36</v>
      </c>
      <c r="H6" s="15" t="s">
        <v>61</v>
      </c>
      <c r="I6" s="16">
        <v>46197.0</v>
      </c>
      <c r="J6" s="18">
        <f>SUMIFS(
  'Présences'!M:M,
  'Présences'!D:D,C6,
  'Présences'!E:E,D6
)</f>
        <v>12</v>
      </c>
      <c r="Z6" s="8">
        <v>4.0</v>
      </c>
    </row>
    <row r="7">
      <c r="A7" s="5" t="b">
        <v>1</v>
      </c>
      <c r="B7" s="5" t="s">
        <v>44</v>
      </c>
      <c r="C7" s="7" t="s">
        <v>67</v>
      </c>
      <c r="D7" s="7" t="s">
        <v>68</v>
      </c>
      <c r="E7" s="5" t="s">
        <v>60</v>
      </c>
      <c r="F7" s="12" t="s">
        <v>69</v>
      </c>
      <c r="G7" s="5" t="s">
        <v>54</v>
      </c>
      <c r="H7" s="18"/>
      <c r="I7" s="16"/>
      <c r="J7" s="18">
        <f>SUMIFS(
  'Présences'!M:M,
  'Présences'!D:D,C7,
  'Présences'!E:E,D7
)</f>
        <v>0</v>
      </c>
      <c r="Z7" s="8">
        <v>4.0</v>
      </c>
    </row>
    <row r="8">
      <c r="A8" s="5" t="b">
        <v>1</v>
      </c>
      <c r="B8" s="5" t="s">
        <v>44</v>
      </c>
      <c r="C8" s="7" t="s">
        <v>73</v>
      </c>
      <c r="D8" s="7" t="s">
        <v>74</v>
      </c>
      <c r="E8" s="5" t="s">
        <v>75</v>
      </c>
      <c r="F8" s="12" t="s">
        <v>33</v>
      </c>
      <c r="G8" s="5" t="s">
        <v>36</v>
      </c>
      <c r="H8" s="18"/>
      <c r="I8" s="16"/>
      <c r="J8" s="18">
        <f>SUMIFS(
  'Présences'!M:M,
  'Présences'!D:D,C8,
  'Présences'!E:E,D8
)</f>
        <v>4</v>
      </c>
      <c r="Z8" s="8">
        <v>4.0</v>
      </c>
    </row>
    <row r="9">
      <c r="A9" s="5" t="b">
        <v>1</v>
      </c>
      <c r="B9" s="5" t="s">
        <v>44</v>
      </c>
      <c r="C9" s="7" t="s">
        <v>78</v>
      </c>
      <c r="D9" s="33" t="s">
        <v>79</v>
      </c>
      <c r="E9" s="5" t="s">
        <v>64</v>
      </c>
      <c r="F9" s="12" t="s">
        <v>64</v>
      </c>
      <c r="G9" s="5" t="s">
        <v>80</v>
      </c>
      <c r="H9" s="15" t="s">
        <v>61</v>
      </c>
      <c r="I9" s="16"/>
      <c r="J9" s="18">
        <f>SUMIFS(
  'Présences'!M:M,
  'Présences'!D:D,C9,
  'Présences'!E:E,D9
)</f>
        <v>0</v>
      </c>
      <c r="Z9" s="8">
        <v>4.0</v>
      </c>
    </row>
    <row r="10">
      <c r="A10" s="8" t="b">
        <v>0</v>
      </c>
      <c r="B10" s="5" t="s">
        <v>44</v>
      </c>
      <c r="C10" s="7" t="s">
        <v>82</v>
      </c>
      <c r="D10" s="7" t="s">
        <v>83</v>
      </c>
      <c r="E10" s="5" t="s">
        <v>84</v>
      </c>
      <c r="F10" s="12" t="s">
        <v>33</v>
      </c>
      <c r="G10" s="5" t="s">
        <v>36</v>
      </c>
      <c r="H10" s="18"/>
      <c r="I10" s="16"/>
      <c r="J10" s="18">
        <f>SUMIFS(
  'Présences'!M:M,
  'Présences'!D:D,C10,
  'Présences'!E:E,D10
)</f>
        <v>4</v>
      </c>
      <c r="Z10" s="8">
        <v>4.0</v>
      </c>
    </row>
    <row r="11">
      <c r="A11" s="8" t="b">
        <v>0</v>
      </c>
      <c r="B11" s="5" t="s">
        <v>44</v>
      </c>
      <c r="C11" s="7" t="s">
        <v>45</v>
      </c>
      <c r="D11" s="21"/>
      <c r="E11" s="5" t="s">
        <v>32</v>
      </c>
      <c r="F11" s="12" t="s">
        <v>33</v>
      </c>
      <c r="G11" s="5" t="s">
        <v>36</v>
      </c>
      <c r="H11" s="18"/>
      <c r="I11" s="16"/>
      <c r="J11" s="18">
        <f>SUMIFS(
  'Présences'!M:M,
  'Présences'!D:D,C11,
  'Présences'!E:E,D11
)</f>
        <v>0</v>
      </c>
      <c r="Z11" s="8">
        <v>4.0</v>
      </c>
    </row>
    <row r="12">
      <c r="A12" s="5" t="b">
        <v>1</v>
      </c>
      <c r="B12" s="5" t="s">
        <v>48</v>
      </c>
      <c r="C12" s="7" t="s">
        <v>89</v>
      </c>
      <c r="D12" s="21"/>
      <c r="E12" s="5" t="s">
        <v>60</v>
      </c>
      <c r="F12" s="12" t="s">
        <v>90</v>
      </c>
      <c r="G12" s="5" t="s">
        <v>36</v>
      </c>
      <c r="H12" s="15"/>
      <c r="I12" s="16"/>
      <c r="J12" s="18">
        <f>SUMIFS(
  'Présences'!M:M,
  'Présences'!D:D,C12,
  'Présences'!E:E,D12
)</f>
        <v>0</v>
      </c>
      <c r="Z12" s="8">
        <v>5.0</v>
      </c>
    </row>
    <row r="13">
      <c r="A13" s="5" t="b">
        <v>1</v>
      </c>
      <c r="B13" s="5" t="s">
        <v>91</v>
      </c>
      <c r="C13" s="7" t="s">
        <v>92</v>
      </c>
      <c r="D13" s="21"/>
      <c r="E13" s="5" t="s">
        <v>60</v>
      </c>
      <c r="F13" s="12" t="s">
        <v>96</v>
      </c>
      <c r="G13" s="5" t="s">
        <v>36</v>
      </c>
      <c r="H13" s="15" t="s">
        <v>97</v>
      </c>
      <c r="I13" s="16">
        <v>46184.0</v>
      </c>
      <c r="J13" s="18">
        <f>SUMIFS(
  'Présences'!M:M,
  'Présences'!D:D,C13,
  'Présences'!E:E,D13
)</f>
        <v>0</v>
      </c>
      <c r="Z13" s="8">
        <v>6.0</v>
      </c>
    </row>
    <row r="14">
      <c r="A14" s="5" t="b">
        <v>1</v>
      </c>
      <c r="B14" s="5" t="s">
        <v>91</v>
      </c>
      <c r="C14" s="7" t="s">
        <v>98</v>
      </c>
      <c r="D14" s="7" t="s">
        <v>99</v>
      </c>
      <c r="E14" s="5" t="s">
        <v>60</v>
      </c>
      <c r="F14" s="12" t="s">
        <v>65</v>
      </c>
      <c r="G14" s="5" t="s">
        <v>36</v>
      </c>
      <c r="H14" s="15" t="s">
        <v>97</v>
      </c>
      <c r="I14" s="16"/>
      <c r="J14" s="18">
        <f>SUMIFS(
  'Présences'!M:M,
  'Présences'!D:D,C14,
  'Présences'!E:E,D14
)</f>
        <v>0</v>
      </c>
      <c r="Z14" s="8">
        <v>6.0</v>
      </c>
    </row>
    <row r="15">
      <c r="A15" s="5" t="b">
        <v>1</v>
      </c>
      <c r="B15" s="5" t="s">
        <v>48</v>
      </c>
      <c r="C15" s="7" t="s">
        <v>101</v>
      </c>
      <c r="D15" s="7" t="s">
        <v>102</v>
      </c>
      <c r="E15" s="5" t="s">
        <v>60</v>
      </c>
      <c r="F15" s="12" t="s">
        <v>34</v>
      </c>
      <c r="G15" s="5" t="s">
        <v>36</v>
      </c>
      <c r="H15" s="18"/>
      <c r="I15" s="16"/>
      <c r="J15" s="18">
        <f>SUMIFS(
  'Présences'!M:M,
  'Présences'!D:D,C15,
  'Présences'!E:E,D15
)</f>
        <v>5</v>
      </c>
      <c r="Z15" s="8">
        <v>5.0</v>
      </c>
    </row>
    <row r="16">
      <c r="A16" s="5" t="b">
        <v>1</v>
      </c>
      <c r="B16" s="5" t="s">
        <v>104</v>
      </c>
      <c r="C16" s="7" t="s">
        <v>105</v>
      </c>
      <c r="D16" s="7" t="s">
        <v>106</v>
      </c>
      <c r="E16" s="5" t="s">
        <v>60</v>
      </c>
      <c r="F16" s="12" t="s">
        <v>34</v>
      </c>
      <c r="G16" s="5" t="s">
        <v>36</v>
      </c>
      <c r="H16" s="18"/>
      <c r="I16" s="16"/>
      <c r="J16" s="18">
        <f>SUMIFS(
  'Présences'!M:M,
  'Présences'!D:D,C16,
  'Présences'!E:E,D16
)</f>
        <v>12</v>
      </c>
      <c r="Z16" s="8">
        <v>7.0</v>
      </c>
    </row>
    <row r="17">
      <c r="A17" s="5" t="b">
        <v>1</v>
      </c>
      <c r="B17" s="5" t="s">
        <v>104</v>
      </c>
      <c r="C17" s="7" t="s">
        <v>103</v>
      </c>
      <c r="D17" s="21"/>
      <c r="E17" s="5" t="s">
        <v>60</v>
      </c>
      <c r="F17" s="12" t="s">
        <v>34</v>
      </c>
      <c r="G17" s="5" t="s">
        <v>36</v>
      </c>
      <c r="H17" s="18"/>
      <c r="I17" s="16"/>
      <c r="J17" s="18">
        <f>SUMIFS(
  'Présences'!M:M,
  'Présences'!D:D,C17,
  'Présences'!E:E,D17
)</f>
        <v>0</v>
      </c>
      <c r="Z17" s="8">
        <v>7.0</v>
      </c>
    </row>
    <row r="18">
      <c r="A18" s="5" t="b">
        <v>1</v>
      </c>
      <c r="B18" s="5" t="s">
        <v>91</v>
      </c>
      <c r="C18" s="7" t="s">
        <v>88</v>
      </c>
      <c r="D18" s="21"/>
      <c r="E18" s="5" t="s">
        <v>84</v>
      </c>
      <c r="F18" s="12" t="s">
        <v>34</v>
      </c>
      <c r="G18" s="5" t="s">
        <v>36</v>
      </c>
      <c r="H18" s="18"/>
      <c r="I18" s="16"/>
      <c r="J18" s="18">
        <f>SUMIFS(
  'Présences'!M:M,
  'Présences'!D:D,C18,
  'Présences'!E:E,D18
)</f>
        <v>0</v>
      </c>
      <c r="Z18" s="8">
        <v>6.0</v>
      </c>
    </row>
    <row r="19">
      <c r="A19" s="5" t="b">
        <v>1</v>
      </c>
      <c r="B19" s="5" t="s">
        <v>108</v>
      </c>
      <c r="C19" s="7" t="s">
        <v>109</v>
      </c>
      <c r="D19" s="21"/>
      <c r="E19" s="5" t="s">
        <v>60</v>
      </c>
      <c r="F19" s="12" t="s">
        <v>34</v>
      </c>
      <c r="G19" s="5" t="s">
        <v>36</v>
      </c>
      <c r="H19" s="18"/>
      <c r="I19" s="16"/>
      <c r="J19" s="18">
        <f>SUMIFS(
  'Présences'!M:M,
  'Présences'!D:D,C19,
  'Présences'!E:E,D19
)</f>
        <v>0</v>
      </c>
      <c r="Z19" s="8">
        <v>9.0</v>
      </c>
    </row>
    <row r="20">
      <c r="A20" s="5" t="b">
        <v>1</v>
      </c>
      <c r="B20" s="5" t="s">
        <v>104</v>
      </c>
      <c r="C20" s="7" t="s">
        <v>111</v>
      </c>
      <c r="D20" s="7" t="s">
        <v>112</v>
      </c>
      <c r="E20" s="5" t="s">
        <v>64</v>
      </c>
      <c r="F20" s="12" t="s">
        <v>65</v>
      </c>
      <c r="G20" s="5" t="s">
        <v>36</v>
      </c>
      <c r="H20" s="15" t="s">
        <v>61</v>
      </c>
      <c r="I20" s="16">
        <v>46190.0</v>
      </c>
      <c r="J20" s="18">
        <f>SUMIFS(
  'Présences'!M:M,
  'Présences'!D:D,C20,
  'Présences'!E:E,D20
)</f>
        <v>10</v>
      </c>
      <c r="Z20" s="8">
        <v>7.0</v>
      </c>
    </row>
    <row r="21">
      <c r="A21" s="5" t="b">
        <v>1</v>
      </c>
      <c r="B21" s="5" t="s">
        <v>34</v>
      </c>
      <c r="C21" s="7" t="s">
        <v>113</v>
      </c>
      <c r="D21" s="7" t="s">
        <v>114</v>
      </c>
      <c r="E21" s="5" t="s">
        <v>64</v>
      </c>
      <c r="F21" s="12" t="s">
        <v>65</v>
      </c>
      <c r="G21" s="5" t="s">
        <v>54</v>
      </c>
      <c r="H21" s="15" t="s">
        <v>61</v>
      </c>
      <c r="I21" s="16">
        <v>46197.0</v>
      </c>
      <c r="J21" s="18">
        <f>SUMIFS(
  'Présences'!M:M,
  'Présences'!D:D,C21,
  'Présences'!E:E,D21
)</f>
        <v>0</v>
      </c>
      <c r="Z21" s="8">
        <v>11.0</v>
      </c>
    </row>
    <row r="22">
      <c r="A22" s="5" t="b">
        <v>1</v>
      </c>
      <c r="B22" s="5" t="s">
        <v>34</v>
      </c>
      <c r="C22" s="7" t="s">
        <v>116</v>
      </c>
      <c r="D22" s="7" t="s">
        <v>117</v>
      </c>
      <c r="E22" s="5" t="s">
        <v>64</v>
      </c>
      <c r="F22" s="12" t="s">
        <v>65</v>
      </c>
      <c r="G22" s="5" t="s">
        <v>36</v>
      </c>
      <c r="H22" s="15" t="s">
        <v>61</v>
      </c>
      <c r="I22" s="16">
        <v>46249.0</v>
      </c>
      <c r="J22" s="18">
        <f>SUMIFS(
  'Présences'!M:M,
  'Présences'!D:D,C22,
  'Présences'!E:E,D22
)</f>
        <v>11</v>
      </c>
      <c r="Z22" s="8">
        <v>11.0</v>
      </c>
    </row>
    <row r="23">
      <c r="A23" s="5" t="b">
        <v>0</v>
      </c>
      <c r="B23" s="5" t="s">
        <v>70</v>
      </c>
      <c r="C23" s="7" t="s">
        <v>120</v>
      </c>
      <c r="D23" s="21"/>
      <c r="E23" s="5" t="s">
        <v>64</v>
      </c>
      <c r="F23" s="12" t="s">
        <v>65</v>
      </c>
      <c r="G23" s="5" t="s">
        <v>36</v>
      </c>
      <c r="H23" s="15" t="s">
        <v>121</v>
      </c>
      <c r="I23" s="16">
        <v>46259.0</v>
      </c>
      <c r="J23" s="18">
        <f>SUMIFS(
  'Présences'!M:M,
  'Présences'!D:D,C23,
  'Présences'!E:E,D23
)</f>
        <v>0</v>
      </c>
      <c r="Z23" s="8">
        <v>13.0</v>
      </c>
    </row>
    <row r="24">
      <c r="A24" s="5" t="b">
        <v>1</v>
      </c>
      <c r="B24" s="5" t="s">
        <v>34</v>
      </c>
      <c r="C24" s="7" t="s">
        <v>76</v>
      </c>
      <c r="D24" s="7" t="s">
        <v>77</v>
      </c>
      <c r="E24" s="5" t="s">
        <v>60</v>
      </c>
      <c r="F24" s="12" t="s">
        <v>34</v>
      </c>
      <c r="G24" s="5" t="s">
        <v>36</v>
      </c>
      <c r="H24" s="18"/>
      <c r="I24" s="16"/>
      <c r="J24" s="18">
        <f>SUMIFS(
  'Présences'!M:M,
  'Présences'!D:D,C24,
  'Présences'!E:E,D24
)</f>
        <v>1</v>
      </c>
      <c r="Z24" s="8">
        <v>11.0</v>
      </c>
    </row>
    <row r="25">
      <c r="A25" s="5" t="b">
        <v>0</v>
      </c>
      <c r="B25" s="5" t="s">
        <v>104</v>
      </c>
      <c r="C25" s="7" t="s">
        <v>125</v>
      </c>
      <c r="D25" s="21"/>
      <c r="E25" s="5" t="s">
        <v>75</v>
      </c>
      <c r="F25" s="12" t="s">
        <v>34</v>
      </c>
      <c r="G25" s="5" t="s">
        <v>36</v>
      </c>
      <c r="H25" s="18"/>
      <c r="I25" s="16"/>
      <c r="J25" s="18">
        <f>SUMIFS(
  'Présences'!M:M,
  'Présences'!D:D,C25,
  'Présences'!E:E,D25
)</f>
        <v>0</v>
      </c>
      <c r="Z25" s="8">
        <v>7.0</v>
      </c>
    </row>
    <row r="26">
      <c r="A26" s="5" t="b">
        <v>1</v>
      </c>
      <c r="B26" s="5" t="s">
        <v>34</v>
      </c>
      <c r="C26" s="7" t="s">
        <v>81</v>
      </c>
      <c r="D26" s="21"/>
      <c r="E26" s="5" t="s">
        <v>60</v>
      </c>
      <c r="F26" s="12" t="s">
        <v>34</v>
      </c>
      <c r="G26" s="5" t="s">
        <v>127</v>
      </c>
      <c r="H26" s="18"/>
      <c r="I26" s="16"/>
      <c r="J26" s="18">
        <f>SUMIFS(
  'Présences'!M:M,
  'Présences'!D:D,C26,
  'Présences'!E:E,D26
)</f>
        <v>0</v>
      </c>
      <c r="Z26" s="8">
        <v>11.0</v>
      </c>
    </row>
    <row r="27">
      <c r="A27" s="5" t="b">
        <v>0</v>
      </c>
      <c r="B27" s="5" t="s">
        <v>91</v>
      </c>
      <c r="C27" s="7" t="s">
        <v>100</v>
      </c>
      <c r="D27" s="21"/>
      <c r="E27" s="5" t="s">
        <v>60</v>
      </c>
      <c r="F27" s="12" t="s">
        <v>128</v>
      </c>
      <c r="G27" s="5" t="s">
        <v>36</v>
      </c>
      <c r="H27" s="18"/>
      <c r="I27" s="16"/>
      <c r="J27" s="18">
        <f>SUMIFS(
  'Présences'!M:M,
  'Présences'!D:D,C27,
  'Présences'!E:E,D27
)</f>
        <v>0</v>
      </c>
      <c r="Z27" s="8">
        <v>6.0</v>
      </c>
    </row>
    <row r="28">
      <c r="A28" s="5" t="b">
        <v>1</v>
      </c>
      <c r="B28" s="5" t="s">
        <v>34</v>
      </c>
      <c r="C28" s="7" t="s">
        <v>66</v>
      </c>
      <c r="D28" s="21"/>
      <c r="E28" s="5" t="s">
        <v>60</v>
      </c>
      <c r="F28" s="12" t="s">
        <v>34</v>
      </c>
      <c r="G28" s="5" t="s">
        <v>36</v>
      </c>
      <c r="H28" s="18"/>
      <c r="I28" s="16"/>
      <c r="J28" s="18">
        <f>SUMIFS(
  'Présences'!M:M,
  'Présences'!D:D,C28,
  'Présences'!E:E,D28
)</f>
        <v>0</v>
      </c>
      <c r="Z28" s="8">
        <v>11.0</v>
      </c>
    </row>
    <row r="29">
      <c r="A29" s="5" t="b">
        <v>1</v>
      </c>
      <c r="B29" s="5" t="s">
        <v>34</v>
      </c>
      <c r="C29" s="7" t="s">
        <v>118</v>
      </c>
      <c r="D29" s="7" t="s">
        <v>119</v>
      </c>
      <c r="E29" s="5" t="s">
        <v>60</v>
      </c>
      <c r="F29" s="12" t="s">
        <v>34</v>
      </c>
      <c r="G29" s="5" t="s">
        <v>36</v>
      </c>
      <c r="H29" s="18"/>
      <c r="I29" s="16"/>
      <c r="J29" s="18">
        <f>SUMIFS(
  'Présences'!M:M,
  'Présences'!D:D,C29,
  'Présences'!E:E,D29
)</f>
        <v>7</v>
      </c>
      <c r="Z29" s="8">
        <v>11.0</v>
      </c>
    </row>
    <row r="30">
      <c r="A30" s="5" t="b">
        <v>0</v>
      </c>
      <c r="B30" s="5" t="s">
        <v>34</v>
      </c>
      <c r="C30" s="7" t="s">
        <v>123</v>
      </c>
      <c r="D30" s="7" t="s">
        <v>124</v>
      </c>
      <c r="E30" s="5" t="s">
        <v>75</v>
      </c>
      <c r="F30" s="12" t="s">
        <v>34</v>
      </c>
      <c r="G30" s="5" t="s">
        <v>36</v>
      </c>
      <c r="H30" s="18"/>
      <c r="I30" s="16"/>
      <c r="J30" s="18">
        <f>SUMIFS(
  'Présences'!M:M,
  'Présences'!D:D,C30,
  'Présences'!E:E,D30
)</f>
        <v>1</v>
      </c>
      <c r="Z30" s="8">
        <v>11.0</v>
      </c>
    </row>
    <row r="31">
      <c r="A31" s="8" t="b">
        <v>0</v>
      </c>
      <c r="B31" s="5" t="s">
        <v>34</v>
      </c>
      <c r="C31" s="7" t="s">
        <v>131</v>
      </c>
      <c r="D31" s="7" t="s">
        <v>132</v>
      </c>
      <c r="E31" s="5" t="s">
        <v>133</v>
      </c>
      <c r="F31" s="12" t="s">
        <v>69</v>
      </c>
      <c r="G31" s="5" t="s">
        <v>36</v>
      </c>
      <c r="H31" s="18"/>
      <c r="I31" s="16"/>
      <c r="J31" s="18">
        <f>SUMIFS(
  'Présences'!M:M,
  'Présences'!D:D,C31,
  'Présences'!E:E,D31
)</f>
        <v>0</v>
      </c>
      <c r="Z31" s="8">
        <v>11.0</v>
      </c>
    </row>
    <row r="32">
      <c r="A32" s="8" t="b">
        <v>0</v>
      </c>
      <c r="B32" s="5" t="s">
        <v>34</v>
      </c>
      <c r="C32" s="7" t="s">
        <v>134</v>
      </c>
      <c r="D32" s="7" t="s">
        <v>132</v>
      </c>
      <c r="E32" s="5" t="s">
        <v>133</v>
      </c>
      <c r="F32" s="12" t="s">
        <v>69</v>
      </c>
      <c r="G32" s="5" t="s">
        <v>36</v>
      </c>
      <c r="H32" s="18"/>
      <c r="I32" s="16"/>
      <c r="J32" s="18">
        <f>SUMIFS(
  'Présences'!M:M,
  'Présences'!D:D,C32,
  'Présences'!E:E,D32
)</f>
        <v>0</v>
      </c>
      <c r="Z32" s="8">
        <v>11.0</v>
      </c>
    </row>
    <row r="33">
      <c r="A33" s="8" t="b">
        <v>0</v>
      </c>
      <c r="B33" s="5" t="s">
        <v>34</v>
      </c>
      <c r="C33" s="7" t="s">
        <v>136</v>
      </c>
      <c r="D33" s="21"/>
      <c r="E33" s="5" t="s">
        <v>133</v>
      </c>
      <c r="F33" s="12" t="s">
        <v>69</v>
      </c>
      <c r="G33" s="5" t="s">
        <v>36</v>
      </c>
      <c r="H33" s="18"/>
      <c r="I33" s="16"/>
      <c r="J33" s="18">
        <f>SUMIFS(
  'Présences'!M:M,
  'Présences'!D:D,C33,
  'Présences'!E:E,D33
)</f>
        <v>0</v>
      </c>
      <c r="Z33" s="8">
        <v>11.0</v>
      </c>
    </row>
    <row r="34">
      <c r="A34" s="8" t="b">
        <v>0</v>
      </c>
      <c r="B34" s="5" t="s">
        <v>70</v>
      </c>
      <c r="C34" s="7" t="s">
        <v>135</v>
      </c>
      <c r="D34" s="21"/>
      <c r="E34" s="5" t="s">
        <v>64</v>
      </c>
      <c r="F34" s="12" t="s">
        <v>65</v>
      </c>
      <c r="G34" s="5" t="s">
        <v>36</v>
      </c>
      <c r="H34" s="15" t="s">
        <v>137</v>
      </c>
      <c r="I34" s="16">
        <v>46261.0</v>
      </c>
      <c r="J34" s="18">
        <f>SUMIFS(
  'Présences'!M:M,
  'Présences'!D:D,C34,
  'Présences'!E:E,D34
)</f>
        <v>0</v>
      </c>
      <c r="Z34" s="8">
        <v>13.0</v>
      </c>
    </row>
    <row r="35">
      <c r="A35" s="8" t="b">
        <v>0</v>
      </c>
      <c r="B35" s="5" t="s">
        <v>138</v>
      </c>
      <c r="C35" s="7" t="s">
        <v>94</v>
      </c>
      <c r="D35" s="7" t="s">
        <v>95</v>
      </c>
      <c r="E35" s="5" t="s">
        <v>60</v>
      </c>
      <c r="F35" s="12" t="s">
        <v>34</v>
      </c>
      <c r="G35" s="5" t="s">
        <v>36</v>
      </c>
      <c r="H35" s="18"/>
      <c r="I35" s="16"/>
      <c r="J35" s="18">
        <f>SUMIFS(
  'Présences'!M:M,
  'Présences'!D:D,C35,
  'Présences'!E:E,D35
)</f>
        <v>0</v>
      </c>
      <c r="Z35" s="8">
        <v>12.0</v>
      </c>
    </row>
    <row r="36">
      <c r="A36" s="8" t="b">
        <v>0</v>
      </c>
      <c r="B36" s="5" t="s">
        <v>70</v>
      </c>
      <c r="C36" s="7" t="s">
        <v>126</v>
      </c>
      <c r="D36" s="21"/>
      <c r="E36" s="5" t="s">
        <v>60</v>
      </c>
      <c r="F36" s="12" t="s">
        <v>34</v>
      </c>
      <c r="G36" s="5" t="s">
        <v>139</v>
      </c>
      <c r="H36" s="18"/>
      <c r="I36" s="16"/>
      <c r="J36" s="18">
        <f>SUMIFS(
  'Présences'!M:M,
  'Présences'!D:D,C36,
  'Présences'!E:E,D36
)</f>
        <v>0</v>
      </c>
      <c r="Z36" s="8">
        <v>13.0</v>
      </c>
    </row>
    <row r="37">
      <c r="A37" s="8" t="b">
        <v>0</v>
      </c>
      <c r="B37" s="5" t="s">
        <v>34</v>
      </c>
      <c r="C37" s="7" t="s">
        <v>85</v>
      </c>
      <c r="D37" s="7" t="s">
        <v>86</v>
      </c>
      <c r="E37" s="5" t="s">
        <v>60</v>
      </c>
      <c r="F37" s="12" t="s">
        <v>34</v>
      </c>
      <c r="G37" s="5" t="s">
        <v>36</v>
      </c>
      <c r="H37" s="18"/>
      <c r="I37" s="16"/>
      <c r="J37" s="18">
        <f>SUMIFS(
  'Présences'!M:M,
  'Présences'!D:D,C37,
  'Présences'!E:E,D37
)</f>
        <v>9</v>
      </c>
      <c r="Z37" s="8">
        <v>11.0</v>
      </c>
    </row>
    <row r="38">
      <c r="A38" s="8" t="b">
        <v>0</v>
      </c>
      <c r="B38" s="5" t="s">
        <v>34</v>
      </c>
      <c r="C38" s="7" t="s">
        <v>129</v>
      </c>
      <c r="D38" s="7" t="s">
        <v>130</v>
      </c>
      <c r="E38" s="5" t="s">
        <v>60</v>
      </c>
      <c r="F38" s="12" t="s">
        <v>34</v>
      </c>
      <c r="G38" s="5" t="s">
        <v>36</v>
      </c>
      <c r="H38" s="18"/>
      <c r="I38" s="16"/>
      <c r="J38" s="18">
        <f>SUMIFS(
  'Présences'!M:M,
  'Présences'!D:D,C38,
  'Présences'!E:E,D38
)</f>
        <v>5</v>
      </c>
      <c r="Z38" s="8">
        <v>11.0</v>
      </c>
    </row>
    <row r="39">
      <c r="A39" s="8" t="b">
        <v>0</v>
      </c>
      <c r="B39" s="5" t="s">
        <v>34</v>
      </c>
      <c r="C39" s="7" t="s">
        <v>140</v>
      </c>
      <c r="D39" s="7" t="s">
        <v>141</v>
      </c>
      <c r="E39" s="5" t="s">
        <v>60</v>
      </c>
      <c r="F39" s="12" t="s">
        <v>34</v>
      </c>
      <c r="G39" s="5" t="s">
        <v>54</v>
      </c>
      <c r="H39" s="18"/>
      <c r="I39" s="16"/>
      <c r="J39" s="18">
        <f>SUMIFS(
  'Présences'!M:M,
  'Présences'!D:D,C39,
  'Présences'!E:E,D39
)</f>
        <v>0</v>
      </c>
      <c r="Z39" s="8">
        <v>11.0</v>
      </c>
    </row>
    <row r="40">
      <c r="A40" s="8" t="b">
        <v>0</v>
      </c>
      <c r="B40" s="5" t="s">
        <v>34</v>
      </c>
      <c r="C40" s="7" t="s">
        <v>143</v>
      </c>
      <c r="D40" s="7" t="s">
        <v>144</v>
      </c>
      <c r="E40" s="5" t="s">
        <v>60</v>
      </c>
      <c r="F40" s="12" t="s">
        <v>34</v>
      </c>
      <c r="G40" s="5" t="s">
        <v>54</v>
      </c>
      <c r="H40" s="18"/>
      <c r="I40" s="38"/>
      <c r="J40" s="18">
        <f>SUMIFS(
  'Présences'!M:M,
  'Présences'!D:D,C40,
  'Présences'!E:E,D40
)</f>
        <v>0</v>
      </c>
      <c r="Z40" s="8">
        <v>11.0</v>
      </c>
    </row>
    <row r="41">
      <c r="A41" s="8" t="b">
        <v>0</v>
      </c>
      <c r="B41" s="5" t="s">
        <v>70</v>
      </c>
      <c r="C41" s="7" t="s">
        <v>71</v>
      </c>
      <c r="D41" s="7" t="s">
        <v>72</v>
      </c>
      <c r="E41" s="5" t="s">
        <v>60</v>
      </c>
      <c r="F41" s="12" t="s">
        <v>34</v>
      </c>
      <c r="G41" s="5" t="s">
        <v>36</v>
      </c>
      <c r="H41" s="18"/>
      <c r="I41" s="38"/>
      <c r="J41" s="18">
        <f>SUMIFS(
  'Présences'!M:M,
  'Présences'!D:D,C41,
  'Présences'!E:E,D41
)</f>
        <v>2</v>
      </c>
      <c r="Z41" s="8">
        <v>13.0</v>
      </c>
    </row>
    <row r="42">
      <c r="A42" s="8" t="b">
        <v>0</v>
      </c>
      <c r="B42" s="5" t="s">
        <v>48</v>
      </c>
      <c r="C42" s="7" t="s">
        <v>145</v>
      </c>
      <c r="D42" s="7" t="s">
        <v>146</v>
      </c>
      <c r="E42" s="5" t="s">
        <v>75</v>
      </c>
      <c r="F42" s="12" t="s">
        <v>34</v>
      </c>
      <c r="G42" s="5" t="s">
        <v>36</v>
      </c>
      <c r="H42" s="18"/>
      <c r="I42" s="38"/>
      <c r="J42" s="18">
        <f>SUMIFS(
  'Présences'!M:M,
  'Présences'!D:D,C42,
  'Présences'!E:E,D42
)</f>
        <v>0</v>
      </c>
      <c r="Z42" s="8">
        <v>5.0</v>
      </c>
    </row>
    <row r="43">
      <c r="A43" s="8" t="b">
        <v>0</v>
      </c>
      <c r="B43" s="5" t="s">
        <v>91</v>
      </c>
      <c r="C43" s="33" t="s">
        <v>147</v>
      </c>
      <c r="D43" s="44" t="s">
        <v>148</v>
      </c>
      <c r="E43" s="5" t="s">
        <v>75</v>
      </c>
      <c r="F43" s="12" t="s">
        <v>34</v>
      </c>
      <c r="G43" s="5" t="s">
        <v>36</v>
      </c>
      <c r="H43" s="18"/>
      <c r="I43" s="38"/>
      <c r="J43" s="18">
        <f>SUMIFS(
  'Présences'!M:M,
  'Présences'!D:D,C43,
  'Présences'!E:E,D43
)</f>
        <v>3</v>
      </c>
      <c r="Z43" s="8">
        <v>6.0</v>
      </c>
    </row>
    <row r="44">
      <c r="A44" s="8" t="b">
        <v>0</v>
      </c>
      <c r="B44" s="5" t="s">
        <v>34</v>
      </c>
      <c r="C44" s="45" t="s">
        <v>150</v>
      </c>
      <c r="D44" s="21"/>
      <c r="E44" s="5" t="s">
        <v>75</v>
      </c>
      <c r="F44" s="12" t="s">
        <v>34</v>
      </c>
      <c r="G44" s="5" t="s">
        <v>36</v>
      </c>
      <c r="H44" s="18"/>
      <c r="I44" s="38"/>
      <c r="J44" s="18">
        <f>SUMIFS(
  'Présences'!M:M,
  'Présences'!D:D,C44,
  'Présences'!E:E,D44
)</f>
        <v>0</v>
      </c>
      <c r="Z44" s="8">
        <v>11.0</v>
      </c>
    </row>
    <row r="45">
      <c r="A45" s="8" t="b">
        <v>0</v>
      </c>
      <c r="B45" s="5" t="s">
        <v>34</v>
      </c>
      <c r="C45" s="33" t="s">
        <v>152</v>
      </c>
      <c r="D45" s="21"/>
      <c r="E45" s="5" t="s">
        <v>75</v>
      </c>
      <c r="F45" s="12" t="s">
        <v>34</v>
      </c>
      <c r="G45" s="5" t="s">
        <v>36</v>
      </c>
      <c r="H45" s="18"/>
      <c r="I45" s="38"/>
      <c r="J45" s="18">
        <f>SUMIFS(
  'Présences'!M:M,
  'Présences'!D:D,C45,
  'Présences'!E:E,D45
)</f>
        <v>0</v>
      </c>
      <c r="Z45" s="8">
        <v>11.0</v>
      </c>
    </row>
    <row r="46">
      <c r="A46" s="8" t="b">
        <v>0</v>
      </c>
      <c r="B46" s="5" t="s">
        <v>34</v>
      </c>
      <c r="C46" s="33" t="s">
        <v>151</v>
      </c>
      <c r="D46" s="21"/>
      <c r="E46" s="5" t="s">
        <v>75</v>
      </c>
      <c r="F46" s="12" t="s">
        <v>34</v>
      </c>
      <c r="G46" s="5" t="s">
        <v>36</v>
      </c>
      <c r="H46" s="18"/>
      <c r="I46" s="38"/>
      <c r="J46" s="18">
        <f>SUMIFS(
  'Présences'!M:M,
  'Présences'!D:D,C46,
  'Présences'!E:E,D46
)</f>
        <v>0</v>
      </c>
      <c r="Z46" s="8">
        <v>11.0</v>
      </c>
    </row>
    <row r="47">
      <c r="A47" s="8" t="b">
        <v>0</v>
      </c>
      <c r="B47" s="5" t="s">
        <v>87</v>
      </c>
      <c r="C47" s="33" t="s">
        <v>154</v>
      </c>
      <c r="D47" s="21"/>
      <c r="E47" s="5" t="s">
        <v>75</v>
      </c>
      <c r="F47" s="12" t="s">
        <v>34</v>
      </c>
      <c r="G47" s="5" t="s">
        <v>36</v>
      </c>
      <c r="H47" s="18"/>
      <c r="I47" s="38"/>
      <c r="J47" s="18">
        <f>SUMIFS(
  'Présences'!M:M,
  'Présences'!D:D,C47,
  'Présences'!E:E,D47
)</f>
        <v>0</v>
      </c>
      <c r="Z47" s="8">
        <v>8.0</v>
      </c>
    </row>
    <row r="48">
      <c r="A48" s="8" t="b">
        <v>0</v>
      </c>
      <c r="B48" s="5" t="s">
        <v>34</v>
      </c>
      <c r="C48" s="45" t="s">
        <v>156</v>
      </c>
      <c r="D48" s="7" t="s">
        <v>157</v>
      </c>
      <c r="E48" s="5" t="s">
        <v>75</v>
      </c>
      <c r="F48" s="12" t="s">
        <v>34</v>
      </c>
      <c r="G48" s="5" t="s">
        <v>36</v>
      </c>
      <c r="H48" s="18"/>
      <c r="I48" s="38"/>
      <c r="J48" s="18">
        <f>SUMIFS(
  'Présences'!M:M,
  'Présences'!D:D,C48,
  'Présences'!E:E,D48
)</f>
        <v>1</v>
      </c>
      <c r="Z48" s="8">
        <v>11.0</v>
      </c>
    </row>
    <row r="49">
      <c r="A49" s="8" t="b">
        <v>0</v>
      </c>
      <c r="B49" s="5" t="s">
        <v>34</v>
      </c>
      <c r="C49" s="33" t="s">
        <v>149</v>
      </c>
      <c r="D49" s="21"/>
      <c r="E49" s="5" t="s">
        <v>75</v>
      </c>
      <c r="F49" s="12" t="s">
        <v>34</v>
      </c>
      <c r="G49" s="5" t="s">
        <v>36</v>
      </c>
      <c r="H49" s="18"/>
      <c r="I49" s="38"/>
      <c r="J49" s="18">
        <f>SUMIFS(
  'Présences'!M:M,
  'Présences'!D:D,C49,
  'Présences'!E:E,D49
)</f>
        <v>0</v>
      </c>
      <c r="Z49" s="8">
        <v>11.0</v>
      </c>
    </row>
    <row r="50">
      <c r="A50" s="5" t="b">
        <v>0</v>
      </c>
      <c r="B50" s="5" t="s">
        <v>138</v>
      </c>
      <c r="C50" s="33" t="s">
        <v>155</v>
      </c>
      <c r="D50" s="21"/>
      <c r="E50" s="5" t="s">
        <v>75</v>
      </c>
      <c r="F50" s="12" t="s">
        <v>34</v>
      </c>
      <c r="G50" s="5" t="s">
        <v>36</v>
      </c>
      <c r="H50" s="18"/>
      <c r="I50" s="38"/>
      <c r="J50" s="18">
        <f>SUMIFS(
  'Présences'!M:M,
  'Présences'!D:D,C50,
  'Présences'!E:E,D50
)</f>
        <v>0</v>
      </c>
      <c r="Z50" s="8">
        <v>12.0</v>
      </c>
    </row>
    <row r="51">
      <c r="A51" s="8" t="b">
        <v>0</v>
      </c>
      <c r="B51" s="5" t="s">
        <v>87</v>
      </c>
      <c r="C51" s="45" t="s">
        <v>158</v>
      </c>
      <c r="D51" s="21"/>
      <c r="E51" s="5" t="s">
        <v>75</v>
      </c>
      <c r="F51" s="12" t="s">
        <v>34</v>
      </c>
      <c r="G51" s="5" t="s">
        <v>127</v>
      </c>
      <c r="H51" s="18"/>
      <c r="I51" s="38"/>
      <c r="J51" s="18">
        <f>SUMIFS(
  'Présences'!M:M,
  'Présences'!D:D,C51,
  'Présences'!E:E,D51
)</f>
        <v>0</v>
      </c>
      <c r="Z51" s="8">
        <v>8.0</v>
      </c>
    </row>
    <row r="52">
      <c r="A52" s="8" t="b">
        <v>0</v>
      </c>
      <c r="B52" s="5" t="s">
        <v>34</v>
      </c>
      <c r="C52" s="7" t="s">
        <v>46</v>
      </c>
      <c r="D52" s="7" t="s">
        <v>47</v>
      </c>
      <c r="E52" s="5" t="s">
        <v>32</v>
      </c>
      <c r="F52" s="12" t="s">
        <v>34</v>
      </c>
      <c r="G52" s="5" t="s">
        <v>36</v>
      </c>
      <c r="H52" s="18"/>
      <c r="I52" s="38"/>
      <c r="J52" s="18">
        <f>SUMIFS(
  'Présences'!M:M,
  'Présences'!D:D,C52,
  'Présences'!E:E,D52
)</f>
        <v>4</v>
      </c>
      <c r="Z52" s="8">
        <v>11.0</v>
      </c>
    </row>
    <row r="53">
      <c r="A53" s="8" t="b">
        <v>0</v>
      </c>
      <c r="B53" s="5" t="s">
        <v>34</v>
      </c>
      <c r="C53" s="7" t="s">
        <v>35</v>
      </c>
      <c r="D53" s="21"/>
      <c r="E53" s="5" t="s">
        <v>32</v>
      </c>
      <c r="F53" s="12" t="s">
        <v>34</v>
      </c>
      <c r="G53" s="5" t="s">
        <v>36</v>
      </c>
      <c r="H53" s="18"/>
      <c r="I53" s="38"/>
      <c r="J53" s="18">
        <f>SUMIFS(
  'Présences'!M:M,
  'Présences'!D:D,C53,
  'Présences'!E:E,D53
)</f>
        <v>0</v>
      </c>
      <c r="Z53" s="8">
        <v>11.0</v>
      </c>
    </row>
    <row r="54">
      <c r="A54" s="8" t="b">
        <v>0</v>
      </c>
      <c r="B54" s="5" t="s">
        <v>104</v>
      </c>
      <c r="C54" s="7" t="s">
        <v>59</v>
      </c>
      <c r="D54" s="7" t="s">
        <v>56</v>
      </c>
      <c r="E54" s="5" t="s">
        <v>32</v>
      </c>
      <c r="F54" s="12" t="s">
        <v>34</v>
      </c>
      <c r="G54" s="5" t="s">
        <v>36</v>
      </c>
      <c r="H54" s="18"/>
      <c r="I54" s="38"/>
      <c r="J54" s="18">
        <f>SUMIFS(
  'Présences'!M:M,
  'Présences'!D:D,C54,
  'Présences'!E:E,D54
)</f>
        <v>4</v>
      </c>
      <c r="Z54" s="8">
        <v>7.0</v>
      </c>
    </row>
    <row r="55">
      <c r="A55" s="8" t="b">
        <v>0</v>
      </c>
      <c r="B55" s="5" t="s">
        <v>34</v>
      </c>
      <c r="C55" s="7" t="s">
        <v>39</v>
      </c>
      <c r="D55" s="7" t="s">
        <v>40</v>
      </c>
      <c r="E55" s="5" t="s">
        <v>32</v>
      </c>
      <c r="F55" s="12" t="s">
        <v>34</v>
      </c>
      <c r="G55" s="5" t="s">
        <v>36</v>
      </c>
      <c r="H55" s="18"/>
      <c r="I55" s="38"/>
      <c r="J55" s="18">
        <f>SUMIFS(
  'Présences'!M:M,
  'Présences'!D:D,C55,
  'Présences'!E:E,D55
)</f>
        <v>0</v>
      </c>
      <c r="Z55" s="8">
        <v>11.0</v>
      </c>
    </row>
    <row r="56">
      <c r="A56" s="8" t="b">
        <v>0</v>
      </c>
      <c r="B56" s="5" t="s">
        <v>104</v>
      </c>
      <c r="C56" s="7" t="s">
        <v>37</v>
      </c>
      <c r="D56" s="7" t="s">
        <v>38</v>
      </c>
      <c r="E56" s="5" t="s">
        <v>32</v>
      </c>
      <c r="F56" s="12" t="s">
        <v>34</v>
      </c>
      <c r="G56" s="5" t="s">
        <v>36</v>
      </c>
      <c r="H56" s="18"/>
      <c r="I56" s="38"/>
      <c r="J56" s="18">
        <f>SUMIFS(
  'Présences'!M:M,
  'Présences'!D:D,C56,
  'Présences'!E:E,D56
)</f>
        <v>3</v>
      </c>
      <c r="Z56" s="8">
        <v>7.0</v>
      </c>
    </row>
    <row r="57">
      <c r="A57" s="8" t="b">
        <v>0</v>
      </c>
      <c r="B57" s="5" t="s">
        <v>48</v>
      </c>
      <c r="C57" s="7" t="s">
        <v>49</v>
      </c>
      <c r="D57" s="7" t="s">
        <v>50</v>
      </c>
      <c r="E57" s="5" t="s">
        <v>32</v>
      </c>
      <c r="F57" s="12" t="s">
        <v>34</v>
      </c>
      <c r="G57" s="5" t="s">
        <v>36</v>
      </c>
      <c r="H57" s="18"/>
      <c r="I57" s="38"/>
      <c r="J57" s="18">
        <f>SUMIFS(
  'Présences'!M:M,
  'Présences'!D:D,C57,
  'Présences'!E:E,D57
)</f>
        <v>1</v>
      </c>
      <c r="Z57" s="8">
        <v>5.0</v>
      </c>
    </row>
    <row r="58">
      <c r="A58" s="8" t="b">
        <v>0</v>
      </c>
      <c r="B58" s="5" t="s">
        <v>34</v>
      </c>
      <c r="C58" s="7" t="s">
        <v>159</v>
      </c>
      <c r="D58" s="7" t="s">
        <v>160</v>
      </c>
      <c r="E58" s="5" t="s">
        <v>133</v>
      </c>
      <c r="F58" s="12" t="s">
        <v>69</v>
      </c>
      <c r="G58" s="5" t="s">
        <v>36</v>
      </c>
      <c r="H58" s="18"/>
      <c r="I58" s="38"/>
      <c r="J58" s="18">
        <f>SUMIFS(
  'Présences'!M:M,
  'Présences'!D:D,C58,
  'Présences'!E:E,D58
)</f>
        <v>0</v>
      </c>
      <c r="Z58" s="8">
        <v>11.0</v>
      </c>
    </row>
    <row r="59">
      <c r="A59" s="8" t="b">
        <v>0</v>
      </c>
      <c r="B59" s="5" t="s">
        <v>34</v>
      </c>
      <c r="C59" s="7" t="s">
        <v>161</v>
      </c>
      <c r="D59" s="7" t="s">
        <v>162</v>
      </c>
      <c r="E59" s="5" t="s">
        <v>133</v>
      </c>
      <c r="F59" s="12" t="s">
        <v>69</v>
      </c>
      <c r="G59" s="5" t="s">
        <v>36</v>
      </c>
      <c r="H59" s="18"/>
      <c r="I59" s="38"/>
      <c r="J59" s="18">
        <f>SUMIFS(
  'Présences'!M:M,
  'Présences'!D:D,C59,
  'Présences'!E:E,D59
)</f>
        <v>0</v>
      </c>
      <c r="Z59" s="8">
        <v>11.0</v>
      </c>
    </row>
    <row r="60">
      <c r="A60" s="8" t="b">
        <v>0</v>
      </c>
      <c r="B60" s="5" t="s">
        <v>34</v>
      </c>
      <c r="C60" s="15" t="s">
        <v>163</v>
      </c>
      <c r="D60" s="7" t="s">
        <v>164</v>
      </c>
      <c r="E60" s="5" t="s">
        <v>133</v>
      </c>
      <c r="F60" s="12" t="s">
        <v>69</v>
      </c>
      <c r="G60" s="5" t="s">
        <v>36</v>
      </c>
      <c r="H60" s="18"/>
      <c r="I60" s="38"/>
      <c r="J60" s="18">
        <f>SUMIFS(
  'Présences'!M:M,
  'Présences'!D:D,C60,
  'Présences'!E:E,D60
)</f>
        <v>0</v>
      </c>
      <c r="Z60" s="8">
        <v>11.0</v>
      </c>
    </row>
    <row r="61">
      <c r="A61" s="8" t="b">
        <v>0</v>
      </c>
      <c r="B61" s="5" t="s">
        <v>34</v>
      </c>
      <c r="C61" s="7" t="s">
        <v>166</v>
      </c>
      <c r="D61" s="7" t="s">
        <v>167</v>
      </c>
      <c r="E61" s="5" t="s">
        <v>133</v>
      </c>
      <c r="F61" s="12" t="s">
        <v>69</v>
      </c>
      <c r="G61" s="5" t="s">
        <v>36</v>
      </c>
      <c r="H61" s="18"/>
      <c r="I61" s="38"/>
      <c r="J61" s="18">
        <f>SUMIFS(
  'Présences'!M:M,
  'Présences'!D:D,C61,
  'Présences'!E:E,D61
)</f>
        <v>0</v>
      </c>
      <c r="Z61" s="8">
        <v>11.0</v>
      </c>
    </row>
    <row r="62">
      <c r="A62" s="8" t="b">
        <v>0</v>
      </c>
      <c r="B62" s="5" t="s">
        <v>44</v>
      </c>
      <c r="C62" s="7" t="s">
        <v>168</v>
      </c>
      <c r="D62" s="7" t="s">
        <v>169</v>
      </c>
      <c r="E62" s="5" t="s">
        <v>133</v>
      </c>
      <c r="F62" s="12" t="s">
        <v>69</v>
      </c>
      <c r="G62" s="5" t="s">
        <v>36</v>
      </c>
      <c r="H62" s="18"/>
      <c r="I62" s="38"/>
      <c r="J62" s="18">
        <f>SUMIFS(
  'Présences'!M:M,
  'Présences'!D:D,C62,
  'Présences'!E:E,D62
)</f>
        <v>0</v>
      </c>
      <c r="Z62" s="8">
        <v>4.0</v>
      </c>
    </row>
    <row r="63">
      <c r="A63" s="8" t="b">
        <v>0</v>
      </c>
      <c r="B63" s="5" t="s">
        <v>34</v>
      </c>
      <c r="C63" s="7" t="s">
        <v>173</v>
      </c>
      <c r="D63" s="21"/>
      <c r="E63" s="5" t="s">
        <v>60</v>
      </c>
      <c r="F63" s="12" t="s">
        <v>34</v>
      </c>
      <c r="G63" s="5" t="s">
        <v>54</v>
      </c>
      <c r="H63" s="18"/>
      <c r="I63" s="38"/>
      <c r="J63" s="18">
        <f>SUMIFS(
  'Présences'!M:M,
  'Présences'!D:D,C63,
  'Présences'!E:E,D63
)</f>
        <v>0</v>
      </c>
      <c r="Z63" s="8">
        <v>11.0</v>
      </c>
    </row>
    <row r="64">
      <c r="A64" s="8" t="b">
        <v>0</v>
      </c>
      <c r="B64" s="5" t="s">
        <v>34</v>
      </c>
      <c r="C64" s="7" t="s">
        <v>175</v>
      </c>
      <c r="D64" s="7" t="s">
        <v>176</v>
      </c>
      <c r="E64" s="5" t="s">
        <v>133</v>
      </c>
      <c r="F64" s="12" t="s">
        <v>69</v>
      </c>
      <c r="G64" s="5" t="s">
        <v>36</v>
      </c>
      <c r="H64" s="18"/>
      <c r="I64" s="38"/>
      <c r="J64" s="18">
        <f>SUMIFS(
  'Présences'!M:M,
  'Présences'!D:D,C64,
  'Présences'!E:E,D64
)</f>
        <v>0</v>
      </c>
      <c r="Z64" s="8">
        <v>11.0</v>
      </c>
    </row>
    <row r="65">
      <c r="A65" s="8" t="b">
        <v>0</v>
      </c>
      <c r="B65" s="5" t="s">
        <v>51</v>
      </c>
      <c r="C65" s="15" t="s">
        <v>177</v>
      </c>
      <c r="D65" s="7" t="s">
        <v>178</v>
      </c>
      <c r="E65" s="5" t="s">
        <v>84</v>
      </c>
      <c r="F65" s="12" t="s">
        <v>34</v>
      </c>
      <c r="G65" s="5" t="s">
        <v>36</v>
      </c>
      <c r="H65" s="18"/>
      <c r="I65" s="38"/>
      <c r="J65" s="18">
        <f>SUMIFS(
  'Présences'!M:M,
  'Présences'!D:D,C65,
  'Présences'!E:E,D65
)</f>
        <v>0</v>
      </c>
      <c r="Z65" s="8">
        <v>3.0</v>
      </c>
    </row>
    <row r="66">
      <c r="A66" s="5" t="b">
        <v>0</v>
      </c>
      <c r="B66" s="5" t="s">
        <v>51</v>
      </c>
      <c r="C66" s="7" t="s">
        <v>174</v>
      </c>
      <c r="D66" s="21"/>
      <c r="E66" s="5" t="s">
        <v>170</v>
      </c>
      <c r="F66" s="12" t="s">
        <v>34</v>
      </c>
      <c r="G66" s="5" t="s">
        <v>36</v>
      </c>
      <c r="H66" s="18"/>
      <c r="I66" s="38"/>
      <c r="J66" s="18">
        <f>SUMIFS(
  'Présences'!M:M,
  'Présences'!D:D,C66,
  'Présences'!E:E,D66
)</f>
        <v>0</v>
      </c>
      <c r="Z66" s="8">
        <v>3.0</v>
      </c>
    </row>
    <row r="67">
      <c r="A67" s="8" t="b">
        <v>0</v>
      </c>
      <c r="B67" s="5" t="s">
        <v>34</v>
      </c>
      <c r="C67" s="7" t="s">
        <v>187</v>
      </c>
      <c r="D67" s="21"/>
      <c r="E67" s="5" t="s">
        <v>133</v>
      </c>
      <c r="F67" s="12" t="s">
        <v>69</v>
      </c>
      <c r="G67" s="5" t="s">
        <v>36</v>
      </c>
      <c r="H67" s="18"/>
      <c r="I67" s="38"/>
      <c r="J67" s="18">
        <f>SUMIFS(
  'Présences'!M:M,
  'Présences'!D:D,C67,
  'Présences'!E:E,D67
)</f>
        <v>0</v>
      </c>
      <c r="Z67" s="8">
        <v>11.0</v>
      </c>
    </row>
    <row r="68">
      <c r="A68" s="8" t="b">
        <v>0</v>
      </c>
      <c r="B68" s="5" t="s">
        <v>34</v>
      </c>
      <c r="C68" s="7" t="s">
        <v>196</v>
      </c>
      <c r="D68" s="7" t="s">
        <v>197</v>
      </c>
      <c r="E68" s="5" t="s">
        <v>133</v>
      </c>
      <c r="F68" s="12" t="s">
        <v>69</v>
      </c>
      <c r="G68" s="5" t="s">
        <v>36</v>
      </c>
      <c r="H68" s="18"/>
      <c r="I68" s="38"/>
      <c r="J68" s="18">
        <f>SUMIFS(
  'Présences'!M:M,
  'Présences'!D:D,C68,
  'Présences'!E:E,D68
)</f>
        <v>0</v>
      </c>
      <c r="Z68" s="8">
        <v>11.0</v>
      </c>
    </row>
    <row r="69">
      <c r="A69" s="8" t="b">
        <v>0</v>
      </c>
      <c r="B69" s="5" t="s">
        <v>70</v>
      </c>
      <c r="C69" s="7" t="s">
        <v>201</v>
      </c>
      <c r="D69" s="21"/>
      <c r="E69" s="5" t="s">
        <v>60</v>
      </c>
      <c r="F69" s="12" t="s">
        <v>34</v>
      </c>
      <c r="G69" s="5" t="s">
        <v>139</v>
      </c>
      <c r="H69" s="18"/>
      <c r="I69" s="59">
        <v>46265.0</v>
      </c>
      <c r="J69" s="18">
        <f>SUMIFS(
  'Présences'!M:M,
  'Présences'!D:D,C69,
  'Présences'!E:E,D69
)</f>
        <v>0</v>
      </c>
      <c r="Z69" s="8">
        <v>13.0</v>
      </c>
    </row>
    <row r="70">
      <c r="A70" s="8" t="b">
        <v>0</v>
      </c>
      <c r="B70" s="5" t="s">
        <v>70</v>
      </c>
      <c r="C70" s="7" t="s">
        <v>202</v>
      </c>
      <c r="D70" s="7" t="s">
        <v>203</v>
      </c>
      <c r="E70" s="5" t="s">
        <v>64</v>
      </c>
      <c r="F70" s="12" t="s">
        <v>204</v>
      </c>
      <c r="G70" s="5" t="s">
        <v>36</v>
      </c>
      <c r="H70" s="18"/>
      <c r="I70" s="16">
        <v>46266.0</v>
      </c>
      <c r="J70" s="18">
        <f>SUMIFS(
  'Présences'!M:M,
  'Présences'!D:D,C70,
  'Présences'!E:E,D70
)</f>
        <v>3</v>
      </c>
      <c r="Z70" s="8">
        <v>13.0</v>
      </c>
    </row>
    <row r="71">
      <c r="A71" s="8" t="b">
        <v>0</v>
      </c>
      <c r="B71" s="5" t="s">
        <v>70</v>
      </c>
      <c r="C71" s="7" t="s">
        <v>205</v>
      </c>
      <c r="D71" s="7" t="s">
        <v>206</v>
      </c>
      <c r="E71" s="5" t="s">
        <v>60</v>
      </c>
      <c r="F71" s="12" t="s">
        <v>34</v>
      </c>
      <c r="G71" s="5" t="s">
        <v>36</v>
      </c>
      <c r="H71" s="18"/>
      <c r="I71" s="59">
        <v>46266.0</v>
      </c>
      <c r="J71" s="18">
        <f>SUMIFS(
  'Présences'!M:M,
  'Présences'!D:D,C71,
  'Présences'!E:E,D71
)</f>
        <v>2</v>
      </c>
      <c r="Z71" s="8">
        <v>13.0</v>
      </c>
    </row>
    <row r="72">
      <c r="A72" s="8" t="b">
        <v>0</v>
      </c>
      <c r="B72" s="5" t="s">
        <v>70</v>
      </c>
      <c r="C72" s="7" t="s">
        <v>207</v>
      </c>
      <c r="D72" s="7" t="s">
        <v>208</v>
      </c>
      <c r="E72" s="5" t="s">
        <v>60</v>
      </c>
      <c r="F72" s="12" t="s">
        <v>34</v>
      </c>
      <c r="G72" s="5" t="s">
        <v>139</v>
      </c>
      <c r="H72" s="18"/>
      <c r="I72" s="16">
        <v>46264.0</v>
      </c>
      <c r="J72" s="18">
        <f>SUMIFS(
  'Présences'!M:M,
  'Présences'!D:D,C72,
  'Présences'!E:E,D72
)</f>
        <v>0</v>
      </c>
      <c r="Z72" s="8">
        <v>13.0</v>
      </c>
    </row>
    <row r="73">
      <c r="A73" s="8" t="b">
        <v>0</v>
      </c>
      <c r="B73" s="5" t="s">
        <v>70</v>
      </c>
      <c r="C73" s="7" t="s">
        <v>211</v>
      </c>
      <c r="D73" s="7" t="s">
        <v>208</v>
      </c>
      <c r="E73" s="5" t="s">
        <v>60</v>
      </c>
      <c r="F73" s="12" t="s">
        <v>34</v>
      </c>
      <c r="G73" s="5" t="s">
        <v>139</v>
      </c>
      <c r="H73" s="18"/>
      <c r="I73" s="16">
        <v>46264.0</v>
      </c>
      <c r="J73" s="18">
        <f>SUMIFS(
  'Présences'!M:M,
  'Présences'!D:D,C73,
  'Présences'!E:E,D73
)</f>
        <v>0</v>
      </c>
      <c r="Z73" s="8">
        <v>13.0</v>
      </c>
    </row>
    <row r="74">
      <c r="A74" s="8" t="b">
        <v>0</v>
      </c>
      <c r="B74" s="5" t="s">
        <v>48</v>
      </c>
      <c r="C74" s="7" t="s">
        <v>212</v>
      </c>
      <c r="D74" s="7" t="s">
        <v>83</v>
      </c>
      <c r="E74" s="5" t="s">
        <v>84</v>
      </c>
      <c r="F74" s="12" t="s">
        <v>33</v>
      </c>
      <c r="G74" s="5" t="s">
        <v>36</v>
      </c>
      <c r="H74" s="18"/>
      <c r="I74" s="38"/>
      <c r="J74" s="18">
        <f>SUMIFS(
  'Présences'!M:M,
  'Présences'!D:D,C74,
  'Présences'!E:E,D74
)</f>
        <v>5</v>
      </c>
      <c r="Z74" s="8">
        <v>5.0</v>
      </c>
    </row>
    <row r="75">
      <c r="A75" s="5" t="b">
        <v>0</v>
      </c>
      <c r="B75" s="5" t="s">
        <v>34</v>
      </c>
      <c r="C75" s="7" t="s">
        <v>213</v>
      </c>
      <c r="D75" s="7" t="s">
        <v>214</v>
      </c>
      <c r="E75" s="5" t="s">
        <v>84</v>
      </c>
      <c r="F75" s="12" t="s">
        <v>34</v>
      </c>
      <c r="G75" s="5" t="s">
        <v>36</v>
      </c>
      <c r="H75" s="18"/>
      <c r="I75" s="38"/>
      <c r="J75" s="18"/>
      <c r="Z75" s="8">
        <v>11.0</v>
      </c>
    </row>
    <row r="76">
      <c r="A76" s="8" t="b">
        <v>0</v>
      </c>
      <c r="B76" s="5" t="s">
        <v>91</v>
      </c>
      <c r="C76" s="7" t="s">
        <v>215</v>
      </c>
      <c r="D76" s="7" t="s">
        <v>83</v>
      </c>
      <c r="E76" s="5" t="s">
        <v>84</v>
      </c>
      <c r="F76" s="12" t="s">
        <v>34</v>
      </c>
      <c r="G76" s="5" t="s">
        <v>36</v>
      </c>
      <c r="H76" s="18"/>
      <c r="I76" s="38"/>
      <c r="J76" s="18"/>
      <c r="Z76" s="8">
        <v>6.0</v>
      </c>
    </row>
    <row r="77">
      <c r="A77" s="8" t="b">
        <v>0</v>
      </c>
      <c r="B77" s="5" t="s">
        <v>44</v>
      </c>
      <c r="C77" s="7" t="s">
        <v>171</v>
      </c>
      <c r="D77" s="7" t="s">
        <v>172</v>
      </c>
      <c r="E77" s="5" t="s">
        <v>170</v>
      </c>
      <c r="F77" s="12" t="s">
        <v>33</v>
      </c>
      <c r="G77" s="5" t="s">
        <v>36</v>
      </c>
      <c r="H77" s="18"/>
      <c r="I77" s="38"/>
      <c r="J77" s="18"/>
      <c r="Z77" s="8">
        <v>4.0</v>
      </c>
    </row>
    <row r="78">
      <c r="A78" s="5" t="b">
        <v>0</v>
      </c>
      <c r="B78" s="5" t="s">
        <v>70</v>
      </c>
      <c r="C78" s="7" t="s">
        <v>209</v>
      </c>
      <c r="D78" s="7" t="s">
        <v>210</v>
      </c>
      <c r="E78" s="5" t="s">
        <v>32</v>
      </c>
      <c r="F78" s="12" t="s">
        <v>34</v>
      </c>
      <c r="G78" s="5" t="s">
        <v>36</v>
      </c>
      <c r="H78" s="18"/>
      <c r="I78" s="38"/>
      <c r="J78" s="18"/>
      <c r="Z78" s="8">
        <v>13.0</v>
      </c>
    </row>
    <row r="79">
      <c r="A79" s="8" t="b">
        <v>0</v>
      </c>
      <c r="B79" s="8"/>
      <c r="C79" s="21"/>
      <c r="D79" s="21"/>
      <c r="E79" s="8"/>
      <c r="F79" s="8"/>
      <c r="G79" s="8"/>
      <c r="H79" s="18"/>
      <c r="I79" s="38"/>
      <c r="J79" s="18"/>
      <c r="Z79" s="8"/>
    </row>
    <row r="80">
      <c r="A80" s="8" t="b">
        <v>0</v>
      </c>
      <c r="B80" s="8"/>
      <c r="C80" s="21"/>
      <c r="D80" s="21"/>
      <c r="E80" s="8"/>
      <c r="F80" s="8"/>
      <c r="G80" s="8"/>
      <c r="H80" s="18"/>
      <c r="I80" s="38"/>
      <c r="J80" s="18"/>
      <c r="Z80" s="8"/>
    </row>
    <row r="81">
      <c r="A81" s="8" t="b">
        <v>0</v>
      </c>
      <c r="B81" s="8"/>
      <c r="C81" s="21"/>
      <c r="D81" s="21"/>
      <c r="E81" s="8"/>
      <c r="F81" s="8"/>
      <c r="G81" s="8"/>
      <c r="H81" s="18"/>
      <c r="I81" s="38"/>
      <c r="J81" s="18"/>
      <c r="Z81" s="8"/>
    </row>
    <row r="82">
      <c r="A82" s="8" t="b">
        <v>0</v>
      </c>
      <c r="B82" s="8"/>
      <c r="C82" s="21"/>
      <c r="D82" s="21"/>
      <c r="E82" s="8"/>
      <c r="F82" s="8"/>
      <c r="G82" s="8"/>
      <c r="H82" s="18"/>
      <c r="I82" s="38"/>
      <c r="J82" s="18"/>
      <c r="Z82" s="8"/>
    </row>
    <row r="83">
      <c r="A83" s="8" t="b">
        <v>0</v>
      </c>
      <c r="B83" s="8"/>
      <c r="C83" s="21"/>
      <c r="D83" s="21"/>
      <c r="E83" s="8"/>
      <c r="F83" s="8"/>
      <c r="G83" s="8"/>
      <c r="H83" s="18"/>
      <c r="I83" s="38"/>
      <c r="J83" s="18"/>
      <c r="Z83" s="8"/>
    </row>
    <row r="84">
      <c r="A84" s="8" t="b">
        <v>0</v>
      </c>
      <c r="B84" s="8"/>
      <c r="C84" s="21"/>
      <c r="D84" s="21"/>
      <c r="E84" s="8"/>
      <c r="F84" s="8"/>
      <c r="G84" s="8"/>
      <c r="H84" s="18"/>
      <c r="I84" s="38"/>
      <c r="J84" s="18"/>
      <c r="Z84" s="8"/>
    </row>
    <row r="85">
      <c r="A85" s="8" t="b">
        <v>0</v>
      </c>
      <c r="B85" s="8"/>
      <c r="C85" s="21"/>
      <c r="D85" s="21"/>
      <c r="E85" s="8"/>
      <c r="F85" s="8"/>
      <c r="G85" s="8"/>
      <c r="H85" s="18"/>
      <c r="I85" s="38"/>
      <c r="J85" s="18"/>
      <c r="Z85" s="8"/>
    </row>
    <row r="86">
      <c r="A86" s="8" t="b">
        <v>0</v>
      </c>
      <c r="B86" s="8"/>
      <c r="C86" s="21"/>
      <c r="D86" s="21"/>
      <c r="E86" s="8"/>
      <c r="F86" s="8"/>
      <c r="G86" s="8"/>
      <c r="H86" s="18"/>
      <c r="I86" s="38"/>
      <c r="J86" s="18"/>
      <c r="Z86" s="8"/>
    </row>
    <row r="87">
      <c r="A87" s="8" t="b">
        <v>0</v>
      </c>
      <c r="B87" s="8"/>
      <c r="C87" s="21"/>
      <c r="D87" s="21"/>
      <c r="E87" s="8"/>
      <c r="F87" s="8"/>
      <c r="G87" s="8"/>
      <c r="H87" s="18"/>
      <c r="I87" s="38"/>
      <c r="J87" s="18"/>
      <c r="Z87" s="8"/>
    </row>
    <row r="88">
      <c r="A88" s="8" t="b">
        <v>0</v>
      </c>
      <c r="B88" s="8"/>
      <c r="C88" s="21"/>
      <c r="D88" s="21"/>
      <c r="E88" s="8"/>
      <c r="F88" s="8"/>
      <c r="G88" s="8"/>
      <c r="H88" s="18"/>
      <c r="I88" s="38"/>
      <c r="J88" s="18"/>
      <c r="Z88" s="8"/>
    </row>
    <row r="89">
      <c r="A89" s="8" t="b">
        <v>0</v>
      </c>
      <c r="B89" s="8"/>
      <c r="C89" s="21"/>
      <c r="D89" s="21"/>
      <c r="E89" s="8"/>
      <c r="F89" s="8"/>
      <c r="G89" s="8"/>
      <c r="H89" s="18"/>
      <c r="I89" s="38"/>
      <c r="J89" s="18"/>
      <c r="Z89" s="8"/>
    </row>
    <row r="90">
      <c r="A90" s="8" t="b">
        <v>0</v>
      </c>
      <c r="B90" s="8"/>
      <c r="C90" s="21"/>
      <c r="D90" s="21"/>
      <c r="E90" s="8"/>
      <c r="F90" s="8"/>
      <c r="G90" s="8"/>
      <c r="H90" s="18"/>
      <c r="I90" s="38"/>
      <c r="J90" s="18"/>
      <c r="Z90" s="8"/>
    </row>
    <row r="91">
      <c r="A91" s="8" t="b">
        <v>0</v>
      </c>
      <c r="B91" s="8"/>
      <c r="C91" s="21"/>
      <c r="D91" s="21"/>
      <c r="E91" s="8"/>
      <c r="F91" s="8"/>
      <c r="G91" s="8"/>
      <c r="H91" s="18"/>
      <c r="I91" s="38"/>
      <c r="J91" s="18"/>
      <c r="Z91" s="8"/>
    </row>
    <row r="92">
      <c r="A92" s="8" t="b">
        <v>0</v>
      </c>
      <c r="B92" s="8"/>
      <c r="C92" s="21"/>
      <c r="D92" s="21"/>
      <c r="E92" s="8"/>
      <c r="F92" s="8"/>
      <c r="G92" s="8"/>
      <c r="H92" s="18"/>
      <c r="I92" s="38"/>
      <c r="J92" s="18"/>
      <c r="Z92" s="8"/>
    </row>
    <row r="93">
      <c r="A93" s="8" t="b">
        <v>0</v>
      </c>
      <c r="B93" s="8"/>
      <c r="C93" s="21"/>
      <c r="D93" s="21"/>
      <c r="E93" s="8"/>
      <c r="F93" s="8"/>
      <c r="G93" s="8"/>
      <c r="H93" s="18"/>
      <c r="I93" s="38"/>
      <c r="J93" s="18"/>
      <c r="Z93" s="8"/>
    </row>
    <row r="94">
      <c r="A94" s="8" t="b">
        <v>0</v>
      </c>
      <c r="B94" s="8"/>
      <c r="C94" s="21"/>
      <c r="D94" s="21"/>
      <c r="E94" s="8"/>
      <c r="F94" s="8"/>
      <c r="G94" s="8"/>
      <c r="H94" s="18"/>
      <c r="I94" s="38"/>
      <c r="J94" s="18"/>
      <c r="Z94" s="8"/>
    </row>
    <row r="95">
      <c r="A95" s="8" t="b">
        <v>0</v>
      </c>
      <c r="B95" s="8"/>
      <c r="C95" s="21"/>
      <c r="D95" s="21"/>
      <c r="E95" s="8"/>
      <c r="F95" s="8"/>
      <c r="G95" s="8"/>
      <c r="H95" s="18"/>
      <c r="I95" s="38"/>
      <c r="J95" s="18"/>
      <c r="Z95" s="8"/>
    </row>
    <row r="96">
      <c r="A96" s="8" t="b">
        <v>0</v>
      </c>
      <c r="B96" s="8"/>
      <c r="C96" s="21"/>
      <c r="D96" s="21"/>
      <c r="E96" s="8"/>
      <c r="F96" s="8"/>
      <c r="G96" s="8"/>
      <c r="H96" s="18"/>
      <c r="I96" s="38"/>
      <c r="J96" s="18"/>
      <c r="Z96" s="8"/>
    </row>
    <row r="97">
      <c r="A97" s="8" t="b">
        <v>0</v>
      </c>
      <c r="B97" s="8"/>
      <c r="C97" s="21"/>
      <c r="D97" s="21"/>
      <c r="E97" s="8"/>
      <c r="F97" s="8"/>
      <c r="G97" s="8"/>
      <c r="H97" s="18"/>
      <c r="I97" s="38"/>
      <c r="J97" s="18"/>
      <c r="Z97" s="8"/>
    </row>
    <row r="98">
      <c r="A98" s="8" t="b">
        <v>0</v>
      </c>
      <c r="B98" s="8"/>
      <c r="C98" s="21"/>
      <c r="D98" s="21"/>
      <c r="E98" s="8"/>
      <c r="F98" s="8"/>
      <c r="G98" s="8"/>
      <c r="H98" s="18"/>
      <c r="I98" s="38"/>
      <c r="J98" s="18"/>
      <c r="Z98" s="8"/>
    </row>
    <row r="99">
      <c r="A99" s="8" t="b">
        <v>0</v>
      </c>
      <c r="B99" s="8"/>
      <c r="C99" s="21"/>
      <c r="D99" s="21"/>
      <c r="E99" s="8"/>
      <c r="F99" s="8"/>
      <c r="G99" s="8"/>
      <c r="H99" s="18"/>
      <c r="I99" s="38"/>
      <c r="J99" s="18"/>
      <c r="Z99" s="8"/>
    </row>
    <row r="100">
      <c r="A100" s="8" t="b">
        <v>0</v>
      </c>
      <c r="B100" s="8"/>
      <c r="C100" s="21"/>
      <c r="D100" s="21"/>
      <c r="E100" s="8"/>
      <c r="F100" s="8"/>
      <c r="G100" s="8"/>
      <c r="H100" s="18"/>
      <c r="I100" s="38"/>
      <c r="J100" s="18"/>
      <c r="Z100" s="8"/>
    </row>
    <row r="101">
      <c r="A101" s="8" t="b">
        <v>0</v>
      </c>
      <c r="B101" s="8"/>
      <c r="C101" s="21"/>
      <c r="D101" s="21"/>
      <c r="E101" s="8"/>
      <c r="F101" s="8"/>
      <c r="G101" s="8"/>
      <c r="H101" s="18"/>
      <c r="I101" s="38"/>
      <c r="J101" s="18"/>
      <c r="Z101" s="8"/>
    </row>
    <row r="102">
      <c r="A102" s="8" t="b">
        <v>0</v>
      </c>
      <c r="B102" s="8"/>
      <c r="C102" s="21"/>
      <c r="D102" s="21"/>
      <c r="E102" s="8"/>
      <c r="F102" s="8"/>
      <c r="G102" s="8"/>
      <c r="H102" s="18"/>
      <c r="I102" s="38"/>
      <c r="J102" s="18"/>
      <c r="Z102" s="8"/>
    </row>
    <row r="103">
      <c r="A103" s="8" t="b">
        <v>0</v>
      </c>
      <c r="B103" s="8"/>
      <c r="C103" s="21"/>
      <c r="D103" s="21"/>
      <c r="E103" s="8"/>
      <c r="F103" s="8"/>
      <c r="G103" s="8"/>
      <c r="H103" s="18"/>
      <c r="I103" s="38"/>
      <c r="J103" s="18"/>
      <c r="Z103" s="8"/>
    </row>
    <row r="104">
      <c r="A104" s="8" t="b">
        <v>0</v>
      </c>
      <c r="B104" s="8"/>
      <c r="C104" s="21"/>
      <c r="D104" s="21"/>
      <c r="E104" s="8"/>
      <c r="F104" s="8"/>
      <c r="G104" s="8"/>
      <c r="H104" s="18"/>
      <c r="I104" s="38"/>
      <c r="J104" s="18"/>
      <c r="Z104" s="8"/>
    </row>
    <row r="105">
      <c r="A105" s="8" t="b">
        <v>0</v>
      </c>
      <c r="B105" s="8"/>
      <c r="C105" s="21"/>
      <c r="D105" s="21"/>
      <c r="E105" s="8"/>
      <c r="F105" s="8"/>
      <c r="G105" s="8"/>
      <c r="H105" s="18"/>
      <c r="I105" s="38"/>
      <c r="J105" s="18"/>
      <c r="Z105" s="8"/>
    </row>
    <row r="106">
      <c r="A106" s="8" t="b">
        <v>0</v>
      </c>
      <c r="B106" s="8"/>
      <c r="C106" s="21"/>
      <c r="D106" s="21"/>
      <c r="E106" s="8"/>
      <c r="F106" s="8"/>
      <c r="G106" s="8"/>
      <c r="H106" s="18"/>
      <c r="I106" s="38"/>
      <c r="J106" s="18"/>
      <c r="Z106" s="8"/>
    </row>
    <row r="107">
      <c r="A107" s="8" t="b">
        <v>0</v>
      </c>
      <c r="B107" s="8"/>
      <c r="C107" s="21"/>
      <c r="D107" s="21"/>
      <c r="E107" s="8"/>
      <c r="F107" s="8"/>
      <c r="G107" s="8"/>
      <c r="H107" s="18"/>
      <c r="I107" s="38"/>
      <c r="J107" s="18"/>
      <c r="Z107" s="8"/>
    </row>
    <row r="108">
      <c r="A108" s="8" t="b">
        <v>0</v>
      </c>
      <c r="B108" s="8"/>
      <c r="C108" s="21"/>
      <c r="D108" s="21"/>
      <c r="E108" s="8"/>
      <c r="F108" s="8"/>
      <c r="G108" s="8"/>
      <c r="H108" s="18"/>
      <c r="I108" s="38"/>
      <c r="J108" s="18"/>
      <c r="Z108" s="8"/>
    </row>
    <row r="109">
      <c r="A109" s="8" t="b">
        <v>0</v>
      </c>
      <c r="B109" s="8"/>
      <c r="C109" s="21"/>
      <c r="D109" s="21"/>
      <c r="E109" s="8"/>
      <c r="F109" s="8"/>
      <c r="G109" s="8"/>
      <c r="H109" s="18"/>
      <c r="I109" s="38"/>
      <c r="J109" s="18"/>
      <c r="Z109" s="8"/>
    </row>
    <row r="110">
      <c r="A110" s="8" t="b">
        <v>0</v>
      </c>
      <c r="B110" s="8"/>
      <c r="C110" s="21"/>
      <c r="D110" s="21"/>
      <c r="E110" s="8"/>
      <c r="F110" s="8"/>
      <c r="G110" s="8"/>
      <c r="H110" s="18"/>
      <c r="I110" s="38"/>
      <c r="J110" s="18"/>
      <c r="Z110" s="8"/>
    </row>
    <row r="111">
      <c r="A111" s="8" t="b">
        <v>0</v>
      </c>
      <c r="B111" s="8"/>
      <c r="C111" s="21"/>
      <c r="D111" s="21"/>
      <c r="E111" s="8"/>
      <c r="F111" s="8"/>
      <c r="G111" s="8"/>
      <c r="H111" s="18"/>
      <c r="I111" s="38"/>
      <c r="J111" s="18"/>
      <c r="Z111" s="8"/>
    </row>
    <row r="112">
      <c r="A112" s="8" t="b">
        <v>0</v>
      </c>
      <c r="B112" s="8"/>
      <c r="C112" s="21"/>
      <c r="D112" s="21"/>
      <c r="E112" s="8"/>
      <c r="F112" s="8"/>
      <c r="G112" s="8"/>
      <c r="H112" s="18"/>
      <c r="I112" s="38"/>
      <c r="J112" s="18"/>
      <c r="Z112" s="8"/>
    </row>
    <row r="113">
      <c r="A113" s="8" t="b">
        <v>0</v>
      </c>
      <c r="B113" s="8"/>
      <c r="C113" s="21"/>
      <c r="D113" s="21"/>
      <c r="E113" s="8"/>
      <c r="F113" s="8"/>
      <c r="G113" s="8"/>
      <c r="H113" s="18"/>
      <c r="I113" s="38"/>
      <c r="J113" s="18"/>
      <c r="Z113" s="8"/>
    </row>
    <row r="114">
      <c r="A114" s="8" t="b">
        <v>0</v>
      </c>
      <c r="B114" s="8"/>
      <c r="C114" s="21"/>
      <c r="D114" s="21"/>
      <c r="E114" s="8"/>
      <c r="F114" s="8"/>
      <c r="G114" s="8"/>
      <c r="H114" s="18"/>
      <c r="I114" s="38"/>
      <c r="J114" s="18"/>
      <c r="Z114" s="8"/>
    </row>
    <row r="115">
      <c r="A115" s="8" t="b">
        <v>0</v>
      </c>
      <c r="B115" s="8"/>
      <c r="C115" s="21"/>
      <c r="D115" s="21"/>
      <c r="E115" s="8"/>
      <c r="F115" s="8"/>
      <c r="G115" s="8"/>
      <c r="H115" s="18"/>
      <c r="I115" s="38"/>
      <c r="J115" s="18"/>
      <c r="Z115" s="8"/>
    </row>
    <row r="116">
      <c r="A116" s="8" t="b">
        <v>0</v>
      </c>
      <c r="B116" s="8"/>
      <c r="C116" s="21"/>
      <c r="D116" s="21"/>
      <c r="E116" s="8"/>
      <c r="F116" s="8"/>
      <c r="G116" s="8"/>
      <c r="H116" s="18"/>
      <c r="I116" s="38"/>
      <c r="J116" s="18"/>
      <c r="Z116" s="8"/>
    </row>
    <row r="117">
      <c r="A117" s="8" t="b">
        <v>0</v>
      </c>
      <c r="B117" s="8"/>
      <c r="C117" s="21"/>
      <c r="D117" s="21"/>
      <c r="E117" s="8"/>
      <c r="F117" s="8"/>
      <c r="G117" s="8"/>
      <c r="H117" s="18"/>
      <c r="I117" s="38"/>
      <c r="J117" s="18"/>
      <c r="Z117" s="8"/>
    </row>
    <row r="118">
      <c r="A118" s="8" t="b">
        <v>0</v>
      </c>
      <c r="B118" s="8"/>
      <c r="C118" s="21"/>
      <c r="D118" s="21"/>
      <c r="E118" s="8"/>
      <c r="F118" s="8"/>
      <c r="G118" s="8"/>
      <c r="H118" s="18"/>
      <c r="I118" s="38"/>
      <c r="J118" s="18"/>
      <c r="Z118" s="8"/>
    </row>
    <row r="119">
      <c r="A119" s="8" t="b">
        <v>0</v>
      </c>
      <c r="B119" s="8"/>
      <c r="C119" s="21"/>
      <c r="D119" s="21"/>
      <c r="E119" s="8"/>
      <c r="F119" s="8"/>
      <c r="G119" s="8"/>
      <c r="H119" s="18"/>
      <c r="I119" s="38"/>
      <c r="J119" s="18"/>
      <c r="Z119" s="8"/>
    </row>
    <row r="120">
      <c r="A120" s="8" t="b">
        <v>0</v>
      </c>
      <c r="B120" s="8"/>
      <c r="C120" s="21"/>
      <c r="D120" s="21"/>
      <c r="E120" s="8"/>
      <c r="F120" s="8"/>
      <c r="G120" s="8"/>
      <c r="H120" s="18"/>
      <c r="I120" s="38"/>
      <c r="J120" s="18"/>
      <c r="Z120" s="8"/>
    </row>
    <row r="121">
      <c r="A121" s="8" t="b">
        <v>0</v>
      </c>
      <c r="B121" s="8"/>
      <c r="C121" s="21"/>
      <c r="D121" s="21"/>
      <c r="E121" s="8"/>
      <c r="F121" s="8"/>
      <c r="G121" s="8"/>
      <c r="H121" s="18"/>
      <c r="I121" s="38"/>
      <c r="J121" s="18"/>
      <c r="Z121" s="8"/>
    </row>
    <row r="122">
      <c r="A122" s="8" t="b">
        <v>0</v>
      </c>
      <c r="B122" s="8"/>
      <c r="C122" s="21"/>
      <c r="D122" s="21"/>
      <c r="E122" s="8"/>
      <c r="F122" s="8"/>
      <c r="G122" s="8"/>
      <c r="H122" s="18"/>
      <c r="I122" s="38"/>
      <c r="J122" s="18"/>
      <c r="Z122" s="8"/>
    </row>
    <row r="123">
      <c r="A123" s="8" t="b">
        <v>0</v>
      </c>
      <c r="B123" s="8"/>
      <c r="C123" s="21"/>
      <c r="D123" s="21"/>
      <c r="E123" s="8"/>
      <c r="F123" s="8"/>
      <c r="G123" s="8"/>
      <c r="H123" s="18"/>
      <c r="I123" s="38"/>
      <c r="J123" s="18"/>
      <c r="Z123" s="8"/>
    </row>
    <row r="124">
      <c r="A124" s="8" t="b">
        <v>0</v>
      </c>
      <c r="B124" s="8"/>
      <c r="C124" s="21"/>
      <c r="D124" s="21"/>
      <c r="E124" s="8"/>
      <c r="F124" s="8"/>
      <c r="G124" s="8"/>
      <c r="H124" s="18"/>
      <c r="I124" s="38"/>
      <c r="J124" s="18"/>
      <c r="Z124" s="8"/>
    </row>
    <row r="125">
      <c r="A125" s="8" t="b">
        <v>0</v>
      </c>
      <c r="B125" s="8"/>
      <c r="C125" s="21"/>
      <c r="D125" s="21"/>
      <c r="E125" s="8"/>
      <c r="F125" s="8"/>
      <c r="G125" s="8"/>
      <c r="H125" s="18"/>
      <c r="I125" s="38"/>
      <c r="J125" s="18"/>
      <c r="Z125" s="8"/>
    </row>
    <row r="126">
      <c r="A126" s="8" t="b">
        <v>0</v>
      </c>
      <c r="B126" s="8"/>
      <c r="C126" s="21"/>
      <c r="D126" s="21"/>
      <c r="E126" s="8"/>
      <c r="F126" s="8"/>
      <c r="G126" s="8"/>
      <c r="H126" s="18"/>
      <c r="I126" s="38"/>
      <c r="J126" s="18"/>
      <c r="Z126" s="8"/>
    </row>
    <row r="127">
      <c r="A127" s="8" t="b">
        <v>0</v>
      </c>
      <c r="B127" s="8"/>
      <c r="C127" s="21"/>
      <c r="D127" s="21"/>
      <c r="E127" s="8"/>
      <c r="F127" s="8"/>
      <c r="G127" s="8"/>
      <c r="H127" s="18"/>
      <c r="I127" s="38"/>
      <c r="J127" s="18"/>
      <c r="Z127" s="8"/>
    </row>
    <row r="128">
      <c r="A128" s="8" t="b">
        <v>0</v>
      </c>
      <c r="B128" s="8"/>
      <c r="C128" s="21"/>
      <c r="D128" s="21"/>
      <c r="E128" s="8"/>
      <c r="F128" s="8"/>
      <c r="G128" s="8"/>
      <c r="H128" s="18"/>
      <c r="I128" s="38"/>
      <c r="J128" s="18"/>
      <c r="Z128" s="8"/>
    </row>
    <row r="129">
      <c r="A129" s="8" t="b">
        <v>0</v>
      </c>
      <c r="B129" s="8"/>
      <c r="C129" s="21"/>
      <c r="D129" s="21"/>
      <c r="E129" s="8"/>
      <c r="F129" s="8"/>
      <c r="G129" s="8"/>
      <c r="H129" s="18"/>
      <c r="I129" s="38"/>
      <c r="J129" s="18"/>
      <c r="Z129" s="8"/>
    </row>
    <row r="130">
      <c r="A130" s="8" t="b">
        <v>0</v>
      </c>
      <c r="B130" s="8"/>
      <c r="C130" s="21"/>
      <c r="D130" s="21"/>
      <c r="E130" s="8"/>
      <c r="F130" s="8"/>
      <c r="G130" s="8"/>
      <c r="H130" s="18"/>
      <c r="I130" s="38"/>
      <c r="J130" s="18"/>
      <c r="Z130" s="8"/>
    </row>
    <row r="131">
      <c r="A131" s="8" t="b">
        <v>0</v>
      </c>
      <c r="B131" s="8"/>
      <c r="C131" s="21"/>
      <c r="D131" s="21"/>
      <c r="E131" s="8"/>
      <c r="F131" s="8"/>
      <c r="G131" s="8"/>
      <c r="H131" s="18"/>
      <c r="I131" s="38"/>
      <c r="J131" s="18"/>
      <c r="Z131" s="8"/>
    </row>
    <row r="132">
      <c r="A132" s="8" t="b">
        <v>0</v>
      </c>
      <c r="B132" s="8"/>
      <c r="C132" s="21"/>
      <c r="D132" s="21"/>
      <c r="E132" s="8"/>
      <c r="F132" s="8"/>
      <c r="G132" s="8"/>
      <c r="H132" s="18"/>
      <c r="I132" s="38"/>
      <c r="J132" s="18"/>
      <c r="Z132" s="8"/>
    </row>
    <row r="133">
      <c r="A133" s="8" t="b">
        <v>0</v>
      </c>
      <c r="B133" s="8"/>
      <c r="C133" s="21"/>
      <c r="D133" s="21"/>
      <c r="E133" s="8"/>
      <c r="F133" s="8"/>
      <c r="G133" s="8"/>
      <c r="H133" s="18"/>
      <c r="I133" s="38"/>
      <c r="J133" s="18"/>
      <c r="Z133" s="8"/>
    </row>
    <row r="134">
      <c r="A134" s="8" t="b">
        <v>0</v>
      </c>
      <c r="B134" s="8"/>
      <c r="C134" s="21"/>
      <c r="D134" s="21"/>
      <c r="E134" s="8"/>
      <c r="F134" s="8"/>
      <c r="G134" s="8"/>
      <c r="H134" s="18"/>
      <c r="I134" s="38"/>
      <c r="J134" s="18"/>
      <c r="Z134" s="8"/>
    </row>
    <row r="135">
      <c r="A135" s="8" t="b">
        <v>0</v>
      </c>
      <c r="B135" s="8"/>
      <c r="C135" s="21"/>
      <c r="D135" s="21"/>
      <c r="E135" s="8"/>
      <c r="F135" s="8"/>
      <c r="G135" s="8"/>
      <c r="H135" s="18"/>
      <c r="I135" s="38"/>
      <c r="J135" s="18"/>
      <c r="Z135" s="8"/>
    </row>
    <row r="136">
      <c r="A136" s="8" t="b">
        <v>0</v>
      </c>
      <c r="B136" s="8"/>
      <c r="C136" s="21"/>
      <c r="D136" s="21"/>
      <c r="E136" s="8"/>
      <c r="F136" s="8"/>
      <c r="G136" s="8"/>
      <c r="H136" s="18"/>
      <c r="I136" s="38"/>
      <c r="J136" s="18"/>
      <c r="Z136" s="8"/>
    </row>
    <row r="137">
      <c r="A137" s="8" t="b">
        <v>0</v>
      </c>
      <c r="B137" s="8"/>
      <c r="C137" s="21"/>
      <c r="D137" s="21"/>
      <c r="E137" s="8"/>
      <c r="F137" s="8"/>
      <c r="G137" s="8"/>
      <c r="H137" s="18"/>
      <c r="I137" s="38"/>
      <c r="J137" s="18"/>
      <c r="Z137" s="8"/>
    </row>
    <row r="138">
      <c r="A138" s="8" t="b">
        <v>0</v>
      </c>
      <c r="B138" s="8"/>
      <c r="C138" s="21"/>
      <c r="D138" s="21"/>
      <c r="E138" s="8"/>
      <c r="F138" s="8"/>
      <c r="G138" s="8"/>
      <c r="H138" s="18"/>
      <c r="I138" s="38"/>
      <c r="J138" s="18"/>
      <c r="Z138" s="8"/>
    </row>
    <row r="139">
      <c r="A139" s="8" t="b">
        <v>0</v>
      </c>
      <c r="B139" s="8"/>
      <c r="C139" s="21"/>
      <c r="D139" s="21"/>
      <c r="E139" s="8"/>
      <c r="F139" s="8"/>
      <c r="G139" s="8"/>
      <c r="H139" s="18"/>
      <c r="I139" s="38"/>
      <c r="J139" s="18"/>
      <c r="Z139" s="8"/>
    </row>
    <row r="140">
      <c r="A140" s="8" t="b">
        <v>0</v>
      </c>
      <c r="B140" s="8"/>
      <c r="C140" s="21"/>
      <c r="D140" s="21"/>
      <c r="E140" s="8"/>
      <c r="F140" s="8"/>
      <c r="G140" s="8"/>
      <c r="H140" s="18"/>
      <c r="I140" s="38"/>
      <c r="J140" s="18"/>
      <c r="Z140" s="8"/>
    </row>
    <row r="141">
      <c r="A141" s="8" t="b">
        <v>0</v>
      </c>
      <c r="B141" s="8"/>
      <c r="C141" s="21"/>
      <c r="D141" s="21"/>
      <c r="E141" s="8"/>
      <c r="F141" s="8"/>
      <c r="G141" s="8"/>
      <c r="H141" s="18"/>
      <c r="I141" s="38"/>
      <c r="J141" s="18"/>
      <c r="Z141" s="8"/>
    </row>
    <row r="142">
      <c r="A142" s="8" t="b">
        <v>0</v>
      </c>
      <c r="B142" s="8"/>
      <c r="C142" s="21"/>
      <c r="D142" s="21"/>
      <c r="E142" s="8"/>
      <c r="F142" s="8"/>
      <c r="G142" s="8"/>
      <c r="H142" s="18"/>
      <c r="I142" s="38"/>
      <c r="J142" s="18"/>
      <c r="Z142" s="8"/>
    </row>
    <row r="143">
      <c r="A143" s="8" t="b">
        <v>0</v>
      </c>
      <c r="B143" s="8"/>
      <c r="C143" s="21"/>
      <c r="D143" s="21"/>
      <c r="E143" s="8"/>
      <c r="F143" s="8"/>
      <c r="G143" s="8"/>
      <c r="H143" s="18"/>
      <c r="I143" s="38"/>
      <c r="J143" s="18"/>
      <c r="Z143" s="8"/>
    </row>
    <row r="144">
      <c r="A144" s="8" t="b">
        <v>0</v>
      </c>
      <c r="B144" s="8"/>
      <c r="C144" s="21"/>
      <c r="D144" s="21"/>
      <c r="E144" s="8"/>
      <c r="F144" s="8"/>
      <c r="G144" s="8"/>
      <c r="H144" s="18"/>
      <c r="I144" s="38"/>
      <c r="J144" s="18"/>
      <c r="Z144" s="8"/>
    </row>
    <row r="145">
      <c r="A145" s="8" t="b">
        <v>0</v>
      </c>
      <c r="B145" s="8"/>
      <c r="C145" s="21"/>
      <c r="D145" s="21"/>
      <c r="E145" s="8"/>
      <c r="F145" s="8"/>
      <c r="G145" s="8"/>
      <c r="H145" s="18"/>
      <c r="I145" s="38"/>
      <c r="J145" s="18"/>
      <c r="Z145" s="8"/>
    </row>
    <row r="146">
      <c r="A146" s="8" t="b">
        <v>0</v>
      </c>
      <c r="B146" s="8"/>
      <c r="C146" s="21"/>
      <c r="D146" s="21"/>
      <c r="E146" s="8"/>
      <c r="F146" s="8"/>
      <c r="G146" s="8"/>
      <c r="H146" s="18"/>
      <c r="I146" s="38"/>
      <c r="J146" s="18"/>
      <c r="Z146" s="8"/>
    </row>
    <row r="147">
      <c r="A147" s="8" t="b">
        <v>0</v>
      </c>
      <c r="B147" s="8"/>
      <c r="C147" s="21"/>
      <c r="D147" s="21"/>
      <c r="E147" s="8"/>
      <c r="F147" s="8"/>
      <c r="G147" s="8"/>
      <c r="H147" s="18"/>
      <c r="I147" s="38"/>
      <c r="J147" s="18"/>
      <c r="Z147" s="8"/>
    </row>
    <row r="148">
      <c r="A148" s="8" t="b">
        <v>0</v>
      </c>
      <c r="B148" s="8"/>
      <c r="C148" s="21"/>
      <c r="D148" s="21"/>
      <c r="E148" s="8"/>
      <c r="F148" s="8"/>
      <c r="G148" s="8"/>
      <c r="H148" s="18"/>
      <c r="I148" s="38"/>
      <c r="J148" s="18"/>
      <c r="Z148" s="8"/>
    </row>
    <row r="149">
      <c r="A149" s="8" t="b">
        <v>0</v>
      </c>
      <c r="B149" s="8"/>
      <c r="C149" s="21"/>
      <c r="D149" s="21"/>
      <c r="E149" s="8"/>
      <c r="F149" s="8"/>
      <c r="G149" s="8"/>
      <c r="H149" s="18"/>
      <c r="I149" s="38"/>
      <c r="J149" s="18"/>
      <c r="Z149" s="8"/>
    </row>
    <row r="150">
      <c r="A150" s="8" t="b">
        <v>0</v>
      </c>
      <c r="B150" s="8"/>
      <c r="C150" s="21"/>
      <c r="D150" s="21"/>
      <c r="E150" s="8"/>
      <c r="F150" s="8"/>
      <c r="G150" s="8"/>
      <c r="H150" s="18"/>
      <c r="I150" s="38"/>
      <c r="J150" s="18"/>
      <c r="Z150" s="8"/>
    </row>
    <row r="151">
      <c r="A151" s="8" t="b">
        <v>0</v>
      </c>
      <c r="B151" s="8"/>
      <c r="C151" s="21"/>
      <c r="D151" s="21"/>
      <c r="E151" s="8"/>
      <c r="F151" s="8"/>
      <c r="G151" s="8"/>
      <c r="H151" s="18"/>
      <c r="I151" s="38"/>
      <c r="J151" s="18"/>
      <c r="Z151" s="8"/>
    </row>
    <row r="152">
      <c r="A152" s="8" t="b">
        <v>0</v>
      </c>
      <c r="B152" s="8"/>
      <c r="C152" s="21"/>
      <c r="D152" s="21"/>
      <c r="E152" s="8"/>
      <c r="F152" s="8"/>
      <c r="G152" s="8"/>
      <c r="H152" s="18"/>
      <c r="I152" s="38"/>
      <c r="J152" s="18"/>
      <c r="Z152" s="8"/>
    </row>
    <row r="153">
      <c r="A153" s="8" t="b">
        <v>0</v>
      </c>
      <c r="B153" s="8"/>
      <c r="C153" s="21"/>
      <c r="D153" s="21"/>
      <c r="E153" s="8"/>
      <c r="F153" s="8"/>
      <c r="G153" s="8"/>
      <c r="H153" s="18"/>
      <c r="I153" s="38"/>
      <c r="J153" s="18"/>
      <c r="Z153" s="8"/>
    </row>
    <row r="154">
      <c r="A154" s="8" t="b">
        <v>0</v>
      </c>
      <c r="B154" s="8"/>
      <c r="C154" s="21"/>
      <c r="D154" s="21"/>
      <c r="E154" s="8"/>
      <c r="F154" s="8"/>
      <c r="G154" s="8"/>
      <c r="H154" s="18"/>
      <c r="I154" s="38"/>
      <c r="J154" s="18"/>
      <c r="Z154" s="8"/>
    </row>
    <row r="155">
      <c r="A155" s="8" t="b">
        <v>0</v>
      </c>
      <c r="B155" s="8"/>
      <c r="C155" s="21"/>
      <c r="D155" s="21"/>
      <c r="E155" s="8"/>
      <c r="F155" s="8"/>
      <c r="G155" s="8"/>
      <c r="H155" s="18"/>
      <c r="I155" s="38"/>
      <c r="J155" s="18"/>
      <c r="Z155" s="8"/>
    </row>
    <row r="156">
      <c r="A156" s="8" t="b">
        <v>0</v>
      </c>
      <c r="B156" s="8"/>
      <c r="C156" s="21"/>
      <c r="D156" s="21"/>
      <c r="E156" s="8"/>
      <c r="F156" s="8"/>
      <c r="G156" s="8"/>
      <c r="H156" s="18"/>
      <c r="I156" s="38"/>
      <c r="J156" s="18"/>
      <c r="Z156" s="8"/>
    </row>
    <row r="157">
      <c r="A157" s="8" t="b">
        <v>0</v>
      </c>
      <c r="B157" s="8"/>
      <c r="C157" s="21"/>
      <c r="D157" s="21"/>
      <c r="E157" s="8"/>
      <c r="F157" s="8"/>
      <c r="G157" s="8"/>
      <c r="H157" s="18"/>
      <c r="I157" s="38"/>
      <c r="J157" s="18"/>
      <c r="Z157" s="8"/>
    </row>
    <row r="158">
      <c r="A158" s="8" t="b">
        <v>0</v>
      </c>
      <c r="B158" s="8"/>
      <c r="C158" s="21"/>
      <c r="D158" s="21"/>
      <c r="E158" s="8"/>
      <c r="F158" s="8"/>
      <c r="G158" s="8"/>
      <c r="H158" s="18"/>
      <c r="I158" s="38"/>
      <c r="J158" s="18"/>
      <c r="Z158" s="8"/>
    </row>
    <row r="159">
      <c r="A159" s="8" t="b">
        <v>0</v>
      </c>
      <c r="B159" s="8"/>
      <c r="C159" s="21"/>
      <c r="D159" s="21"/>
      <c r="E159" s="8"/>
      <c r="F159" s="8"/>
      <c r="G159" s="8"/>
      <c r="H159" s="18"/>
      <c r="I159" s="38"/>
      <c r="J159" s="18"/>
      <c r="Z159" s="8"/>
    </row>
    <row r="160">
      <c r="A160" s="8" t="b">
        <v>0</v>
      </c>
      <c r="B160" s="8"/>
      <c r="C160" s="21"/>
      <c r="D160" s="21"/>
      <c r="E160" s="8"/>
      <c r="F160" s="8"/>
      <c r="G160" s="8"/>
      <c r="H160" s="18"/>
      <c r="I160" s="38"/>
      <c r="J160" s="18"/>
      <c r="Z160" s="8"/>
    </row>
    <row r="161">
      <c r="A161" s="8" t="b">
        <v>0</v>
      </c>
      <c r="B161" s="8"/>
      <c r="C161" s="21"/>
      <c r="D161" s="21"/>
      <c r="E161" s="8"/>
      <c r="F161" s="8"/>
      <c r="G161" s="8"/>
      <c r="H161" s="18"/>
      <c r="I161" s="38"/>
      <c r="J161" s="18"/>
      <c r="Z161" s="8"/>
    </row>
    <row r="162">
      <c r="A162" s="8" t="b">
        <v>0</v>
      </c>
      <c r="B162" s="8"/>
      <c r="C162" s="21"/>
      <c r="D162" s="21"/>
      <c r="E162" s="8"/>
      <c r="F162" s="8"/>
      <c r="G162" s="8"/>
      <c r="H162" s="18"/>
      <c r="I162" s="38"/>
      <c r="J162" s="18"/>
      <c r="Z162" s="8"/>
    </row>
    <row r="163">
      <c r="A163" s="8" t="b">
        <v>0</v>
      </c>
      <c r="B163" s="8"/>
      <c r="C163" s="21"/>
      <c r="D163" s="21"/>
      <c r="E163" s="8"/>
      <c r="F163" s="8"/>
      <c r="G163" s="8"/>
      <c r="H163" s="18"/>
      <c r="I163" s="38"/>
      <c r="J163" s="18"/>
      <c r="Z163" s="8"/>
    </row>
    <row r="164">
      <c r="A164" s="8" t="b">
        <v>0</v>
      </c>
      <c r="B164" s="8"/>
      <c r="C164" s="21"/>
      <c r="D164" s="21"/>
      <c r="E164" s="8"/>
      <c r="F164" s="8"/>
      <c r="G164" s="8"/>
      <c r="H164" s="18"/>
      <c r="I164" s="38"/>
      <c r="J164" s="18"/>
      <c r="Z164" s="8"/>
    </row>
    <row r="165">
      <c r="A165" s="8" t="b">
        <v>0</v>
      </c>
      <c r="B165" s="8"/>
      <c r="C165" s="21"/>
      <c r="D165" s="21"/>
      <c r="E165" s="8"/>
      <c r="F165" s="8"/>
      <c r="G165" s="8"/>
      <c r="H165" s="18"/>
      <c r="I165" s="38"/>
      <c r="J165" s="18"/>
      <c r="Z165" s="8"/>
    </row>
    <row r="166">
      <c r="A166" s="8" t="b">
        <v>0</v>
      </c>
      <c r="B166" s="8"/>
      <c r="C166" s="21"/>
      <c r="D166" s="21"/>
      <c r="E166" s="8"/>
      <c r="F166" s="8"/>
      <c r="G166" s="8"/>
      <c r="H166" s="18"/>
      <c r="I166" s="38"/>
      <c r="J166" s="18"/>
      <c r="Z166" s="8"/>
    </row>
    <row r="167">
      <c r="A167" s="8" t="b">
        <v>0</v>
      </c>
      <c r="B167" s="8"/>
      <c r="C167" s="21"/>
      <c r="D167" s="21"/>
      <c r="E167" s="8"/>
      <c r="F167" s="8"/>
      <c r="G167" s="8"/>
      <c r="H167" s="18"/>
      <c r="I167" s="38"/>
      <c r="J167" s="18"/>
      <c r="Z167" s="8"/>
    </row>
    <row r="168">
      <c r="A168" s="8" t="b">
        <v>0</v>
      </c>
      <c r="B168" s="8"/>
      <c r="C168" s="21"/>
      <c r="D168" s="21"/>
      <c r="E168" s="8"/>
      <c r="F168" s="8"/>
      <c r="G168" s="8"/>
      <c r="H168" s="18"/>
      <c r="I168" s="38"/>
      <c r="J168" s="18"/>
      <c r="Z168" s="8"/>
    </row>
    <row r="169">
      <c r="A169" s="8" t="b">
        <v>0</v>
      </c>
      <c r="B169" s="8"/>
      <c r="C169" s="21"/>
      <c r="D169" s="21"/>
      <c r="E169" s="8"/>
      <c r="F169" s="8"/>
      <c r="G169" s="8"/>
      <c r="H169" s="18"/>
      <c r="I169" s="38"/>
      <c r="J169" s="18"/>
      <c r="Z169" s="8"/>
    </row>
    <row r="170">
      <c r="A170" s="8" t="b">
        <v>0</v>
      </c>
      <c r="B170" s="8"/>
      <c r="C170" s="21"/>
      <c r="D170" s="21"/>
      <c r="E170" s="8"/>
      <c r="F170" s="8"/>
      <c r="G170" s="8"/>
      <c r="H170" s="18"/>
      <c r="I170" s="38"/>
      <c r="J170" s="18"/>
      <c r="Z170" s="8"/>
    </row>
    <row r="171">
      <c r="A171" s="8" t="b">
        <v>0</v>
      </c>
      <c r="B171" s="8"/>
      <c r="C171" s="21"/>
      <c r="D171" s="21"/>
      <c r="E171" s="8"/>
      <c r="F171" s="8"/>
      <c r="G171" s="8"/>
      <c r="H171" s="18"/>
      <c r="I171" s="38"/>
      <c r="J171" s="18"/>
      <c r="Z171" s="8"/>
    </row>
    <row r="172">
      <c r="A172" s="8" t="b">
        <v>0</v>
      </c>
      <c r="B172" s="8"/>
      <c r="C172" s="21"/>
      <c r="D172" s="21"/>
      <c r="E172" s="8"/>
      <c r="F172" s="8"/>
      <c r="G172" s="8"/>
      <c r="H172" s="18"/>
      <c r="I172" s="38"/>
      <c r="J172" s="18"/>
      <c r="Z172" s="8"/>
    </row>
    <row r="173">
      <c r="A173" s="8" t="b">
        <v>0</v>
      </c>
      <c r="B173" s="8"/>
      <c r="C173" s="21"/>
      <c r="D173" s="21"/>
      <c r="E173" s="8"/>
      <c r="F173" s="8"/>
      <c r="G173" s="8"/>
      <c r="H173" s="18"/>
      <c r="I173" s="38"/>
      <c r="J173" s="18"/>
      <c r="Z173" s="8"/>
    </row>
    <row r="174">
      <c r="A174" s="8" t="b">
        <v>0</v>
      </c>
      <c r="B174" s="8"/>
      <c r="C174" s="21"/>
      <c r="D174" s="21"/>
      <c r="E174" s="8"/>
      <c r="F174" s="8"/>
      <c r="G174" s="8"/>
      <c r="H174" s="18"/>
      <c r="I174" s="38"/>
      <c r="J174" s="18"/>
      <c r="Z174" s="8"/>
    </row>
    <row r="175">
      <c r="A175" s="8" t="b">
        <v>0</v>
      </c>
      <c r="B175" s="8"/>
      <c r="C175" s="21"/>
      <c r="D175" s="21"/>
      <c r="E175" s="8"/>
      <c r="F175" s="8"/>
      <c r="G175" s="8"/>
      <c r="H175" s="18"/>
      <c r="I175" s="38"/>
      <c r="J175" s="18"/>
      <c r="Z175" s="8"/>
    </row>
    <row r="176">
      <c r="A176" s="8" t="b">
        <v>0</v>
      </c>
      <c r="B176" s="8"/>
      <c r="C176" s="21"/>
      <c r="D176" s="21"/>
      <c r="E176" s="8"/>
      <c r="F176" s="8"/>
      <c r="G176" s="8"/>
      <c r="H176" s="18"/>
      <c r="I176" s="38"/>
      <c r="J176" s="18"/>
      <c r="Z176" s="8"/>
    </row>
    <row r="177">
      <c r="A177" s="8" t="b">
        <v>0</v>
      </c>
      <c r="B177" s="8"/>
      <c r="C177" s="21"/>
      <c r="D177" s="21"/>
      <c r="E177" s="8"/>
      <c r="F177" s="8"/>
      <c r="G177" s="8"/>
      <c r="H177" s="18"/>
      <c r="I177" s="38"/>
      <c r="J177" s="18"/>
      <c r="Z177" s="8"/>
    </row>
    <row r="178">
      <c r="A178" s="8" t="b">
        <v>0</v>
      </c>
      <c r="B178" s="8"/>
      <c r="C178" s="21"/>
      <c r="D178" s="21"/>
      <c r="E178" s="8"/>
      <c r="F178" s="8"/>
      <c r="G178" s="8"/>
      <c r="H178" s="18"/>
      <c r="I178" s="38"/>
      <c r="J178" s="18"/>
      <c r="Z178" s="8"/>
    </row>
    <row r="179">
      <c r="A179" s="8" t="b">
        <v>0</v>
      </c>
      <c r="B179" s="8"/>
      <c r="C179" s="21"/>
      <c r="D179" s="21"/>
      <c r="E179" s="8"/>
      <c r="F179" s="8"/>
      <c r="G179" s="8"/>
      <c r="H179" s="18"/>
      <c r="I179" s="38"/>
      <c r="J179" s="18"/>
      <c r="Z179" s="8"/>
    </row>
    <row r="180">
      <c r="A180" s="8" t="b">
        <v>0</v>
      </c>
      <c r="B180" s="8"/>
      <c r="C180" s="21"/>
      <c r="D180" s="21"/>
      <c r="E180" s="8"/>
      <c r="F180" s="8"/>
      <c r="G180" s="8"/>
      <c r="H180" s="18"/>
      <c r="I180" s="38"/>
      <c r="J180" s="18"/>
      <c r="Z180" s="8"/>
    </row>
    <row r="181">
      <c r="A181" s="8" t="b">
        <v>0</v>
      </c>
      <c r="B181" s="8"/>
      <c r="C181" s="21"/>
      <c r="D181" s="21"/>
      <c r="E181" s="8"/>
      <c r="F181" s="8"/>
      <c r="G181" s="8"/>
      <c r="H181" s="18"/>
      <c r="I181" s="38"/>
      <c r="J181" s="18"/>
      <c r="Z181" s="8"/>
    </row>
    <row r="182">
      <c r="A182" s="8" t="b">
        <v>0</v>
      </c>
      <c r="B182" s="8"/>
      <c r="C182" s="21"/>
      <c r="D182" s="21"/>
      <c r="E182" s="8"/>
      <c r="F182" s="8"/>
      <c r="G182" s="8"/>
      <c r="H182" s="18"/>
      <c r="I182" s="38"/>
      <c r="J182" s="18"/>
      <c r="Z182" s="8"/>
    </row>
    <row r="183">
      <c r="A183" s="8" t="b">
        <v>0</v>
      </c>
      <c r="B183" s="8"/>
      <c r="C183" s="21"/>
      <c r="D183" s="21"/>
      <c r="E183" s="8"/>
      <c r="F183" s="8"/>
      <c r="G183" s="8"/>
      <c r="H183" s="18"/>
      <c r="I183" s="38"/>
      <c r="J183" s="18"/>
      <c r="Z183" s="8"/>
    </row>
    <row r="184">
      <c r="A184" s="8" t="b">
        <v>0</v>
      </c>
      <c r="B184" s="8"/>
      <c r="C184" s="21"/>
      <c r="D184" s="21"/>
      <c r="E184" s="8"/>
      <c r="F184" s="8"/>
      <c r="G184" s="8"/>
      <c r="H184" s="18"/>
      <c r="I184" s="38"/>
      <c r="J184" s="18"/>
      <c r="Z184" s="8"/>
    </row>
    <row r="185">
      <c r="A185" s="8" t="b">
        <v>0</v>
      </c>
      <c r="B185" s="8"/>
      <c r="C185" s="21"/>
      <c r="D185" s="21"/>
      <c r="E185" s="8"/>
      <c r="F185" s="8"/>
      <c r="G185" s="8"/>
      <c r="H185" s="18"/>
      <c r="I185" s="38"/>
      <c r="J185" s="18"/>
      <c r="Z185" s="8"/>
    </row>
    <row r="186">
      <c r="A186" s="8" t="b">
        <v>0</v>
      </c>
      <c r="B186" s="8"/>
      <c r="C186" s="21"/>
      <c r="D186" s="21"/>
      <c r="E186" s="8"/>
      <c r="F186" s="8"/>
      <c r="G186" s="8"/>
      <c r="H186" s="18"/>
      <c r="I186" s="38"/>
      <c r="J186" s="18"/>
      <c r="Z186" s="8"/>
    </row>
    <row r="187">
      <c r="A187" s="8" t="b">
        <v>0</v>
      </c>
      <c r="B187" s="8"/>
      <c r="C187" s="21"/>
      <c r="D187" s="21"/>
      <c r="E187" s="8"/>
      <c r="F187" s="8"/>
      <c r="G187" s="8"/>
      <c r="H187" s="18"/>
      <c r="I187" s="38"/>
      <c r="J187" s="18"/>
      <c r="Z187" s="8"/>
    </row>
    <row r="188">
      <c r="A188" s="8" t="b">
        <v>0</v>
      </c>
      <c r="B188" s="8"/>
      <c r="C188" s="21"/>
      <c r="D188" s="21"/>
      <c r="E188" s="8"/>
      <c r="F188" s="8"/>
      <c r="G188" s="8"/>
      <c r="H188" s="18"/>
      <c r="I188" s="38"/>
      <c r="J188" s="18"/>
      <c r="Z188" s="8"/>
    </row>
    <row r="189">
      <c r="A189" s="8" t="b">
        <v>0</v>
      </c>
      <c r="B189" s="8"/>
      <c r="C189" s="21"/>
      <c r="D189" s="21"/>
      <c r="E189" s="8"/>
      <c r="F189" s="8"/>
      <c r="G189" s="8"/>
      <c r="H189" s="18"/>
      <c r="I189" s="38"/>
      <c r="J189" s="18"/>
      <c r="Z189" s="8"/>
    </row>
    <row r="190">
      <c r="A190" s="8" t="b">
        <v>0</v>
      </c>
      <c r="B190" s="8"/>
      <c r="C190" s="21"/>
      <c r="D190" s="21"/>
      <c r="E190" s="8"/>
      <c r="F190" s="8"/>
      <c r="G190" s="8"/>
      <c r="H190" s="18"/>
      <c r="I190" s="38"/>
      <c r="J190" s="18"/>
      <c r="Z190" s="8"/>
    </row>
    <row r="191">
      <c r="A191" s="8" t="b">
        <v>0</v>
      </c>
      <c r="B191" s="8"/>
      <c r="C191" s="21"/>
      <c r="D191" s="21"/>
      <c r="E191" s="8"/>
      <c r="F191" s="8"/>
      <c r="G191" s="8"/>
      <c r="H191" s="18"/>
      <c r="I191" s="38"/>
      <c r="J191" s="18"/>
      <c r="Z191" s="8"/>
    </row>
    <row r="192">
      <c r="A192" s="8" t="b">
        <v>0</v>
      </c>
      <c r="B192" s="8"/>
      <c r="C192" s="21"/>
      <c r="D192" s="21"/>
      <c r="E192" s="8"/>
      <c r="F192" s="8"/>
      <c r="G192" s="8"/>
      <c r="H192" s="18"/>
      <c r="I192" s="38"/>
      <c r="J192" s="18"/>
      <c r="Z192" s="8"/>
    </row>
    <row r="193">
      <c r="A193" s="8" t="b">
        <v>0</v>
      </c>
      <c r="B193" s="8"/>
      <c r="C193" s="21"/>
      <c r="D193" s="21"/>
      <c r="E193" s="8"/>
      <c r="F193" s="8"/>
      <c r="G193" s="8"/>
      <c r="H193" s="18"/>
      <c r="I193" s="38"/>
      <c r="J193" s="18"/>
      <c r="Z193" s="8"/>
    </row>
    <row r="194">
      <c r="A194" s="8" t="b">
        <v>0</v>
      </c>
      <c r="B194" s="8"/>
      <c r="C194" s="21"/>
      <c r="D194" s="21"/>
      <c r="E194" s="8"/>
      <c r="F194" s="8"/>
      <c r="G194" s="8"/>
      <c r="H194" s="18"/>
      <c r="I194" s="38"/>
      <c r="J194" s="18"/>
      <c r="Z194" s="8"/>
    </row>
    <row r="195">
      <c r="A195" s="8" t="b">
        <v>0</v>
      </c>
      <c r="B195" s="8"/>
      <c r="C195" s="21"/>
      <c r="D195" s="21"/>
      <c r="E195" s="8"/>
      <c r="F195" s="8"/>
      <c r="G195" s="8"/>
      <c r="H195" s="18"/>
      <c r="I195" s="38"/>
      <c r="J195" s="18"/>
      <c r="Z195" s="8"/>
    </row>
    <row r="196">
      <c r="A196" s="8" t="b">
        <v>0</v>
      </c>
      <c r="B196" s="8"/>
      <c r="C196" s="21"/>
      <c r="D196" s="21"/>
      <c r="E196" s="8"/>
      <c r="F196" s="8"/>
      <c r="G196" s="8"/>
      <c r="H196" s="18"/>
      <c r="I196" s="38"/>
      <c r="J196" s="18"/>
      <c r="Z196" s="8"/>
    </row>
    <row r="197">
      <c r="A197" s="8" t="b">
        <v>0</v>
      </c>
      <c r="B197" s="8"/>
      <c r="C197" s="21"/>
      <c r="D197" s="21"/>
      <c r="E197" s="8"/>
      <c r="F197" s="8"/>
      <c r="G197" s="8"/>
      <c r="H197" s="18"/>
      <c r="I197" s="38"/>
      <c r="J197" s="18"/>
      <c r="Z197" s="8"/>
    </row>
    <row r="198">
      <c r="A198" s="8" t="b">
        <v>0</v>
      </c>
      <c r="B198" s="8"/>
      <c r="C198" s="21"/>
      <c r="D198" s="21"/>
      <c r="E198" s="8"/>
      <c r="F198" s="8"/>
      <c r="G198" s="8"/>
      <c r="H198" s="18"/>
      <c r="I198" s="38"/>
      <c r="J198" s="18"/>
      <c r="Z198" s="8"/>
    </row>
    <row r="199">
      <c r="A199" s="8" t="b">
        <v>0</v>
      </c>
      <c r="B199" s="8"/>
      <c r="C199" s="21"/>
      <c r="D199" s="21"/>
      <c r="E199" s="8"/>
      <c r="F199" s="8"/>
      <c r="G199" s="8"/>
      <c r="H199" s="18"/>
      <c r="I199" s="38"/>
      <c r="J199" s="18"/>
      <c r="Z199" s="8"/>
    </row>
    <row r="200">
      <c r="A200" s="8" t="b">
        <v>0</v>
      </c>
      <c r="B200" s="8"/>
      <c r="C200" s="21"/>
      <c r="D200" s="21"/>
      <c r="E200" s="8"/>
      <c r="F200" s="8"/>
      <c r="G200" s="8"/>
      <c r="H200" s="18"/>
      <c r="I200" s="38"/>
      <c r="J200" s="18"/>
      <c r="Z200" s="8"/>
    </row>
    <row r="201">
      <c r="A201" s="8" t="b">
        <v>0</v>
      </c>
      <c r="B201" s="8"/>
      <c r="C201" s="21"/>
      <c r="D201" s="21"/>
      <c r="E201" s="8"/>
      <c r="F201" s="8"/>
      <c r="G201" s="8"/>
      <c r="H201" s="18"/>
      <c r="I201" s="38"/>
      <c r="J201" s="18"/>
      <c r="Z201" s="8"/>
    </row>
    <row r="202">
      <c r="A202" s="8" t="b">
        <v>0</v>
      </c>
      <c r="B202" s="8"/>
      <c r="C202" s="21"/>
      <c r="D202" s="21"/>
      <c r="E202" s="8"/>
      <c r="F202" s="8"/>
      <c r="G202" s="8"/>
      <c r="H202" s="18"/>
      <c r="I202" s="38"/>
      <c r="J202" s="18"/>
      <c r="Z202" s="8"/>
    </row>
    <row r="203">
      <c r="A203" s="8" t="b">
        <v>0</v>
      </c>
      <c r="B203" s="8"/>
      <c r="C203" s="21"/>
      <c r="D203" s="21"/>
      <c r="E203" s="8"/>
      <c r="F203" s="8"/>
      <c r="G203" s="8"/>
      <c r="H203" s="18"/>
      <c r="I203" s="38"/>
      <c r="J203" s="18"/>
      <c r="Z203" s="8"/>
    </row>
    <row r="204">
      <c r="A204" s="8" t="b">
        <v>0</v>
      </c>
      <c r="B204" s="8"/>
      <c r="C204" s="21"/>
      <c r="D204" s="21"/>
      <c r="E204" s="8"/>
      <c r="F204" s="8"/>
      <c r="G204" s="8"/>
      <c r="H204" s="18"/>
      <c r="I204" s="38"/>
      <c r="J204" s="18"/>
      <c r="Z204" s="8"/>
    </row>
    <row r="205">
      <c r="A205" s="8" t="b">
        <v>0</v>
      </c>
      <c r="B205" s="8"/>
      <c r="C205" s="21"/>
      <c r="D205" s="21"/>
      <c r="E205" s="8"/>
      <c r="F205" s="8"/>
      <c r="G205" s="8"/>
      <c r="H205" s="18"/>
      <c r="I205" s="38"/>
      <c r="J205" s="18"/>
      <c r="Z205" s="8"/>
    </row>
    <row r="206">
      <c r="A206" s="8" t="b">
        <v>0</v>
      </c>
      <c r="B206" s="8"/>
      <c r="C206" s="21"/>
      <c r="D206" s="21"/>
      <c r="E206" s="8"/>
      <c r="F206" s="8"/>
      <c r="G206" s="8"/>
      <c r="H206" s="18"/>
      <c r="I206" s="38"/>
      <c r="J206" s="18"/>
      <c r="Z206" s="8"/>
    </row>
    <row r="207">
      <c r="A207" s="8" t="b">
        <v>0</v>
      </c>
      <c r="B207" s="8"/>
      <c r="C207" s="21"/>
      <c r="D207" s="21"/>
      <c r="E207" s="8"/>
      <c r="F207" s="8"/>
      <c r="G207" s="8"/>
      <c r="H207" s="18"/>
      <c r="I207" s="38"/>
      <c r="J207" s="18"/>
      <c r="Z207" s="8"/>
    </row>
    <row r="208">
      <c r="A208" s="8" t="b">
        <v>0</v>
      </c>
      <c r="B208" s="8"/>
      <c r="C208" s="21"/>
      <c r="D208" s="21"/>
      <c r="E208" s="8"/>
      <c r="F208" s="8"/>
      <c r="G208" s="8"/>
      <c r="H208" s="18"/>
      <c r="I208" s="38"/>
      <c r="J208" s="18"/>
      <c r="Z208" s="8"/>
    </row>
    <row r="209">
      <c r="A209" s="8" t="b">
        <v>0</v>
      </c>
      <c r="B209" s="8"/>
      <c r="C209" s="21"/>
      <c r="D209" s="21"/>
      <c r="E209" s="8"/>
      <c r="F209" s="8"/>
      <c r="G209" s="8"/>
      <c r="H209" s="18"/>
      <c r="I209" s="38"/>
      <c r="J209" s="18"/>
      <c r="Z209" s="8"/>
    </row>
    <row r="210">
      <c r="A210" s="8" t="b">
        <v>0</v>
      </c>
      <c r="B210" s="8"/>
      <c r="C210" s="21"/>
      <c r="D210" s="21"/>
      <c r="E210" s="8"/>
      <c r="F210" s="8"/>
      <c r="G210" s="8"/>
      <c r="H210" s="18"/>
      <c r="I210" s="38"/>
      <c r="J210" s="18"/>
      <c r="Z210" s="8"/>
    </row>
    <row r="211">
      <c r="A211" s="8" t="b">
        <v>0</v>
      </c>
      <c r="B211" s="8"/>
      <c r="C211" s="21"/>
      <c r="D211" s="21"/>
      <c r="E211" s="8"/>
      <c r="F211" s="8"/>
      <c r="G211" s="8"/>
      <c r="H211" s="18"/>
      <c r="I211" s="38"/>
      <c r="J211" s="18"/>
      <c r="Z211" s="8"/>
    </row>
    <row r="212">
      <c r="A212" s="8" t="b">
        <v>0</v>
      </c>
      <c r="B212" s="8"/>
      <c r="C212" s="21"/>
      <c r="D212" s="21"/>
      <c r="E212" s="8"/>
      <c r="F212" s="8"/>
      <c r="G212" s="8"/>
      <c r="H212" s="18"/>
      <c r="I212" s="38"/>
      <c r="J212" s="18"/>
      <c r="Z212" s="8"/>
    </row>
    <row r="213">
      <c r="A213" s="8" t="b">
        <v>0</v>
      </c>
      <c r="B213" s="8"/>
      <c r="C213" s="21"/>
      <c r="D213" s="21"/>
      <c r="E213" s="8"/>
      <c r="F213" s="8"/>
      <c r="G213" s="8"/>
      <c r="H213" s="18"/>
      <c r="I213" s="38"/>
      <c r="J213" s="18"/>
      <c r="Z213" s="8"/>
    </row>
    <row r="214">
      <c r="A214" s="8" t="b">
        <v>0</v>
      </c>
      <c r="B214" s="8"/>
      <c r="C214" s="21"/>
      <c r="D214" s="21"/>
      <c r="E214" s="8"/>
      <c r="F214" s="8"/>
      <c r="G214" s="8"/>
      <c r="H214" s="18"/>
      <c r="I214" s="38"/>
      <c r="J214" s="18"/>
      <c r="Z214" s="8"/>
    </row>
    <row r="215">
      <c r="A215" s="8" t="b">
        <v>0</v>
      </c>
      <c r="B215" s="8"/>
      <c r="C215" s="21"/>
      <c r="D215" s="21"/>
      <c r="E215" s="8"/>
      <c r="F215" s="8"/>
      <c r="G215" s="8"/>
      <c r="H215" s="18"/>
      <c r="I215" s="38"/>
      <c r="J215" s="18"/>
      <c r="Z215" s="8"/>
    </row>
    <row r="216">
      <c r="A216" s="8" t="b">
        <v>0</v>
      </c>
      <c r="B216" s="8"/>
      <c r="C216" s="21"/>
      <c r="D216" s="21"/>
      <c r="E216" s="8"/>
      <c r="F216" s="8"/>
      <c r="G216" s="8"/>
      <c r="H216" s="18"/>
      <c r="I216" s="38"/>
      <c r="J216" s="18"/>
      <c r="Z216" s="8"/>
    </row>
    <row r="217">
      <c r="A217" s="8" t="b">
        <v>0</v>
      </c>
      <c r="B217" s="8"/>
      <c r="C217" s="21"/>
      <c r="D217" s="21"/>
      <c r="E217" s="8"/>
      <c r="F217" s="8"/>
      <c r="G217" s="8"/>
      <c r="H217" s="18"/>
      <c r="I217" s="38"/>
      <c r="J217" s="18"/>
      <c r="Z217" s="8"/>
    </row>
    <row r="218">
      <c r="A218" s="8" t="b">
        <v>0</v>
      </c>
      <c r="B218" s="8"/>
      <c r="C218" s="21"/>
      <c r="D218" s="21"/>
      <c r="E218" s="8"/>
      <c r="F218" s="8"/>
      <c r="G218" s="8"/>
      <c r="H218" s="18"/>
      <c r="I218" s="38"/>
      <c r="J218" s="18"/>
      <c r="Z218" s="8"/>
    </row>
    <row r="219">
      <c r="A219" s="8" t="b">
        <v>0</v>
      </c>
      <c r="B219" s="8"/>
      <c r="C219" s="21"/>
      <c r="D219" s="21"/>
      <c r="E219" s="8"/>
      <c r="F219" s="8"/>
      <c r="G219" s="8"/>
      <c r="H219" s="18"/>
      <c r="I219" s="38"/>
      <c r="J219" s="18"/>
      <c r="Z219" s="8"/>
    </row>
    <row r="220">
      <c r="A220" s="8" t="b">
        <v>0</v>
      </c>
      <c r="B220" s="8"/>
      <c r="C220" s="21"/>
      <c r="D220" s="21"/>
      <c r="E220" s="8"/>
      <c r="F220" s="8"/>
      <c r="G220" s="8"/>
      <c r="H220" s="18"/>
      <c r="I220" s="38"/>
      <c r="J220" s="18"/>
      <c r="Z220" s="8"/>
    </row>
    <row r="221">
      <c r="A221" s="8" t="b">
        <v>0</v>
      </c>
      <c r="B221" s="8"/>
      <c r="C221" s="21"/>
      <c r="D221" s="21"/>
      <c r="E221" s="8"/>
      <c r="F221" s="8"/>
      <c r="G221" s="8"/>
      <c r="H221" s="18"/>
      <c r="I221" s="38"/>
      <c r="J221" s="18"/>
      <c r="Z221" s="8"/>
    </row>
    <row r="222">
      <c r="A222" s="8" t="b">
        <v>0</v>
      </c>
      <c r="B222" s="8"/>
      <c r="C222" s="21"/>
      <c r="D222" s="21"/>
      <c r="E222" s="8"/>
      <c r="F222" s="8"/>
      <c r="G222" s="8"/>
      <c r="H222" s="18"/>
      <c r="I222" s="38"/>
      <c r="J222" s="18"/>
      <c r="Z222" s="8"/>
    </row>
    <row r="223">
      <c r="A223" s="8" t="b">
        <v>0</v>
      </c>
      <c r="B223" s="8"/>
      <c r="C223" s="21"/>
      <c r="D223" s="21"/>
      <c r="E223" s="8"/>
      <c r="F223" s="8"/>
      <c r="G223" s="8"/>
      <c r="H223" s="18"/>
      <c r="I223" s="38"/>
      <c r="J223" s="18"/>
      <c r="Z223" s="8"/>
    </row>
    <row r="224">
      <c r="A224" s="8" t="b">
        <v>0</v>
      </c>
      <c r="B224" s="8"/>
      <c r="C224" s="21"/>
      <c r="D224" s="21"/>
      <c r="E224" s="8"/>
      <c r="F224" s="8"/>
      <c r="G224" s="8"/>
      <c r="H224" s="18"/>
      <c r="I224" s="38"/>
      <c r="J224" s="18"/>
      <c r="Z224" s="8"/>
    </row>
    <row r="225">
      <c r="A225" s="8" t="b">
        <v>0</v>
      </c>
      <c r="B225" s="8"/>
      <c r="C225" s="21"/>
      <c r="D225" s="21"/>
      <c r="E225" s="8"/>
      <c r="F225" s="8"/>
      <c r="G225" s="8"/>
      <c r="H225" s="18"/>
      <c r="I225" s="38"/>
      <c r="J225" s="18"/>
      <c r="Z225" s="8"/>
    </row>
    <row r="226">
      <c r="A226" s="8" t="b">
        <v>0</v>
      </c>
      <c r="B226" s="8"/>
      <c r="C226" s="21"/>
      <c r="D226" s="21"/>
      <c r="E226" s="8"/>
      <c r="F226" s="8"/>
      <c r="G226" s="8"/>
      <c r="H226" s="18"/>
      <c r="I226" s="38"/>
      <c r="J226" s="18"/>
      <c r="Z226" s="8"/>
    </row>
    <row r="227">
      <c r="A227" s="8" t="b">
        <v>0</v>
      </c>
      <c r="B227" s="8"/>
      <c r="C227" s="21"/>
      <c r="D227" s="21"/>
      <c r="E227" s="8"/>
      <c r="F227" s="8"/>
      <c r="G227" s="8"/>
      <c r="H227" s="18"/>
      <c r="I227" s="38"/>
      <c r="J227" s="18"/>
      <c r="Z227" s="8"/>
    </row>
    <row r="228">
      <c r="A228" s="8" t="b">
        <v>0</v>
      </c>
      <c r="B228" s="8"/>
      <c r="C228" s="21"/>
      <c r="D228" s="21"/>
      <c r="E228" s="8"/>
      <c r="F228" s="8"/>
      <c r="G228" s="8"/>
      <c r="H228" s="18"/>
      <c r="I228" s="38"/>
      <c r="J228" s="18"/>
      <c r="Z228" s="8"/>
    </row>
    <row r="229">
      <c r="A229" s="8" t="b">
        <v>0</v>
      </c>
      <c r="B229" s="8"/>
      <c r="C229" s="21"/>
      <c r="D229" s="21"/>
      <c r="E229" s="8"/>
      <c r="F229" s="8"/>
      <c r="G229" s="8"/>
      <c r="H229" s="18"/>
      <c r="I229" s="38"/>
      <c r="J229" s="18"/>
      <c r="Z229" s="8"/>
    </row>
    <row r="230">
      <c r="A230" s="8" t="b">
        <v>0</v>
      </c>
      <c r="B230" s="8"/>
      <c r="C230" s="21"/>
      <c r="D230" s="21"/>
      <c r="E230" s="8"/>
      <c r="F230" s="8"/>
      <c r="G230" s="8"/>
      <c r="H230" s="18"/>
      <c r="I230" s="38"/>
      <c r="J230" s="18"/>
      <c r="Z230" s="8"/>
    </row>
    <row r="231">
      <c r="A231" s="8" t="b">
        <v>0</v>
      </c>
      <c r="B231" s="8"/>
      <c r="C231" s="21"/>
      <c r="D231" s="21"/>
      <c r="E231" s="8"/>
      <c r="F231" s="8"/>
      <c r="G231" s="8"/>
      <c r="H231" s="18"/>
      <c r="I231" s="38"/>
      <c r="J231" s="18"/>
      <c r="Z231" s="8"/>
    </row>
    <row r="232">
      <c r="A232" s="8" t="b">
        <v>0</v>
      </c>
      <c r="B232" s="8"/>
      <c r="C232" s="21"/>
      <c r="D232" s="21"/>
      <c r="E232" s="8"/>
      <c r="F232" s="8"/>
      <c r="G232" s="8"/>
      <c r="H232" s="18"/>
      <c r="I232" s="38"/>
      <c r="J232" s="18"/>
      <c r="Z232" s="8"/>
    </row>
    <row r="233">
      <c r="A233" s="8" t="b">
        <v>0</v>
      </c>
      <c r="B233" s="8"/>
      <c r="C233" s="21"/>
      <c r="D233" s="21"/>
      <c r="E233" s="8"/>
      <c r="F233" s="8"/>
      <c r="G233" s="8"/>
      <c r="H233" s="18"/>
      <c r="I233" s="38"/>
      <c r="J233" s="18"/>
      <c r="Z233" s="8"/>
    </row>
    <row r="234">
      <c r="A234" s="8" t="b">
        <v>0</v>
      </c>
      <c r="B234" s="8"/>
      <c r="C234" s="21"/>
      <c r="D234" s="21"/>
      <c r="E234" s="8"/>
      <c r="F234" s="8"/>
      <c r="G234" s="8"/>
      <c r="H234" s="18"/>
      <c r="I234" s="38"/>
      <c r="J234" s="18"/>
      <c r="Z234" s="8"/>
    </row>
    <row r="235">
      <c r="A235" s="8" t="b">
        <v>0</v>
      </c>
      <c r="B235" s="8"/>
      <c r="C235" s="21"/>
      <c r="D235" s="21"/>
      <c r="E235" s="8"/>
      <c r="F235" s="8"/>
      <c r="G235" s="8"/>
      <c r="H235" s="18"/>
      <c r="I235" s="38"/>
      <c r="J235" s="18"/>
      <c r="Z235" s="8"/>
    </row>
    <row r="236">
      <c r="A236" s="8" t="b">
        <v>0</v>
      </c>
      <c r="B236" s="8"/>
      <c r="C236" s="21"/>
      <c r="D236" s="21"/>
      <c r="E236" s="8"/>
      <c r="F236" s="8"/>
      <c r="G236" s="8"/>
      <c r="H236" s="18"/>
      <c r="I236" s="38"/>
      <c r="J236" s="18"/>
      <c r="Z236" s="8"/>
    </row>
    <row r="237">
      <c r="A237" s="8" t="b">
        <v>0</v>
      </c>
      <c r="B237" s="8"/>
      <c r="C237" s="21"/>
      <c r="D237" s="21"/>
      <c r="E237" s="8"/>
      <c r="F237" s="8"/>
      <c r="G237" s="8"/>
      <c r="H237" s="18"/>
      <c r="I237" s="38"/>
      <c r="J237" s="18"/>
      <c r="Z237" s="8"/>
    </row>
    <row r="238">
      <c r="A238" s="8" t="b">
        <v>0</v>
      </c>
      <c r="B238" s="8"/>
      <c r="C238" s="21"/>
      <c r="D238" s="21"/>
      <c r="E238" s="8"/>
      <c r="F238" s="8"/>
      <c r="G238" s="8"/>
      <c r="H238" s="18"/>
      <c r="I238" s="38"/>
      <c r="J238" s="18"/>
      <c r="Z238" s="8"/>
    </row>
    <row r="239">
      <c r="A239" s="8" t="b">
        <v>0</v>
      </c>
      <c r="B239" s="8"/>
      <c r="C239" s="21"/>
      <c r="D239" s="21"/>
      <c r="E239" s="8"/>
      <c r="F239" s="8"/>
      <c r="G239" s="8"/>
      <c r="H239" s="18"/>
      <c r="I239" s="38"/>
      <c r="J239" s="18"/>
      <c r="Z239" s="8"/>
    </row>
    <row r="240">
      <c r="A240" s="8" t="b">
        <v>0</v>
      </c>
      <c r="B240" s="8"/>
      <c r="C240" s="21"/>
      <c r="D240" s="21"/>
      <c r="E240" s="8"/>
      <c r="F240" s="8"/>
      <c r="G240" s="8"/>
      <c r="H240" s="18"/>
      <c r="I240" s="38"/>
      <c r="J240" s="18"/>
      <c r="Z240" s="8"/>
    </row>
    <row r="241">
      <c r="A241" s="8" t="b">
        <v>0</v>
      </c>
      <c r="B241" s="8"/>
      <c r="C241" s="21"/>
      <c r="D241" s="21"/>
      <c r="E241" s="8"/>
      <c r="F241" s="8"/>
      <c r="G241" s="8"/>
      <c r="H241" s="18"/>
      <c r="I241" s="38"/>
      <c r="J241" s="18"/>
      <c r="Z241" s="8"/>
    </row>
    <row r="242">
      <c r="A242" s="8" t="b">
        <v>0</v>
      </c>
      <c r="B242" s="8"/>
      <c r="C242" s="21"/>
      <c r="D242" s="21"/>
      <c r="E242" s="8"/>
      <c r="F242" s="8"/>
      <c r="G242" s="8"/>
      <c r="H242" s="18"/>
      <c r="I242" s="38"/>
      <c r="J242" s="18"/>
      <c r="Z242" s="8"/>
    </row>
    <row r="243">
      <c r="A243" s="8" t="b">
        <v>0</v>
      </c>
      <c r="B243" s="8"/>
      <c r="C243" s="21"/>
      <c r="D243" s="21"/>
      <c r="E243" s="8"/>
      <c r="F243" s="8"/>
      <c r="G243" s="8"/>
      <c r="H243" s="18"/>
      <c r="I243" s="38"/>
      <c r="J243" s="18"/>
      <c r="Z243" s="8"/>
    </row>
    <row r="244">
      <c r="A244" s="8" t="b">
        <v>0</v>
      </c>
      <c r="B244" s="8"/>
      <c r="C244" s="21"/>
      <c r="D244" s="21"/>
      <c r="E244" s="8"/>
      <c r="F244" s="8"/>
      <c r="G244" s="8"/>
      <c r="H244" s="18"/>
      <c r="I244" s="38"/>
      <c r="J244" s="18"/>
      <c r="Z244" s="8"/>
    </row>
    <row r="245">
      <c r="A245" s="8" t="b">
        <v>0</v>
      </c>
      <c r="B245" s="8"/>
      <c r="C245" s="21"/>
      <c r="D245" s="21"/>
      <c r="E245" s="8"/>
      <c r="F245" s="8"/>
      <c r="G245" s="8"/>
      <c r="H245" s="18"/>
      <c r="I245" s="38"/>
      <c r="J245" s="18"/>
      <c r="Z245" s="8"/>
    </row>
    <row r="246">
      <c r="A246" s="8" t="b">
        <v>0</v>
      </c>
      <c r="B246" s="8"/>
      <c r="C246" s="21"/>
      <c r="D246" s="21"/>
      <c r="E246" s="8"/>
      <c r="F246" s="8"/>
      <c r="G246" s="8"/>
      <c r="H246" s="18"/>
      <c r="I246" s="38"/>
      <c r="J246" s="18"/>
      <c r="Z246" s="8"/>
    </row>
    <row r="247">
      <c r="A247" s="8" t="b">
        <v>0</v>
      </c>
      <c r="B247" s="8"/>
      <c r="C247" s="21"/>
      <c r="D247" s="21"/>
      <c r="E247" s="8"/>
      <c r="F247" s="8"/>
      <c r="G247" s="8"/>
      <c r="H247" s="18"/>
      <c r="I247" s="38"/>
      <c r="J247" s="18"/>
      <c r="Z247" s="8"/>
    </row>
    <row r="248">
      <c r="A248" s="8" t="b">
        <v>0</v>
      </c>
      <c r="B248" s="8"/>
      <c r="C248" s="21"/>
      <c r="D248" s="21"/>
      <c r="E248" s="8"/>
      <c r="F248" s="8"/>
      <c r="G248" s="8"/>
      <c r="H248" s="18"/>
      <c r="I248" s="38"/>
      <c r="J248" s="18"/>
      <c r="Z248" s="8"/>
    </row>
    <row r="249">
      <c r="A249" s="8" t="b">
        <v>0</v>
      </c>
      <c r="B249" s="8"/>
      <c r="C249" s="21"/>
      <c r="D249" s="21"/>
      <c r="E249" s="8"/>
      <c r="F249" s="8"/>
      <c r="G249" s="8"/>
      <c r="H249" s="18"/>
      <c r="I249" s="38"/>
      <c r="J249" s="18"/>
      <c r="Z249" s="8"/>
    </row>
    <row r="250">
      <c r="A250" s="8" t="b">
        <v>0</v>
      </c>
      <c r="B250" s="8"/>
      <c r="C250" s="21"/>
      <c r="D250" s="21"/>
      <c r="E250" s="8"/>
      <c r="F250" s="8"/>
      <c r="G250" s="8"/>
      <c r="H250" s="18"/>
      <c r="I250" s="38"/>
      <c r="J250" s="18"/>
      <c r="Z250" s="8"/>
    </row>
    <row r="251">
      <c r="A251" s="8" t="b">
        <v>0</v>
      </c>
      <c r="B251" s="8"/>
      <c r="C251" s="21"/>
      <c r="D251" s="21"/>
      <c r="E251" s="8"/>
      <c r="F251" s="8"/>
      <c r="G251" s="8"/>
      <c r="H251" s="18"/>
      <c r="I251" s="38"/>
      <c r="J251" s="18"/>
      <c r="Z251" s="8"/>
    </row>
    <row r="252">
      <c r="A252" s="8" t="b">
        <v>0</v>
      </c>
      <c r="B252" s="8"/>
      <c r="C252" s="21"/>
      <c r="D252" s="21"/>
      <c r="E252" s="8"/>
      <c r="F252" s="8"/>
      <c r="G252" s="8"/>
      <c r="H252" s="18"/>
      <c r="I252" s="38"/>
      <c r="J252" s="18"/>
      <c r="Z252" s="8"/>
    </row>
    <row r="253">
      <c r="A253" s="8" t="b">
        <v>0</v>
      </c>
      <c r="B253" s="8"/>
      <c r="C253" s="21"/>
      <c r="D253" s="21"/>
      <c r="E253" s="8"/>
      <c r="F253" s="8"/>
      <c r="G253" s="8"/>
      <c r="H253" s="18"/>
      <c r="I253" s="38"/>
      <c r="J253" s="18"/>
      <c r="Z253" s="8"/>
    </row>
    <row r="254">
      <c r="A254" s="8" t="b">
        <v>0</v>
      </c>
      <c r="B254" s="8"/>
      <c r="C254" s="21"/>
      <c r="D254" s="21"/>
      <c r="E254" s="8"/>
      <c r="F254" s="8"/>
      <c r="G254" s="8"/>
      <c r="H254" s="18"/>
      <c r="I254" s="38"/>
      <c r="J254" s="18"/>
      <c r="Z254" s="8"/>
    </row>
    <row r="255">
      <c r="A255" s="8" t="b">
        <v>0</v>
      </c>
      <c r="B255" s="8"/>
      <c r="C255" s="21"/>
      <c r="D255" s="21"/>
      <c r="E255" s="8"/>
      <c r="F255" s="8"/>
      <c r="G255" s="8"/>
      <c r="H255" s="18"/>
      <c r="I255" s="38"/>
      <c r="J255" s="18"/>
      <c r="Z255" s="8"/>
    </row>
    <row r="256">
      <c r="A256" s="8" t="b">
        <v>0</v>
      </c>
      <c r="B256" s="8"/>
      <c r="C256" s="21"/>
      <c r="D256" s="21"/>
      <c r="E256" s="8"/>
      <c r="F256" s="8"/>
      <c r="G256" s="8"/>
      <c r="H256" s="18"/>
      <c r="I256" s="38"/>
      <c r="J256" s="18"/>
      <c r="Z256" s="8"/>
    </row>
    <row r="257">
      <c r="A257" s="8" t="b">
        <v>0</v>
      </c>
      <c r="B257" s="8"/>
      <c r="C257" s="21"/>
      <c r="D257" s="21"/>
      <c r="E257" s="8"/>
      <c r="F257" s="8"/>
      <c r="G257" s="8"/>
      <c r="H257" s="18"/>
      <c r="I257" s="38"/>
      <c r="J257" s="18"/>
      <c r="Z257" s="8"/>
    </row>
    <row r="258">
      <c r="A258" s="8" t="b">
        <v>0</v>
      </c>
      <c r="B258" s="8"/>
      <c r="C258" s="21"/>
      <c r="D258" s="21"/>
      <c r="E258" s="8"/>
      <c r="F258" s="8"/>
      <c r="G258" s="8"/>
      <c r="H258" s="18"/>
      <c r="I258" s="38"/>
      <c r="J258" s="18"/>
      <c r="Z258" s="8"/>
    </row>
    <row r="259">
      <c r="A259" s="8" t="b">
        <v>0</v>
      </c>
      <c r="B259" s="8"/>
      <c r="C259" s="21"/>
      <c r="D259" s="21"/>
      <c r="E259" s="8"/>
      <c r="F259" s="8"/>
      <c r="G259" s="8"/>
      <c r="H259" s="18"/>
      <c r="I259" s="38"/>
      <c r="J259" s="18"/>
      <c r="Z259" s="8"/>
    </row>
    <row r="260">
      <c r="A260" s="8" t="b">
        <v>0</v>
      </c>
      <c r="B260" s="8"/>
      <c r="C260" s="21"/>
      <c r="D260" s="21"/>
      <c r="E260" s="8"/>
      <c r="F260" s="8"/>
      <c r="G260" s="8"/>
      <c r="H260" s="18"/>
      <c r="I260" s="38"/>
      <c r="J260" s="18"/>
      <c r="Z260" s="8"/>
    </row>
    <row r="261">
      <c r="A261" s="8" t="b">
        <v>0</v>
      </c>
      <c r="B261" s="8"/>
      <c r="C261" s="21"/>
      <c r="D261" s="21"/>
      <c r="E261" s="8"/>
      <c r="F261" s="8"/>
      <c r="G261" s="8"/>
      <c r="H261" s="18"/>
      <c r="I261" s="38"/>
      <c r="J261" s="18"/>
      <c r="Z261" s="8"/>
    </row>
    <row r="262">
      <c r="A262" s="8" t="b">
        <v>0</v>
      </c>
      <c r="B262" s="8"/>
      <c r="C262" s="21"/>
      <c r="D262" s="21"/>
      <c r="E262" s="8"/>
      <c r="F262" s="8"/>
      <c r="G262" s="8"/>
      <c r="H262" s="18"/>
      <c r="I262" s="38"/>
      <c r="J262" s="18"/>
      <c r="Z262" s="8"/>
    </row>
    <row r="263">
      <c r="A263" s="8" t="b">
        <v>0</v>
      </c>
      <c r="B263" s="8"/>
      <c r="C263" s="21"/>
      <c r="D263" s="21"/>
      <c r="E263" s="8"/>
      <c r="F263" s="8"/>
      <c r="G263" s="8"/>
      <c r="H263" s="18"/>
      <c r="I263" s="38"/>
      <c r="J263" s="18"/>
      <c r="Z263" s="8"/>
    </row>
    <row r="264">
      <c r="A264" s="8" t="b">
        <v>0</v>
      </c>
      <c r="B264" s="8"/>
      <c r="C264" s="21"/>
      <c r="D264" s="21"/>
      <c r="E264" s="8"/>
      <c r="F264" s="8"/>
      <c r="G264" s="8"/>
      <c r="H264" s="18"/>
      <c r="I264" s="38"/>
      <c r="J264" s="18"/>
      <c r="Z264" s="8"/>
    </row>
    <row r="265">
      <c r="A265" s="8" t="b">
        <v>0</v>
      </c>
      <c r="B265" s="8"/>
      <c r="C265" s="21"/>
      <c r="D265" s="21"/>
      <c r="E265" s="8"/>
      <c r="F265" s="8"/>
      <c r="G265" s="8"/>
      <c r="H265" s="18"/>
      <c r="I265" s="38"/>
      <c r="J265" s="18"/>
      <c r="Z265" s="8"/>
    </row>
    <row r="266">
      <c r="A266" s="8" t="b">
        <v>0</v>
      </c>
      <c r="B266" s="8"/>
      <c r="C266" s="21"/>
      <c r="D266" s="21"/>
      <c r="E266" s="8"/>
      <c r="F266" s="8"/>
      <c r="G266" s="8"/>
      <c r="H266" s="18"/>
      <c r="I266" s="38"/>
      <c r="J266" s="18"/>
      <c r="Z266" s="8"/>
    </row>
    <row r="267">
      <c r="A267" s="8" t="b">
        <v>0</v>
      </c>
      <c r="B267" s="8"/>
      <c r="C267" s="21"/>
      <c r="D267" s="21"/>
      <c r="E267" s="8"/>
      <c r="F267" s="8"/>
      <c r="G267" s="8"/>
      <c r="H267" s="18"/>
      <c r="I267" s="38"/>
      <c r="J267" s="18"/>
      <c r="Z267" s="8"/>
    </row>
    <row r="268">
      <c r="A268" s="8" t="b">
        <v>0</v>
      </c>
      <c r="B268" s="8"/>
      <c r="C268" s="21"/>
      <c r="D268" s="21"/>
      <c r="E268" s="8"/>
      <c r="F268" s="8"/>
      <c r="G268" s="8"/>
      <c r="H268" s="18"/>
      <c r="I268" s="38"/>
      <c r="J268" s="18"/>
      <c r="Z268" s="8"/>
    </row>
    <row r="269">
      <c r="A269" s="8" t="b">
        <v>0</v>
      </c>
      <c r="B269" s="8"/>
      <c r="C269" s="21"/>
      <c r="D269" s="21"/>
      <c r="E269" s="8"/>
      <c r="F269" s="8"/>
      <c r="G269" s="8"/>
      <c r="H269" s="18"/>
      <c r="I269" s="38"/>
      <c r="J269" s="18"/>
      <c r="Z269" s="8"/>
    </row>
    <row r="270">
      <c r="A270" s="8" t="b">
        <v>0</v>
      </c>
      <c r="B270" s="8"/>
      <c r="C270" s="21"/>
      <c r="D270" s="21"/>
      <c r="E270" s="8"/>
      <c r="F270" s="8"/>
      <c r="G270" s="8"/>
      <c r="H270" s="18"/>
      <c r="I270" s="38"/>
      <c r="J270" s="18"/>
      <c r="Z270" s="8"/>
    </row>
    <row r="271">
      <c r="A271" s="8" t="b">
        <v>0</v>
      </c>
      <c r="B271" s="8"/>
      <c r="C271" s="21"/>
      <c r="D271" s="21"/>
      <c r="E271" s="8"/>
      <c r="F271" s="8"/>
      <c r="G271" s="8"/>
      <c r="H271" s="18"/>
      <c r="I271" s="38"/>
      <c r="J271" s="18"/>
      <c r="Z271" s="8"/>
    </row>
    <row r="272">
      <c r="A272" s="8" t="b">
        <v>0</v>
      </c>
      <c r="B272" s="8"/>
      <c r="C272" s="21"/>
      <c r="D272" s="21"/>
      <c r="E272" s="8"/>
      <c r="F272" s="8"/>
      <c r="G272" s="8"/>
      <c r="H272" s="18"/>
      <c r="I272" s="38"/>
      <c r="J272" s="18"/>
      <c r="Z272" s="8"/>
    </row>
    <row r="273">
      <c r="A273" s="8" t="b">
        <v>0</v>
      </c>
      <c r="B273" s="8"/>
      <c r="C273" s="21"/>
      <c r="D273" s="21"/>
      <c r="E273" s="8"/>
      <c r="F273" s="8"/>
      <c r="G273" s="8"/>
      <c r="H273" s="18"/>
      <c r="I273" s="38"/>
      <c r="J273" s="18"/>
      <c r="Z273" s="8"/>
    </row>
    <row r="274">
      <c r="A274" s="8" t="b">
        <v>0</v>
      </c>
      <c r="B274" s="8"/>
      <c r="C274" s="21"/>
      <c r="D274" s="21"/>
      <c r="E274" s="8"/>
      <c r="F274" s="8"/>
      <c r="G274" s="8"/>
      <c r="H274" s="18"/>
      <c r="I274" s="38"/>
      <c r="J274" s="18"/>
      <c r="Z274" s="8"/>
    </row>
    <row r="275">
      <c r="A275" s="8" t="b">
        <v>0</v>
      </c>
      <c r="B275" s="8"/>
      <c r="C275" s="21"/>
      <c r="D275" s="21"/>
      <c r="E275" s="8"/>
      <c r="F275" s="8"/>
      <c r="G275" s="8"/>
      <c r="H275" s="18"/>
      <c r="I275" s="38"/>
      <c r="J275" s="18"/>
      <c r="Z275" s="8"/>
    </row>
    <row r="276">
      <c r="A276" s="8" t="b">
        <v>0</v>
      </c>
      <c r="B276" s="8"/>
      <c r="C276" s="21"/>
      <c r="D276" s="21"/>
      <c r="E276" s="8"/>
      <c r="F276" s="8"/>
      <c r="G276" s="8"/>
      <c r="H276" s="18"/>
      <c r="I276" s="38"/>
      <c r="J276" s="18"/>
      <c r="Z276" s="8"/>
    </row>
    <row r="277">
      <c r="A277" s="8" t="b">
        <v>0</v>
      </c>
      <c r="B277" s="8"/>
      <c r="C277" s="21"/>
      <c r="D277" s="21"/>
      <c r="E277" s="8"/>
      <c r="F277" s="8"/>
      <c r="G277" s="8"/>
      <c r="H277" s="18"/>
      <c r="I277" s="38"/>
      <c r="J277" s="18"/>
      <c r="Z277" s="8"/>
    </row>
    <row r="278">
      <c r="A278" s="8" t="b">
        <v>0</v>
      </c>
      <c r="B278" s="8"/>
      <c r="C278" s="21"/>
      <c r="D278" s="21"/>
      <c r="E278" s="8"/>
      <c r="F278" s="8"/>
      <c r="G278" s="8"/>
      <c r="H278" s="18"/>
      <c r="I278" s="38"/>
      <c r="J278" s="18"/>
      <c r="Z278" s="8"/>
    </row>
    <row r="279">
      <c r="A279" s="8" t="b">
        <v>0</v>
      </c>
      <c r="B279" s="8"/>
      <c r="C279" s="21"/>
      <c r="D279" s="21"/>
      <c r="E279" s="8"/>
      <c r="F279" s="8"/>
      <c r="G279" s="8"/>
      <c r="H279" s="18"/>
      <c r="I279" s="38"/>
      <c r="J279" s="18"/>
      <c r="Z279" s="8"/>
    </row>
    <row r="280">
      <c r="A280" s="8" t="b">
        <v>0</v>
      </c>
      <c r="B280" s="8"/>
      <c r="C280" s="21"/>
      <c r="D280" s="21"/>
      <c r="E280" s="8"/>
      <c r="F280" s="8"/>
      <c r="G280" s="8"/>
      <c r="H280" s="18"/>
      <c r="I280" s="38"/>
      <c r="J280" s="18"/>
      <c r="Z280" s="8"/>
    </row>
    <row r="281">
      <c r="A281" s="8" t="b">
        <v>0</v>
      </c>
      <c r="B281" s="8"/>
      <c r="C281" s="21"/>
      <c r="D281" s="21"/>
      <c r="E281" s="8"/>
      <c r="F281" s="8"/>
      <c r="G281" s="8"/>
      <c r="H281" s="18"/>
      <c r="I281" s="38"/>
      <c r="J281" s="18"/>
      <c r="Z281" s="8"/>
    </row>
    <row r="282">
      <c r="A282" s="8" t="b">
        <v>0</v>
      </c>
      <c r="B282" s="8"/>
      <c r="C282" s="21"/>
      <c r="D282" s="21"/>
      <c r="E282" s="8"/>
      <c r="F282" s="8"/>
      <c r="G282" s="8"/>
      <c r="H282" s="18"/>
      <c r="I282" s="38"/>
      <c r="J282" s="18"/>
      <c r="Z282" s="8"/>
    </row>
    <row r="283">
      <c r="A283" s="8" t="b">
        <v>0</v>
      </c>
      <c r="B283" s="8"/>
      <c r="C283" s="21"/>
      <c r="D283" s="21"/>
      <c r="E283" s="8"/>
      <c r="F283" s="8"/>
      <c r="G283" s="8"/>
      <c r="H283" s="18"/>
      <c r="I283" s="38"/>
      <c r="J283" s="18"/>
      <c r="Z283" s="8"/>
    </row>
    <row r="284">
      <c r="A284" s="8" t="b">
        <v>0</v>
      </c>
      <c r="B284" s="8"/>
      <c r="C284" s="21"/>
      <c r="D284" s="21"/>
      <c r="E284" s="8"/>
      <c r="F284" s="8"/>
      <c r="G284" s="8"/>
      <c r="H284" s="18"/>
      <c r="I284" s="38"/>
      <c r="J284" s="18"/>
      <c r="Z284" s="8"/>
    </row>
    <row r="285">
      <c r="A285" s="8" t="b">
        <v>0</v>
      </c>
      <c r="B285" s="8"/>
      <c r="C285" s="21"/>
      <c r="D285" s="21"/>
      <c r="E285" s="8"/>
      <c r="F285" s="8"/>
      <c r="G285" s="8"/>
      <c r="H285" s="18"/>
      <c r="I285" s="38"/>
      <c r="J285" s="18"/>
      <c r="Z285" s="8"/>
    </row>
    <row r="286">
      <c r="A286" s="8" t="b">
        <v>0</v>
      </c>
      <c r="B286" s="8"/>
      <c r="C286" s="21"/>
      <c r="D286" s="21"/>
      <c r="E286" s="8"/>
      <c r="F286" s="8"/>
      <c r="G286" s="8"/>
      <c r="H286" s="18"/>
      <c r="I286" s="38"/>
      <c r="J286" s="18"/>
      <c r="Z286" s="8"/>
    </row>
    <row r="287">
      <c r="A287" s="8" t="b">
        <v>0</v>
      </c>
      <c r="B287" s="8"/>
      <c r="C287" s="21"/>
      <c r="D287" s="21"/>
      <c r="E287" s="8"/>
      <c r="F287" s="8"/>
      <c r="G287" s="8"/>
      <c r="H287" s="18"/>
      <c r="I287" s="38"/>
      <c r="J287" s="18"/>
      <c r="Z287" s="8"/>
    </row>
    <row r="288">
      <c r="A288" s="8" t="b">
        <v>0</v>
      </c>
      <c r="B288" s="8"/>
      <c r="C288" s="21"/>
      <c r="D288" s="21"/>
      <c r="E288" s="8"/>
      <c r="F288" s="8"/>
      <c r="G288" s="8"/>
      <c r="H288" s="18"/>
      <c r="I288" s="38"/>
      <c r="J288" s="18"/>
      <c r="Z288" s="8"/>
    </row>
    <row r="289">
      <c r="A289" s="8" t="b">
        <v>0</v>
      </c>
      <c r="B289" s="8"/>
      <c r="C289" s="21"/>
      <c r="D289" s="21"/>
      <c r="E289" s="8"/>
      <c r="F289" s="8"/>
      <c r="G289" s="8"/>
      <c r="H289" s="18"/>
      <c r="I289" s="38"/>
      <c r="J289" s="18"/>
      <c r="Z289" s="8"/>
    </row>
    <row r="290">
      <c r="A290" s="8" t="b">
        <v>0</v>
      </c>
      <c r="B290" s="8"/>
      <c r="C290" s="21"/>
      <c r="D290" s="21"/>
      <c r="E290" s="8"/>
      <c r="F290" s="8"/>
      <c r="G290" s="8"/>
      <c r="H290" s="18"/>
      <c r="I290" s="38"/>
      <c r="J290" s="18"/>
      <c r="Z290" s="8"/>
    </row>
    <row r="291">
      <c r="A291" s="8" t="b">
        <v>0</v>
      </c>
      <c r="B291" s="8"/>
      <c r="C291" s="21"/>
      <c r="D291" s="21"/>
      <c r="E291" s="8"/>
      <c r="F291" s="8"/>
      <c r="G291" s="8"/>
      <c r="H291" s="18"/>
      <c r="I291" s="38"/>
      <c r="J291" s="18"/>
      <c r="Z291" s="8"/>
    </row>
    <row r="292">
      <c r="A292" s="8" t="b">
        <v>0</v>
      </c>
      <c r="B292" s="8"/>
      <c r="C292" s="21"/>
      <c r="D292" s="21"/>
      <c r="E292" s="8"/>
      <c r="F292" s="8"/>
      <c r="G292" s="8"/>
      <c r="H292" s="18"/>
      <c r="I292" s="38"/>
      <c r="J292" s="18"/>
      <c r="Z292" s="8"/>
    </row>
    <row r="293">
      <c r="A293" s="8" t="b">
        <v>0</v>
      </c>
      <c r="B293" s="8"/>
      <c r="C293" s="21"/>
      <c r="D293" s="21"/>
      <c r="E293" s="8"/>
      <c r="F293" s="8"/>
      <c r="G293" s="8"/>
      <c r="H293" s="18"/>
      <c r="I293" s="38"/>
      <c r="J293" s="18"/>
      <c r="Z293" s="8"/>
    </row>
    <row r="294">
      <c r="A294" s="8" t="b">
        <v>0</v>
      </c>
      <c r="B294" s="8"/>
      <c r="C294" s="21"/>
      <c r="D294" s="21"/>
      <c r="E294" s="8"/>
      <c r="F294" s="8"/>
      <c r="G294" s="8"/>
      <c r="H294" s="18"/>
      <c r="I294" s="38"/>
      <c r="J294" s="18"/>
      <c r="Z294" s="8"/>
    </row>
    <row r="295">
      <c r="A295" s="8" t="b">
        <v>0</v>
      </c>
      <c r="B295" s="8"/>
      <c r="C295" s="21"/>
      <c r="D295" s="21"/>
      <c r="E295" s="8"/>
      <c r="F295" s="8"/>
      <c r="G295" s="8"/>
      <c r="H295" s="18"/>
      <c r="I295" s="38"/>
      <c r="J295" s="18"/>
      <c r="Z295" s="8"/>
    </row>
    <row r="296">
      <c r="A296" s="8" t="b">
        <v>0</v>
      </c>
      <c r="B296" s="8"/>
      <c r="C296" s="21"/>
      <c r="D296" s="21"/>
      <c r="E296" s="8"/>
      <c r="F296" s="8"/>
      <c r="G296" s="8"/>
      <c r="H296" s="18"/>
      <c r="I296" s="38"/>
      <c r="J296" s="18"/>
      <c r="Z296" s="8"/>
    </row>
    <row r="297">
      <c r="A297" s="8" t="b">
        <v>0</v>
      </c>
      <c r="B297" s="8"/>
      <c r="C297" s="21"/>
      <c r="D297" s="21"/>
      <c r="E297" s="8"/>
      <c r="F297" s="8"/>
      <c r="G297" s="8"/>
      <c r="H297" s="18"/>
      <c r="I297" s="38"/>
      <c r="J297" s="18"/>
      <c r="Z297" s="8"/>
    </row>
    <row r="298">
      <c r="A298" s="8" t="b">
        <v>0</v>
      </c>
      <c r="B298" s="8"/>
      <c r="C298" s="21"/>
      <c r="D298" s="21"/>
      <c r="E298" s="8"/>
      <c r="F298" s="8"/>
      <c r="G298" s="8"/>
      <c r="H298" s="18"/>
      <c r="I298" s="38"/>
      <c r="J298" s="18"/>
      <c r="Z298" s="8"/>
    </row>
    <row r="299">
      <c r="A299" s="8" t="b">
        <v>0</v>
      </c>
      <c r="B299" s="8"/>
      <c r="C299" s="21"/>
      <c r="D299" s="21"/>
      <c r="E299" s="8"/>
      <c r="F299" s="8"/>
      <c r="G299" s="8"/>
      <c r="H299" s="18"/>
      <c r="I299" s="38"/>
      <c r="J299" s="18"/>
      <c r="Z299" s="8"/>
    </row>
    <row r="300">
      <c r="A300" s="8" t="b">
        <v>0</v>
      </c>
      <c r="B300" s="8"/>
      <c r="C300" s="21"/>
      <c r="D300" s="21"/>
      <c r="E300" s="8"/>
      <c r="F300" s="8"/>
      <c r="G300" s="8"/>
      <c r="H300" s="18"/>
      <c r="I300" s="38"/>
      <c r="J300" s="18"/>
      <c r="Z300" s="8"/>
    </row>
    <row r="301">
      <c r="A301" s="8" t="b">
        <v>0</v>
      </c>
      <c r="B301" s="8"/>
      <c r="C301" s="21"/>
      <c r="D301" s="21"/>
      <c r="E301" s="8"/>
      <c r="F301" s="8"/>
      <c r="G301" s="8"/>
      <c r="H301" s="18"/>
      <c r="I301" s="38"/>
      <c r="J301" s="18"/>
      <c r="Z301" s="8"/>
    </row>
    <row r="302">
      <c r="A302" s="8" t="b">
        <v>0</v>
      </c>
      <c r="B302" s="8"/>
      <c r="C302" s="21"/>
      <c r="D302" s="21"/>
      <c r="E302" s="8"/>
      <c r="F302" s="8"/>
      <c r="G302" s="8"/>
      <c r="H302" s="18"/>
      <c r="I302" s="38"/>
      <c r="J302" s="18"/>
      <c r="Z302" s="8"/>
    </row>
    <row r="303">
      <c r="A303" s="8" t="b">
        <v>0</v>
      </c>
      <c r="B303" s="8"/>
      <c r="C303" s="21"/>
      <c r="D303" s="21"/>
      <c r="E303" s="8"/>
      <c r="F303" s="8"/>
      <c r="G303" s="8"/>
      <c r="H303" s="18"/>
      <c r="I303" s="38"/>
      <c r="J303" s="18"/>
      <c r="Z303" s="8"/>
    </row>
    <row r="304">
      <c r="A304" s="8" t="b">
        <v>0</v>
      </c>
      <c r="B304" s="8"/>
      <c r="C304" s="21"/>
      <c r="D304" s="21"/>
      <c r="E304" s="8"/>
      <c r="F304" s="8"/>
      <c r="G304" s="8"/>
      <c r="H304" s="18"/>
      <c r="I304" s="38"/>
      <c r="J304" s="18"/>
      <c r="Z304" s="8"/>
    </row>
    <row r="305">
      <c r="A305" s="8" t="b">
        <v>0</v>
      </c>
      <c r="B305" s="8"/>
      <c r="C305" s="21"/>
      <c r="D305" s="21"/>
      <c r="E305" s="8"/>
      <c r="F305" s="8"/>
      <c r="G305" s="8"/>
      <c r="H305" s="18"/>
      <c r="I305" s="38"/>
      <c r="J305" s="18"/>
      <c r="Z305" s="8"/>
    </row>
    <row r="306">
      <c r="A306" s="8" t="b">
        <v>0</v>
      </c>
      <c r="B306" s="8"/>
      <c r="C306" s="21"/>
      <c r="D306" s="21"/>
      <c r="E306" s="8"/>
      <c r="F306" s="8"/>
      <c r="G306" s="8"/>
      <c r="H306" s="18"/>
      <c r="I306" s="38"/>
      <c r="J306" s="18"/>
      <c r="Z306" s="8"/>
    </row>
    <row r="307">
      <c r="A307" s="8" t="b">
        <v>0</v>
      </c>
      <c r="B307" s="8"/>
      <c r="C307" s="21"/>
      <c r="D307" s="21"/>
      <c r="E307" s="8"/>
      <c r="F307" s="8"/>
      <c r="G307" s="8"/>
      <c r="H307" s="18"/>
      <c r="I307" s="38"/>
      <c r="J307" s="18"/>
      <c r="Z307" s="8"/>
    </row>
    <row r="308">
      <c r="A308" s="8" t="b">
        <v>0</v>
      </c>
      <c r="B308" s="8"/>
      <c r="C308" s="21"/>
      <c r="D308" s="21"/>
      <c r="E308" s="8"/>
      <c r="F308" s="8"/>
      <c r="G308" s="8"/>
      <c r="H308" s="18"/>
      <c r="I308" s="38"/>
      <c r="J308" s="18"/>
      <c r="Z308" s="8"/>
    </row>
    <row r="309">
      <c r="A309" s="8" t="b">
        <v>0</v>
      </c>
      <c r="B309" s="8"/>
      <c r="C309" s="21"/>
      <c r="D309" s="21"/>
      <c r="E309" s="8"/>
      <c r="F309" s="8"/>
      <c r="G309" s="8"/>
      <c r="H309" s="18"/>
      <c r="I309" s="38"/>
      <c r="J309" s="18"/>
      <c r="Z309" s="8"/>
    </row>
    <row r="310">
      <c r="A310" s="8" t="b">
        <v>0</v>
      </c>
      <c r="B310" s="8"/>
      <c r="C310" s="21"/>
      <c r="D310" s="21"/>
      <c r="E310" s="8"/>
      <c r="F310" s="8"/>
      <c r="G310" s="8"/>
      <c r="H310" s="18"/>
      <c r="I310" s="38"/>
      <c r="J310" s="18"/>
      <c r="Z310" s="8"/>
    </row>
    <row r="311">
      <c r="A311" s="8" t="b">
        <v>0</v>
      </c>
      <c r="B311" s="8"/>
      <c r="C311" s="21"/>
      <c r="D311" s="21"/>
      <c r="E311" s="8"/>
      <c r="F311" s="8"/>
      <c r="G311" s="8"/>
      <c r="H311" s="18"/>
      <c r="I311" s="38"/>
      <c r="J311" s="18"/>
      <c r="Z311" s="8"/>
    </row>
    <row r="312">
      <c r="A312" s="8" t="b">
        <v>0</v>
      </c>
      <c r="B312" s="8"/>
      <c r="C312" s="21"/>
      <c r="D312" s="21"/>
      <c r="E312" s="8"/>
      <c r="F312" s="8"/>
      <c r="G312" s="8"/>
      <c r="H312" s="18"/>
      <c r="I312" s="38"/>
      <c r="J312" s="18"/>
      <c r="Z312" s="8"/>
    </row>
    <row r="313">
      <c r="A313" s="8" t="b">
        <v>0</v>
      </c>
      <c r="B313" s="8"/>
      <c r="C313" s="21"/>
      <c r="D313" s="21"/>
      <c r="E313" s="8"/>
      <c r="F313" s="8"/>
      <c r="G313" s="8"/>
      <c r="H313" s="18"/>
      <c r="I313" s="38"/>
      <c r="J313" s="18"/>
      <c r="Z313" s="8"/>
    </row>
    <row r="314">
      <c r="A314" s="8" t="b">
        <v>0</v>
      </c>
      <c r="B314" s="8"/>
      <c r="C314" s="21"/>
      <c r="D314" s="21"/>
      <c r="E314" s="8"/>
      <c r="F314" s="8"/>
      <c r="G314" s="8"/>
      <c r="H314" s="18"/>
      <c r="I314" s="38"/>
      <c r="J314" s="18"/>
      <c r="Z314" s="8"/>
    </row>
    <row r="315">
      <c r="A315" s="8" t="b">
        <v>0</v>
      </c>
      <c r="B315" s="8"/>
      <c r="C315" s="21"/>
      <c r="D315" s="21"/>
      <c r="E315" s="8"/>
      <c r="F315" s="8"/>
      <c r="G315" s="8"/>
      <c r="H315" s="18"/>
      <c r="I315" s="38"/>
      <c r="J315" s="18"/>
      <c r="Z315" s="8"/>
    </row>
    <row r="316">
      <c r="A316" s="8" t="b">
        <v>0</v>
      </c>
      <c r="B316" s="8"/>
      <c r="C316" s="21"/>
      <c r="D316" s="21"/>
      <c r="E316" s="8"/>
      <c r="F316" s="8"/>
      <c r="G316" s="8"/>
      <c r="H316" s="18"/>
      <c r="I316" s="38"/>
      <c r="J316" s="18"/>
      <c r="Z316" s="8"/>
    </row>
    <row r="317">
      <c r="A317" s="8" t="b">
        <v>0</v>
      </c>
      <c r="B317" s="8"/>
      <c r="C317" s="21"/>
      <c r="D317" s="21"/>
      <c r="E317" s="8"/>
      <c r="F317" s="8"/>
      <c r="G317" s="8"/>
      <c r="H317" s="18"/>
      <c r="I317" s="38"/>
      <c r="J317" s="18"/>
      <c r="Z317" s="8"/>
    </row>
    <row r="318">
      <c r="A318" s="8" t="b">
        <v>0</v>
      </c>
      <c r="B318" s="8"/>
      <c r="C318" s="21"/>
      <c r="D318" s="21"/>
      <c r="E318" s="8"/>
      <c r="F318" s="8"/>
      <c r="G318" s="8"/>
      <c r="H318" s="18"/>
      <c r="I318" s="38"/>
      <c r="J318" s="18"/>
      <c r="Z318" s="8"/>
    </row>
    <row r="319">
      <c r="A319" s="8" t="b">
        <v>0</v>
      </c>
      <c r="B319" s="8"/>
      <c r="C319" s="21"/>
      <c r="D319" s="21"/>
      <c r="E319" s="8"/>
      <c r="F319" s="8"/>
      <c r="G319" s="8"/>
      <c r="H319" s="18"/>
      <c r="I319" s="38"/>
      <c r="J319" s="18"/>
      <c r="Z319" s="8"/>
    </row>
    <row r="320">
      <c r="A320" s="8" t="b">
        <v>0</v>
      </c>
      <c r="B320" s="8"/>
      <c r="C320" s="21"/>
      <c r="D320" s="21"/>
      <c r="E320" s="8"/>
      <c r="F320" s="8"/>
      <c r="G320" s="8"/>
      <c r="H320" s="18"/>
      <c r="I320" s="38"/>
      <c r="J320" s="18"/>
      <c r="Z320" s="8"/>
    </row>
    <row r="321">
      <c r="A321" s="8" t="b">
        <v>0</v>
      </c>
      <c r="B321" s="8"/>
      <c r="C321" s="21"/>
      <c r="D321" s="21"/>
      <c r="E321" s="8"/>
      <c r="F321" s="8"/>
      <c r="G321" s="8"/>
      <c r="H321" s="18"/>
      <c r="I321" s="38"/>
      <c r="J321" s="18"/>
      <c r="Z321" s="8"/>
    </row>
    <row r="322">
      <c r="A322" s="8" t="b">
        <v>0</v>
      </c>
      <c r="B322" s="8"/>
      <c r="C322" s="21"/>
      <c r="D322" s="21"/>
      <c r="E322" s="8"/>
      <c r="F322" s="8"/>
      <c r="G322" s="8"/>
      <c r="H322" s="18"/>
      <c r="I322" s="38"/>
      <c r="J322" s="18"/>
      <c r="Z322" s="8"/>
    </row>
    <row r="323">
      <c r="A323" s="8" t="b">
        <v>0</v>
      </c>
      <c r="B323" s="8"/>
      <c r="C323" s="21"/>
      <c r="D323" s="21"/>
      <c r="E323" s="8"/>
      <c r="F323" s="8"/>
      <c r="G323" s="8"/>
      <c r="H323" s="18"/>
      <c r="I323" s="38"/>
      <c r="J323" s="18"/>
      <c r="Z323" s="8"/>
    </row>
    <row r="324">
      <c r="A324" s="8" t="b">
        <v>0</v>
      </c>
      <c r="B324" s="8"/>
      <c r="C324" s="21"/>
      <c r="D324" s="21"/>
      <c r="E324" s="8"/>
      <c r="F324" s="8"/>
      <c r="G324" s="8"/>
      <c r="H324" s="18"/>
      <c r="I324" s="38"/>
      <c r="J324" s="18"/>
      <c r="Z324" s="8"/>
    </row>
    <row r="325">
      <c r="A325" s="8" t="b">
        <v>0</v>
      </c>
      <c r="B325" s="8"/>
      <c r="C325" s="21"/>
      <c r="D325" s="21"/>
      <c r="E325" s="8"/>
      <c r="F325" s="8"/>
      <c r="G325" s="8"/>
      <c r="H325" s="18"/>
      <c r="I325" s="38"/>
      <c r="J325" s="18"/>
      <c r="Z325" s="8"/>
    </row>
    <row r="326">
      <c r="A326" s="8" t="b">
        <v>0</v>
      </c>
      <c r="B326" s="8"/>
      <c r="C326" s="21"/>
      <c r="D326" s="21"/>
      <c r="E326" s="8"/>
      <c r="F326" s="8"/>
      <c r="G326" s="8"/>
      <c r="H326" s="18"/>
      <c r="I326" s="38"/>
      <c r="J326" s="18"/>
      <c r="Z326" s="8"/>
    </row>
    <row r="327">
      <c r="A327" s="8" t="b">
        <v>0</v>
      </c>
      <c r="B327" s="8"/>
      <c r="C327" s="21"/>
      <c r="D327" s="21"/>
      <c r="E327" s="8"/>
      <c r="F327" s="8"/>
      <c r="G327" s="8"/>
      <c r="H327" s="18"/>
      <c r="I327" s="38"/>
      <c r="J327" s="18"/>
      <c r="Z327" s="8"/>
    </row>
    <row r="328">
      <c r="A328" s="8" t="b">
        <v>0</v>
      </c>
      <c r="B328" s="8"/>
      <c r="C328" s="21"/>
      <c r="D328" s="21"/>
      <c r="E328" s="8"/>
      <c r="F328" s="8"/>
      <c r="G328" s="8"/>
      <c r="H328" s="18"/>
      <c r="I328" s="38"/>
      <c r="J328" s="18"/>
      <c r="Z328" s="8"/>
    </row>
    <row r="329">
      <c r="A329" s="8" t="b">
        <v>0</v>
      </c>
      <c r="B329" s="8"/>
      <c r="C329" s="21"/>
      <c r="D329" s="21"/>
      <c r="E329" s="8"/>
      <c r="F329" s="8"/>
      <c r="G329" s="8"/>
      <c r="H329" s="18"/>
      <c r="I329" s="38"/>
      <c r="J329" s="18"/>
      <c r="Z329" s="8"/>
    </row>
    <row r="330">
      <c r="A330" s="8" t="b">
        <v>0</v>
      </c>
      <c r="B330" s="8"/>
      <c r="C330" s="21"/>
      <c r="D330" s="21"/>
      <c r="E330" s="8"/>
      <c r="F330" s="8"/>
      <c r="G330" s="8"/>
      <c r="H330" s="18"/>
      <c r="I330" s="38"/>
      <c r="J330" s="18"/>
      <c r="Z330" s="8"/>
    </row>
    <row r="331">
      <c r="A331" s="8" t="b">
        <v>0</v>
      </c>
      <c r="B331" s="8"/>
      <c r="C331" s="21"/>
      <c r="D331" s="21"/>
      <c r="E331" s="8"/>
      <c r="F331" s="8"/>
      <c r="G331" s="8"/>
      <c r="H331" s="18"/>
      <c r="I331" s="38"/>
      <c r="J331" s="18"/>
      <c r="Z331" s="8"/>
    </row>
    <row r="332">
      <c r="A332" s="8" t="b">
        <v>0</v>
      </c>
      <c r="B332" s="8"/>
      <c r="C332" s="21"/>
      <c r="D332" s="21"/>
      <c r="E332" s="8"/>
      <c r="F332" s="8"/>
      <c r="G332" s="8"/>
      <c r="H332" s="18"/>
      <c r="I332" s="38"/>
      <c r="J332" s="18"/>
      <c r="Z332" s="8"/>
    </row>
    <row r="333">
      <c r="A333" s="8" t="b">
        <v>0</v>
      </c>
      <c r="B333" s="8"/>
      <c r="C333" s="21"/>
      <c r="D333" s="21"/>
      <c r="E333" s="8"/>
      <c r="F333" s="8"/>
      <c r="G333" s="8"/>
      <c r="H333" s="18"/>
      <c r="I333" s="38"/>
      <c r="J333" s="18"/>
      <c r="Z333" s="8"/>
    </row>
    <row r="334">
      <c r="A334" s="8" t="b">
        <v>0</v>
      </c>
      <c r="B334" s="8"/>
      <c r="C334" s="21"/>
      <c r="D334" s="21"/>
      <c r="E334" s="8"/>
      <c r="F334" s="8"/>
      <c r="G334" s="8"/>
      <c r="H334" s="18"/>
      <c r="I334" s="38"/>
      <c r="J334" s="18"/>
      <c r="Z334" s="8"/>
    </row>
    <row r="335">
      <c r="A335" s="8" t="b">
        <v>0</v>
      </c>
      <c r="B335" s="8"/>
      <c r="C335" s="21"/>
      <c r="D335" s="21"/>
      <c r="E335" s="8"/>
      <c r="F335" s="8"/>
      <c r="G335" s="8"/>
      <c r="H335" s="18"/>
      <c r="I335" s="38"/>
      <c r="J335" s="18"/>
      <c r="Z335" s="8"/>
    </row>
    <row r="336">
      <c r="A336" s="8" t="b">
        <v>0</v>
      </c>
      <c r="B336" s="8"/>
      <c r="C336" s="21"/>
      <c r="D336" s="21"/>
      <c r="E336" s="8"/>
      <c r="F336" s="8"/>
      <c r="G336" s="8"/>
      <c r="H336" s="18"/>
      <c r="I336" s="38"/>
      <c r="J336" s="18"/>
      <c r="Z336" s="8"/>
    </row>
    <row r="337">
      <c r="A337" s="8" t="b">
        <v>0</v>
      </c>
      <c r="B337" s="8"/>
      <c r="C337" s="21"/>
      <c r="D337" s="21"/>
      <c r="E337" s="8"/>
      <c r="F337" s="8"/>
      <c r="G337" s="8"/>
      <c r="H337" s="18"/>
      <c r="I337" s="38"/>
      <c r="J337" s="18"/>
      <c r="Z337" s="8"/>
    </row>
    <row r="338">
      <c r="A338" s="8" t="b">
        <v>0</v>
      </c>
      <c r="B338" s="8"/>
      <c r="C338" s="21"/>
      <c r="D338" s="21"/>
      <c r="E338" s="8"/>
      <c r="F338" s="8"/>
      <c r="G338" s="8"/>
      <c r="H338" s="18"/>
      <c r="I338" s="38"/>
      <c r="J338" s="18"/>
      <c r="Z338" s="8"/>
    </row>
    <row r="339">
      <c r="A339" s="8" t="b">
        <v>0</v>
      </c>
      <c r="B339" s="8"/>
      <c r="C339" s="21"/>
      <c r="D339" s="21"/>
      <c r="E339" s="8"/>
      <c r="F339" s="8"/>
      <c r="G339" s="8"/>
      <c r="H339" s="18"/>
      <c r="I339" s="38"/>
      <c r="J339" s="18"/>
      <c r="Z339" s="8"/>
    </row>
    <row r="340">
      <c r="A340" s="8" t="b">
        <v>0</v>
      </c>
      <c r="B340" s="8"/>
      <c r="C340" s="21"/>
      <c r="D340" s="21"/>
      <c r="E340" s="8"/>
      <c r="F340" s="8"/>
      <c r="G340" s="8"/>
      <c r="H340" s="18"/>
      <c r="I340" s="38"/>
      <c r="J340" s="18"/>
      <c r="Z340" s="8"/>
    </row>
    <row r="341">
      <c r="A341" s="8" t="b">
        <v>0</v>
      </c>
      <c r="B341" s="8"/>
      <c r="C341" s="21"/>
      <c r="D341" s="21"/>
      <c r="E341" s="8"/>
      <c r="F341" s="8"/>
      <c r="G341" s="8"/>
      <c r="H341" s="18"/>
      <c r="I341" s="38"/>
      <c r="J341" s="18"/>
      <c r="Z341" s="8"/>
    </row>
    <row r="342">
      <c r="A342" s="8" t="b">
        <v>0</v>
      </c>
      <c r="B342" s="8"/>
      <c r="C342" s="21"/>
      <c r="D342" s="21"/>
      <c r="E342" s="8"/>
      <c r="F342" s="8"/>
      <c r="G342" s="8"/>
      <c r="H342" s="18"/>
      <c r="I342" s="38"/>
      <c r="J342" s="18"/>
      <c r="Z342" s="8"/>
    </row>
    <row r="343">
      <c r="A343" s="8" t="b">
        <v>0</v>
      </c>
      <c r="B343" s="8"/>
      <c r="C343" s="21"/>
      <c r="D343" s="21"/>
      <c r="E343" s="8"/>
      <c r="F343" s="8"/>
      <c r="G343" s="8"/>
      <c r="H343" s="18"/>
      <c r="I343" s="38"/>
      <c r="J343" s="18"/>
      <c r="Z343" s="8"/>
    </row>
    <row r="344">
      <c r="A344" s="8" t="b">
        <v>0</v>
      </c>
      <c r="B344" s="8"/>
      <c r="C344" s="21"/>
      <c r="D344" s="21"/>
      <c r="E344" s="8"/>
      <c r="F344" s="8"/>
      <c r="G344" s="8"/>
      <c r="H344" s="18"/>
      <c r="I344" s="38"/>
      <c r="J344" s="18"/>
      <c r="Z344" s="8"/>
    </row>
    <row r="345">
      <c r="A345" s="8" t="b">
        <v>0</v>
      </c>
      <c r="B345" s="8"/>
      <c r="C345" s="21"/>
      <c r="D345" s="21"/>
      <c r="E345" s="8"/>
      <c r="F345" s="8"/>
      <c r="G345" s="8"/>
      <c r="H345" s="18"/>
      <c r="I345" s="38"/>
      <c r="J345" s="18"/>
      <c r="Z345" s="8"/>
    </row>
    <row r="346">
      <c r="A346" s="8" t="b">
        <v>0</v>
      </c>
      <c r="B346" s="8"/>
      <c r="C346" s="21"/>
      <c r="D346" s="21"/>
      <c r="E346" s="8"/>
      <c r="F346" s="8"/>
      <c r="G346" s="8"/>
      <c r="H346" s="18"/>
      <c r="I346" s="38"/>
      <c r="J346" s="18"/>
      <c r="Z346" s="8"/>
    </row>
    <row r="347">
      <c r="A347" s="8" t="b">
        <v>0</v>
      </c>
      <c r="B347" s="8"/>
      <c r="C347" s="21"/>
      <c r="D347" s="21"/>
      <c r="E347" s="8"/>
      <c r="F347" s="8"/>
      <c r="G347" s="8"/>
      <c r="H347" s="18"/>
      <c r="I347" s="38"/>
      <c r="J347" s="18"/>
      <c r="Z347" s="8"/>
    </row>
    <row r="348">
      <c r="A348" s="8" t="b">
        <v>0</v>
      </c>
      <c r="B348" s="8"/>
      <c r="C348" s="21"/>
      <c r="D348" s="21"/>
      <c r="E348" s="8"/>
      <c r="F348" s="8"/>
      <c r="G348" s="8"/>
      <c r="H348" s="18"/>
      <c r="I348" s="38"/>
      <c r="J348" s="18"/>
      <c r="Z348" s="8"/>
    </row>
    <row r="349">
      <c r="A349" s="8" t="b">
        <v>0</v>
      </c>
      <c r="B349" s="8"/>
      <c r="C349" s="21"/>
      <c r="D349" s="21"/>
      <c r="E349" s="8"/>
      <c r="F349" s="8"/>
      <c r="G349" s="8"/>
      <c r="H349" s="18"/>
      <c r="I349" s="38"/>
      <c r="J349" s="18"/>
      <c r="Z349" s="8"/>
    </row>
    <row r="350">
      <c r="A350" s="8" t="b">
        <v>0</v>
      </c>
      <c r="B350" s="8"/>
      <c r="C350" s="21"/>
      <c r="D350" s="21"/>
      <c r="E350" s="8"/>
      <c r="F350" s="8"/>
      <c r="G350" s="8"/>
      <c r="H350" s="18"/>
      <c r="I350" s="38"/>
      <c r="J350" s="18"/>
      <c r="Z350" s="8"/>
    </row>
    <row r="351">
      <c r="A351" s="8" t="b">
        <v>0</v>
      </c>
      <c r="B351" s="8"/>
      <c r="C351" s="21"/>
      <c r="D351" s="21"/>
      <c r="E351" s="8"/>
      <c r="F351" s="8"/>
      <c r="G351" s="8"/>
      <c r="H351" s="18"/>
      <c r="I351" s="38"/>
      <c r="J351" s="18"/>
      <c r="Z351" s="8"/>
    </row>
    <row r="352">
      <c r="A352" s="8" t="b">
        <v>0</v>
      </c>
      <c r="B352" s="8"/>
      <c r="C352" s="21"/>
      <c r="D352" s="21"/>
      <c r="E352" s="8"/>
      <c r="F352" s="8"/>
      <c r="G352" s="8"/>
      <c r="H352" s="18"/>
      <c r="I352" s="38"/>
      <c r="J352" s="18"/>
      <c r="Z352" s="8"/>
    </row>
    <row r="353">
      <c r="A353" s="8" t="b">
        <v>0</v>
      </c>
      <c r="B353" s="8"/>
      <c r="C353" s="21"/>
      <c r="D353" s="21"/>
      <c r="E353" s="8"/>
      <c r="F353" s="8"/>
      <c r="G353" s="8"/>
      <c r="H353" s="18"/>
      <c r="I353" s="38"/>
      <c r="J353" s="18"/>
      <c r="Z353" s="8"/>
    </row>
    <row r="354">
      <c r="A354" s="8" t="b">
        <v>0</v>
      </c>
      <c r="B354" s="8"/>
      <c r="C354" s="21"/>
      <c r="D354" s="21"/>
      <c r="E354" s="8"/>
      <c r="F354" s="8"/>
      <c r="G354" s="8"/>
      <c r="H354" s="18"/>
      <c r="I354" s="38"/>
      <c r="J354" s="18"/>
      <c r="Z354" s="8"/>
    </row>
    <row r="355">
      <c r="A355" s="8" t="b">
        <v>0</v>
      </c>
      <c r="B355" s="8"/>
      <c r="C355" s="21"/>
      <c r="D355" s="21"/>
      <c r="E355" s="8"/>
      <c r="F355" s="8"/>
      <c r="G355" s="8"/>
      <c r="H355" s="18"/>
      <c r="I355" s="38"/>
      <c r="J355" s="18"/>
      <c r="Z355" s="8"/>
    </row>
    <row r="356">
      <c r="A356" s="8" t="b">
        <v>0</v>
      </c>
      <c r="B356" s="8"/>
      <c r="C356" s="21"/>
      <c r="D356" s="21"/>
      <c r="E356" s="8"/>
      <c r="F356" s="8"/>
      <c r="G356" s="8"/>
      <c r="H356" s="18"/>
      <c r="I356" s="38"/>
      <c r="J356" s="18"/>
      <c r="Z356" s="8"/>
    </row>
    <row r="357">
      <c r="A357" s="8" t="b">
        <v>0</v>
      </c>
      <c r="B357" s="8"/>
      <c r="C357" s="21"/>
      <c r="D357" s="21"/>
      <c r="E357" s="8"/>
      <c r="F357" s="8"/>
      <c r="G357" s="8"/>
      <c r="H357" s="18"/>
      <c r="I357" s="38"/>
      <c r="J357" s="18"/>
      <c r="Z357" s="8"/>
    </row>
    <row r="358">
      <c r="A358" s="8" t="b">
        <v>0</v>
      </c>
      <c r="B358" s="8"/>
      <c r="C358" s="21"/>
      <c r="D358" s="21"/>
      <c r="E358" s="8"/>
      <c r="F358" s="8"/>
      <c r="G358" s="8"/>
      <c r="H358" s="18"/>
      <c r="I358" s="38"/>
      <c r="J358" s="18"/>
      <c r="Z358" s="8"/>
    </row>
    <row r="359">
      <c r="A359" s="8" t="b">
        <v>0</v>
      </c>
      <c r="B359" s="8"/>
      <c r="C359" s="21"/>
      <c r="D359" s="21"/>
      <c r="E359" s="8"/>
      <c r="F359" s="8"/>
      <c r="G359" s="8"/>
      <c r="H359" s="18"/>
      <c r="I359" s="38"/>
      <c r="J359" s="18"/>
      <c r="Z359" s="8"/>
    </row>
    <row r="360">
      <c r="A360" s="8" t="b">
        <v>0</v>
      </c>
      <c r="B360" s="8"/>
      <c r="C360" s="21"/>
      <c r="D360" s="21"/>
      <c r="E360" s="8"/>
      <c r="F360" s="8"/>
      <c r="G360" s="8"/>
      <c r="H360" s="18"/>
      <c r="I360" s="38"/>
      <c r="J360" s="18"/>
      <c r="Z360" s="8"/>
    </row>
    <row r="361">
      <c r="A361" s="8" t="b">
        <v>0</v>
      </c>
      <c r="B361" s="8"/>
      <c r="C361" s="21"/>
      <c r="D361" s="21"/>
      <c r="E361" s="8"/>
      <c r="F361" s="8"/>
      <c r="G361" s="8"/>
      <c r="H361" s="18"/>
      <c r="I361" s="38"/>
      <c r="J361" s="18"/>
      <c r="Z361" s="8"/>
    </row>
    <row r="362">
      <c r="A362" s="8" t="b">
        <v>0</v>
      </c>
      <c r="B362" s="8"/>
      <c r="C362" s="21"/>
      <c r="D362" s="21"/>
      <c r="E362" s="8"/>
      <c r="F362" s="8"/>
      <c r="G362" s="8"/>
      <c r="H362" s="18"/>
      <c r="I362" s="38"/>
      <c r="J362" s="18"/>
      <c r="Z362" s="8"/>
    </row>
    <row r="363">
      <c r="A363" s="8" t="b">
        <v>0</v>
      </c>
      <c r="B363" s="8"/>
      <c r="C363" s="21"/>
      <c r="D363" s="21"/>
      <c r="E363" s="8"/>
      <c r="F363" s="8"/>
      <c r="G363" s="8"/>
      <c r="H363" s="18"/>
      <c r="I363" s="38"/>
      <c r="J363" s="18"/>
      <c r="Z363" s="8"/>
    </row>
    <row r="364">
      <c r="A364" s="8" t="b">
        <v>0</v>
      </c>
      <c r="B364" s="8"/>
      <c r="C364" s="21"/>
      <c r="D364" s="21"/>
      <c r="E364" s="8"/>
      <c r="F364" s="8"/>
      <c r="G364" s="8"/>
      <c r="H364" s="18"/>
      <c r="I364" s="38"/>
      <c r="J364" s="18"/>
      <c r="Z364" s="8"/>
    </row>
    <row r="365">
      <c r="A365" s="8" t="b">
        <v>0</v>
      </c>
      <c r="B365" s="8"/>
      <c r="C365" s="21"/>
      <c r="D365" s="21"/>
      <c r="E365" s="8"/>
      <c r="F365" s="8"/>
      <c r="G365" s="8"/>
      <c r="H365" s="18"/>
      <c r="I365" s="38"/>
      <c r="J365" s="18"/>
      <c r="Z365" s="8"/>
    </row>
    <row r="366">
      <c r="A366" s="8" t="b">
        <v>0</v>
      </c>
      <c r="B366" s="8"/>
      <c r="C366" s="21"/>
      <c r="D366" s="21"/>
      <c r="E366" s="8"/>
      <c r="F366" s="8"/>
      <c r="G366" s="8"/>
      <c r="H366" s="18"/>
      <c r="I366" s="38"/>
      <c r="J366" s="18"/>
      <c r="Z366" s="8"/>
    </row>
    <row r="367">
      <c r="A367" s="8" t="b">
        <v>0</v>
      </c>
      <c r="B367" s="8"/>
      <c r="C367" s="21"/>
      <c r="D367" s="21"/>
      <c r="E367" s="8"/>
      <c r="F367" s="8"/>
      <c r="G367" s="8"/>
      <c r="H367" s="18"/>
      <c r="I367" s="38"/>
      <c r="J367" s="18"/>
      <c r="Z367" s="8"/>
    </row>
    <row r="368">
      <c r="A368" s="8" t="b">
        <v>0</v>
      </c>
      <c r="B368" s="8"/>
      <c r="C368" s="21"/>
      <c r="D368" s="21"/>
      <c r="E368" s="8"/>
      <c r="F368" s="8"/>
      <c r="G368" s="8"/>
      <c r="H368" s="18"/>
      <c r="I368" s="38"/>
      <c r="J368" s="18"/>
      <c r="Z368" s="8"/>
    </row>
    <row r="369">
      <c r="A369" s="8" t="b">
        <v>0</v>
      </c>
      <c r="B369" s="8"/>
      <c r="C369" s="21"/>
      <c r="D369" s="21"/>
      <c r="E369" s="8"/>
      <c r="F369" s="8"/>
      <c r="G369" s="8"/>
      <c r="H369" s="18"/>
      <c r="I369" s="38"/>
      <c r="J369" s="18"/>
      <c r="Z369" s="8"/>
    </row>
    <row r="370">
      <c r="A370" s="8" t="b">
        <v>0</v>
      </c>
      <c r="B370" s="8"/>
      <c r="C370" s="21"/>
      <c r="D370" s="21"/>
      <c r="E370" s="8"/>
      <c r="F370" s="8"/>
      <c r="G370" s="8"/>
      <c r="H370" s="18"/>
      <c r="I370" s="38"/>
      <c r="J370" s="18"/>
      <c r="Z370" s="8"/>
    </row>
    <row r="371">
      <c r="A371" s="8" t="b">
        <v>0</v>
      </c>
      <c r="B371" s="8"/>
      <c r="C371" s="21"/>
      <c r="D371" s="21"/>
      <c r="E371" s="8"/>
      <c r="F371" s="8"/>
      <c r="G371" s="8"/>
      <c r="H371" s="18"/>
      <c r="I371" s="38"/>
      <c r="J371" s="18"/>
      <c r="Z371" s="8"/>
    </row>
    <row r="372">
      <c r="A372" s="8" t="b">
        <v>0</v>
      </c>
      <c r="B372" s="8"/>
      <c r="C372" s="21"/>
      <c r="D372" s="21"/>
      <c r="E372" s="8"/>
      <c r="F372" s="8"/>
      <c r="G372" s="8"/>
      <c r="H372" s="18"/>
      <c r="I372" s="38"/>
      <c r="J372" s="18"/>
      <c r="Z372" s="8"/>
    </row>
    <row r="373">
      <c r="A373" s="8" t="b">
        <v>0</v>
      </c>
      <c r="B373" s="8"/>
      <c r="C373" s="21"/>
      <c r="D373" s="21"/>
      <c r="E373" s="8"/>
      <c r="F373" s="8"/>
      <c r="G373" s="8"/>
      <c r="H373" s="18"/>
      <c r="I373" s="38"/>
      <c r="J373" s="18"/>
      <c r="Z373" s="8"/>
    </row>
    <row r="374">
      <c r="A374" s="8" t="b">
        <v>0</v>
      </c>
      <c r="B374" s="8"/>
      <c r="C374" s="21"/>
      <c r="D374" s="21"/>
      <c r="E374" s="8"/>
      <c r="F374" s="8"/>
      <c r="G374" s="8"/>
      <c r="H374" s="18"/>
      <c r="I374" s="38"/>
      <c r="J374" s="18"/>
      <c r="Z374" s="8"/>
    </row>
    <row r="375">
      <c r="A375" s="8" t="b">
        <v>0</v>
      </c>
      <c r="B375" s="8"/>
      <c r="C375" s="21"/>
      <c r="D375" s="21"/>
      <c r="E375" s="8"/>
      <c r="F375" s="8"/>
      <c r="G375" s="8"/>
      <c r="H375" s="18"/>
      <c r="I375" s="38"/>
      <c r="J375" s="18"/>
      <c r="Z375" s="8"/>
    </row>
    <row r="376">
      <c r="A376" s="8" t="b">
        <v>0</v>
      </c>
      <c r="B376" s="8"/>
      <c r="C376" s="21"/>
      <c r="D376" s="21"/>
      <c r="E376" s="8"/>
      <c r="F376" s="8"/>
      <c r="G376" s="8"/>
      <c r="H376" s="18"/>
      <c r="I376" s="38"/>
      <c r="J376" s="18"/>
      <c r="Z376" s="8"/>
    </row>
    <row r="377">
      <c r="A377" s="8" t="b">
        <v>0</v>
      </c>
      <c r="B377" s="8"/>
      <c r="C377" s="21"/>
      <c r="D377" s="21"/>
      <c r="E377" s="8"/>
      <c r="F377" s="8"/>
      <c r="G377" s="8"/>
      <c r="H377" s="18"/>
      <c r="I377" s="38"/>
      <c r="J377" s="18"/>
      <c r="Z377" s="8"/>
    </row>
    <row r="378">
      <c r="A378" s="8" t="b">
        <v>0</v>
      </c>
      <c r="B378" s="8"/>
      <c r="C378" s="21"/>
      <c r="D378" s="21"/>
      <c r="E378" s="8"/>
      <c r="F378" s="8"/>
      <c r="G378" s="8"/>
      <c r="H378" s="18"/>
      <c r="I378" s="38"/>
      <c r="J378" s="18"/>
      <c r="Z378" s="8"/>
    </row>
    <row r="379">
      <c r="A379" s="8" t="b">
        <v>0</v>
      </c>
      <c r="B379" s="8"/>
      <c r="C379" s="21"/>
      <c r="D379" s="21"/>
      <c r="E379" s="8"/>
      <c r="F379" s="8"/>
      <c r="G379" s="8"/>
      <c r="H379" s="18"/>
      <c r="I379" s="38"/>
      <c r="J379" s="18"/>
      <c r="Z379" s="8"/>
    </row>
    <row r="380">
      <c r="A380" s="8" t="b">
        <v>0</v>
      </c>
      <c r="B380" s="8"/>
      <c r="C380" s="21"/>
      <c r="D380" s="21"/>
      <c r="E380" s="8"/>
      <c r="F380" s="8"/>
      <c r="G380" s="8"/>
      <c r="H380" s="18"/>
      <c r="I380" s="38"/>
      <c r="J380" s="18"/>
      <c r="Z380" s="8"/>
    </row>
    <row r="381">
      <c r="A381" s="8" t="b">
        <v>0</v>
      </c>
      <c r="B381" s="8"/>
      <c r="C381" s="21"/>
      <c r="D381" s="21"/>
      <c r="E381" s="8"/>
      <c r="F381" s="8"/>
      <c r="G381" s="8"/>
      <c r="H381" s="18"/>
      <c r="I381" s="38"/>
      <c r="J381" s="18"/>
      <c r="Z381" s="8"/>
    </row>
    <row r="382">
      <c r="A382" s="8" t="b">
        <v>0</v>
      </c>
      <c r="B382" s="8"/>
      <c r="C382" s="21"/>
      <c r="D382" s="21"/>
      <c r="E382" s="8"/>
      <c r="F382" s="8"/>
      <c r="G382" s="8"/>
      <c r="H382" s="18"/>
      <c r="I382" s="38"/>
      <c r="J382" s="18"/>
      <c r="Z382" s="8"/>
    </row>
    <row r="383">
      <c r="A383" s="8" t="b">
        <v>0</v>
      </c>
      <c r="B383" s="8"/>
      <c r="C383" s="21"/>
      <c r="D383" s="21"/>
      <c r="E383" s="8"/>
      <c r="F383" s="8"/>
      <c r="G383" s="8"/>
      <c r="H383" s="18"/>
      <c r="I383" s="38"/>
      <c r="J383" s="18"/>
      <c r="Z383" s="8"/>
    </row>
    <row r="384">
      <c r="A384" s="8" t="b">
        <v>0</v>
      </c>
      <c r="B384" s="8"/>
      <c r="C384" s="21"/>
      <c r="D384" s="21"/>
      <c r="E384" s="8"/>
      <c r="F384" s="8"/>
      <c r="G384" s="8"/>
      <c r="H384" s="18"/>
      <c r="I384" s="38"/>
      <c r="J384" s="18"/>
      <c r="Z384" s="8"/>
    </row>
    <row r="385">
      <c r="A385" s="8" t="b">
        <v>0</v>
      </c>
      <c r="B385" s="8"/>
      <c r="C385" s="21"/>
      <c r="D385" s="21"/>
      <c r="E385" s="8"/>
      <c r="F385" s="8"/>
      <c r="G385" s="8"/>
      <c r="H385" s="18"/>
      <c r="I385" s="38"/>
      <c r="J385" s="18"/>
      <c r="Z385" s="8"/>
    </row>
    <row r="386">
      <c r="A386" s="8" t="b">
        <v>0</v>
      </c>
      <c r="B386" s="8"/>
      <c r="C386" s="21"/>
      <c r="D386" s="21"/>
      <c r="E386" s="8"/>
      <c r="F386" s="8"/>
      <c r="G386" s="8"/>
      <c r="H386" s="18"/>
      <c r="I386" s="38"/>
      <c r="J386" s="18"/>
      <c r="Z386" s="8"/>
    </row>
    <row r="387">
      <c r="A387" s="8" t="b">
        <v>0</v>
      </c>
      <c r="B387" s="8"/>
      <c r="C387" s="21"/>
      <c r="D387" s="21"/>
      <c r="E387" s="8"/>
      <c r="F387" s="8"/>
      <c r="G387" s="8"/>
      <c r="H387" s="18"/>
      <c r="I387" s="38"/>
      <c r="J387" s="18"/>
      <c r="Z387" s="8"/>
    </row>
    <row r="388">
      <c r="A388" s="8" t="b">
        <v>0</v>
      </c>
      <c r="B388" s="8"/>
      <c r="C388" s="21"/>
      <c r="D388" s="21"/>
      <c r="E388" s="8"/>
      <c r="F388" s="8"/>
      <c r="G388" s="8"/>
      <c r="H388" s="18"/>
      <c r="I388" s="38"/>
      <c r="J388" s="18"/>
      <c r="Z388" s="8"/>
    </row>
    <row r="389">
      <c r="A389" s="8" t="b">
        <v>0</v>
      </c>
      <c r="B389" s="8"/>
      <c r="C389" s="21"/>
      <c r="D389" s="21"/>
      <c r="E389" s="8"/>
      <c r="F389" s="8"/>
      <c r="G389" s="8"/>
      <c r="H389" s="18"/>
      <c r="I389" s="38"/>
      <c r="J389" s="18"/>
      <c r="Z389" s="8"/>
    </row>
    <row r="390">
      <c r="A390" s="8" t="b">
        <v>0</v>
      </c>
      <c r="B390" s="8"/>
      <c r="C390" s="21"/>
      <c r="D390" s="21"/>
      <c r="E390" s="8"/>
      <c r="F390" s="8"/>
      <c r="G390" s="8"/>
      <c r="H390" s="18"/>
      <c r="I390" s="38"/>
      <c r="J390" s="18"/>
      <c r="Z390" s="8"/>
    </row>
    <row r="391">
      <c r="A391" s="8" t="b">
        <v>0</v>
      </c>
      <c r="B391" s="8"/>
      <c r="C391" s="21"/>
      <c r="D391" s="21"/>
      <c r="E391" s="8"/>
      <c r="F391" s="8"/>
      <c r="G391" s="8"/>
      <c r="H391" s="18"/>
      <c r="I391" s="38"/>
      <c r="J391" s="18"/>
      <c r="Z391" s="8"/>
    </row>
    <row r="392">
      <c r="A392" s="8" t="b">
        <v>0</v>
      </c>
      <c r="B392" s="8"/>
      <c r="C392" s="21"/>
      <c r="D392" s="21"/>
      <c r="E392" s="8"/>
      <c r="F392" s="8"/>
      <c r="G392" s="8"/>
      <c r="H392" s="18"/>
      <c r="I392" s="38"/>
      <c r="J392" s="18"/>
      <c r="Z392" s="8"/>
    </row>
    <row r="393">
      <c r="A393" s="8" t="b">
        <v>0</v>
      </c>
      <c r="B393" s="8"/>
      <c r="C393" s="21"/>
      <c r="D393" s="21"/>
      <c r="E393" s="8"/>
      <c r="F393" s="8"/>
      <c r="G393" s="8"/>
      <c r="H393" s="18"/>
      <c r="I393" s="38"/>
      <c r="J393" s="18"/>
      <c r="Z393" s="8"/>
    </row>
    <row r="394">
      <c r="A394" s="8" t="b">
        <v>0</v>
      </c>
      <c r="B394" s="8"/>
      <c r="C394" s="21"/>
      <c r="D394" s="21"/>
      <c r="E394" s="8"/>
      <c r="F394" s="8"/>
      <c r="G394" s="8"/>
      <c r="H394" s="18"/>
      <c r="I394" s="38"/>
      <c r="J394" s="18"/>
      <c r="Z394" s="8"/>
    </row>
    <row r="395">
      <c r="A395" s="8" t="b">
        <v>0</v>
      </c>
      <c r="B395" s="8"/>
      <c r="C395" s="21"/>
      <c r="D395" s="21"/>
      <c r="E395" s="8"/>
      <c r="F395" s="8"/>
      <c r="G395" s="8"/>
      <c r="H395" s="18"/>
      <c r="I395" s="38"/>
      <c r="J395" s="18"/>
      <c r="Z395" s="8"/>
    </row>
    <row r="396">
      <c r="A396" s="8" t="b">
        <v>0</v>
      </c>
      <c r="B396" s="8"/>
      <c r="C396" s="21"/>
      <c r="D396" s="21"/>
      <c r="E396" s="8"/>
      <c r="F396" s="8"/>
      <c r="G396" s="8"/>
      <c r="H396" s="18"/>
      <c r="I396" s="38"/>
      <c r="J396" s="18"/>
      <c r="Z396" s="8"/>
    </row>
    <row r="397">
      <c r="A397" s="8" t="b">
        <v>0</v>
      </c>
      <c r="B397" s="8"/>
      <c r="C397" s="21"/>
      <c r="D397" s="21"/>
      <c r="E397" s="8"/>
      <c r="F397" s="8"/>
      <c r="G397" s="8"/>
      <c r="H397" s="18"/>
      <c r="I397" s="38"/>
      <c r="J397" s="18"/>
      <c r="Z397" s="8"/>
    </row>
    <row r="398">
      <c r="A398" s="8" t="b">
        <v>0</v>
      </c>
      <c r="B398" s="8"/>
      <c r="C398" s="21"/>
      <c r="D398" s="21"/>
      <c r="E398" s="8"/>
      <c r="F398" s="8"/>
      <c r="G398" s="8"/>
      <c r="H398" s="18"/>
      <c r="I398" s="38"/>
      <c r="J398" s="18"/>
      <c r="Z398" s="8"/>
    </row>
    <row r="399">
      <c r="A399" s="8" t="b">
        <v>0</v>
      </c>
      <c r="B399" s="8"/>
      <c r="C399" s="21"/>
      <c r="D399" s="21"/>
      <c r="E399" s="8"/>
      <c r="F399" s="8"/>
      <c r="G399" s="8"/>
      <c r="H399" s="18"/>
      <c r="I399" s="38"/>
      <c r="J399" s="18"/>
      <c r="Z399" s="8"/>
    </row>
    <row r="400">
      <c r="A400" s="8" t="b">
        <v>0</v>
      </c>
      <c r="B400" s="8"/>
      <c r="C400" s="21"/>
      <c r="D400" s="21"/>
      <c r="E400" s="8"/>
      <c r="F400" s="8"/>
      <c r="G400" s="8"/>
      <c r="H400" s="18"/>
      <c r="I400" s="38"/>
      <c r="J400" s="18"/>
      <c r="Z400" s="8"/>
    </row>
    <row r="401">
      <c r="A401" s="8" t="b">
        <v>0</v>
      </c>
      <c r="B401" s="8"/>
      <c r="C401" s="21"/>
      <c r="D401" s="21"/>
      <c r="E401" s="8"/>
      <c r="F401" s="8"/>
      <c r="G401" s="8"/>
      <c r="H401" s="18"/>
      <c r="I401" s="38"/>
      <c r="J401" s="18"/>
      <c r="Z401" s="8"/>
    </row>
    <row r="402">
      <c r="A402" s="8" t="b">
        <v>0</v>
      </c>
      <c r="B402" s="8"/>
      <c r="C402" s="21"/>
      <c r="D402" s="21"/>
      <c r="E402" s="8"/>
      <c r="F402" s="8"/>
      <c r="G402" s="8"/>
      <c r="H402" s="18"/>
      <c r="I402" s="38"/>
      <c r="J402" s="18"/>
      <c r="Z402" s="8"/>
    </row>
    <row r="403">
      <c r="A403" s="8" t="b">
        <v>0</v>
      </c>
      <c r="B403" s="8"/>
      <c r="C403" s="21"/>
      <c r="D403" s="21"/>
      <c r="E403" s="8"/>
      <c r="F403" s="8"/>
      <c r="G403" s="8"/>
      <c r="H403" s="18"/>
      <c r="I403" s="38"/>
      <c r="J403" s="18"/>
      <c r="Z403" s="8"/>
    </row>
    <row r="404">
      <c r="A404" s="8" t="b">
        <v>0</v>
      </c>
      <c r="B404" s="8"/>
      <c r="C404" s="21"/>
      <c r="D404" s="21"/>
      <c r="E404" s="8"/>
      <c r="F404" s="8"/>
      <c r="G404" s="8"/>
      <c r="H404" s="18"/>
      <c r="I404" s="38"/>
      <c r="J404" s="18"/>
      <c r="Z404" s="8"/>
    </row>
    <row r="405">
      <c r="A405" s="8" t="b">
        <v>0</v>
      </c>
      <c r="B405" s="8"/>
      <c r="C405" s="21"/>
      <c r="D405" s="21"/>
      <c r="E405" s="8"/>
      <c r="F405" s="8"/>
      <c r="G405" s="8"/>
      <c r="H405" s="18"/>
      <c r="I405" s="38"/>
      <c r="J405" s="18"/>
      <c r="Z405" s="8"/>
    </row>
    <row r="406">
      <c r="A406" s="8" t="b">
        <v>0</v>
      </c>
      <c r="B406" s="8"/>
      <c r="C406" s="21"/>
      <c r="D406" s="21"/>
      <c r="E406" s="8"/>
      <c r="F406" s="8"/>
      <c r="G406" s="8"/>
      <c r="H406" s="18"/>
      <c r="I406" s="38"/>
      <c r="J406" s="18"/>
      <c r="Z406" s="8"/>
    </row>
    <row r="407">
      <c r="A407" s="8" t="b">
        <v>0</v>
      </c>
      <c r="B407" s="8"/>
      <c r="C407" s="21"/>
      <c r="D407" s="21"/>
      <c r="E407" s="8"/>
      <c r="F407" s="8"/>
      <c r="G407" s="8"/>
      <c r="H407" s="18"/>
      <c r="I407" s="38"/>
      <c r="J407" s="18"/>
      <c r="Z407" s="8"/>
    </row>
    <row r="408">
      <c r="A408" s="8" t="b">
        <v>0</v>
      </c>
      <c r="B408" s="8"/>
      <c r="C408" s="21"/>
      <c r="D408" s="21"/>
      <c r="E408" s="8"/>
      <c r="F408" s="8"/>
      <c r="G408" s="8"/>
      <c r="H408" s="18"/>
      <c r="I408" s="38"/>
      <c r="J408" s="18"/>
      <c r="Z408" s="8"/>
    </row>
    <row r="409">
      <c r="A409" s="8" t="b">
        <v>0</v>
      </c>
      <c r="B409" s="8"/>
      <c r="C409" s="21"/>
      <c r="D409" s="21"/>
      <c r="E409" s="8"/>
      <c r="F409" s="8"/>
      <c r="G409" s="8"/>
      <c r="H409" s="18"/>
      <c r="I409" s="38"/>
      <c r="J409" s="18"/>
      <c r="Z409" s="8"/>
    </row>
    <row r="410">
      <c r="A410" s="8" t="b">
        <v>0</v>
      </c>
      <c r="B410" s="8"/>
      <c r="C410" s="21"/>
      <c r="D410" s="21"/>
      <c r="E410" s="8"/>
      <c r="F410" s="8"/>
      <c r="G410" s="8"/>
      <c r="H410" s="18"/>
      <c r="I410" s="38"/>
      <c r="J410" s="18"/>
      <c r="Z410" s="8"/>
    </row>
    <row r="411">
      <c r="A411" s="8" t="b">
        <v>0</v>
      </c>
      <c r="B411" s="8"/>
      <c r="C411" s="21"/>
      <c r="D411" s="21"/>
      <c r="E411" s="8"/>
      <c r="F411" s="8"/>
      <c r="G411" s="8"/>
      <c r="H411" s="18"/>
      <c r="I411" s="38"/>
      <c r="J411" s="18"/>
      <c r="Z411" s="8"/>
    </row>
    <row r="412">
      <c r="A412" s="8" t="b">
        <v>0</v>
      </c>
      <c r="B412" s="8"/>
      <c r="C412" s="21"/>
      <c r="D412" s="21"/>
      <c r="E412" s="8"/>
      <c r="F412" s="8"/>
      <c r="G412" s="8"/>
      <c r="H412" s="18"/>
      <c r="I412" s="38"/>
      <c r="J412" s="18"/>
      <c r="Z412" s="8"/>
    </row>
    <row r="413">
      <c r="A413" s="8" t="b">
        <v>0</v>
      </c>
      <c r="B413" s="8"/>
      <c r="C413" s="21"/>
      <c r="D413" s="21"/>
      <c r="E413" s="8"/>
      <c r="F413" s="8"/>
      <c r="G413" s="8"/>
      <c r="H413" s="18"/>
      <c r="I413" s="38"/>
      <c r="J413" s="18"/>
      <c r="Z413" s="8"/>
    </row>
    <row r="414">
      <c r="A414" s="8" t="b">
        <v>0</v>
      </c>
      <c r="B414" s="8"/>
      <c r="C414" s="21"/>
      <c r="D414" s="21"/>
      <c r="E414" s="8"/>
      <c r="F414" s="8"/>
      <c r="G414" s="8"/>
      <c r="H414" s="18"/>
      <c r="I414" s="38"/>
      <c r="J414" s="18"/>
      <c r="Z414" s="8"/>
    </row>
    <row r="415">
      <c r="A415" s="8" t="b">
        <v>0</v>
      </c>
      <c r="B415" s="8"/>
      <c r="C415" s="21"/>
      <c r="D415" s="21"/>
      <c r="E415" s="8"/>
      <c r="F415" s="8"/>
      <c r="G415" s="8"/>
      <c r="H415" s="18"/>
      <c r="I415" s="38"/>
      <c r="J415" s="18"/>
      <c r="Z415" s="8"/>
    </row>
    <row r="416">
      <c r="A416" s="8" t="b">
        <v>0</v>
      </c>
      <c r="B416" s="8"/>
      <c r="C416" s="21"/>
      <c r="D416" s="21"/>
      <c r="E416" s="8"/>
      <c r="F416" s="8"/>
      <c r="G416" s="8"/>
      <c r="H416" s="18"/>
      <c r="I416" s="38"/>
      <c r="J416" s="18"/>
      <c r="Z416" s="8"/>
    </row>
    <row r="417">
      <c r="A417" s="8" t="b">
        <v>0</v>
      </c>
      <c r="B417" s="8"/>
      <c r="C417" s="21"/>
      <c r="D417" s="21"/>
      <c r="E417" s="8"/>
      <c r="F417" s="8"/>
      <c r="G417" s="8"/>
      <c r="H417" s="18"/>
      <c r="I417" s="38"/>
      <c r="J417" s="18"/>
      <c r="Z417" s="8"/>
    </row>
    <row r="418">
      <c r="A418" s="8" t="b">
        <v>0</v>
      </c>
      <c r="B418" s="8"/>
      <c r="C418" s="21"/>
      <c r="D418" s="21"/>
      <c r="E418" s="8"/>
      <c r="F418" s="8"/>
      <c r="G418" s="8"/>
      <c r="H418" s="18"/>
      <c r="I418" s="38"/>
      <c r="J418" s="18"/>
      <c r="Z418" s="8"/>
    </row>
    <row r="419">
      <c r="A419" s="8" t="b">
        <v>0</v>
      </c>
      <c r="B419" s="8"/>
      <c r="C419" s="21"/>
      <c r="D419" s="21"/>
      <c r="E419" s="8"/>
      <c r="F419" s="8"/>
      <c r="G419" s="8"/>
      <c r="H419" s="18"/>
      <c r="I419" s="38"/>
      <c r="J419" s="18"/>
      <c r="Z419" s="8"/>
    </row>
    <row r="420">
      <c r="A420" s="8" t="b">
        <v>0</v>
      </c>
      <c r="B420" s="8"/>
      <c r="C420" s="21"/>
      <c r="D420" s="21"/>
      <c r="E420" s="8"/>
      <c r="F420" s="8"/>
      <c r="G420" s="8"/>
      <c r="H420" s="18"/>
      <c r="I420" s="38"/>
      <c r="J420" s="18"/>
      <c r="Z420" s="8"/>
    </row>
    <row r="421">
      <c r="A421" s="8" t="b">
        <v>0</v>
      </c>
      <c r="B421" s="8"/>
      <c r="C421" s="21"/>
      <c r="D421" s="21"/>
      <c r="E421" s="8"/>
      <c r="F421" s="8"/>
      <c r="G421" s="8"/>
      <c r="H421" s="18"/>
      <c r="I421" s="38"/>
      <c r="J421" s="18"/>
      <c r="Z421" s="8"/>
    </row>
    <row r="422">
      <c r="A422" s="8" t="b">
        <v>0</v>
      </c>
      <c r="B422" s="8"/>
      <c r="C422" s="21"/>
      <c r="D422" s="21"/>
      <c r="E422" s="8"/>
      <c r="F422" s="8"/>
      <c r="G422" s="8"/>
      <c r="H422" s="18"/>
      <c r="I422" s="38"/>
      <c r="J422" s="18"/>
      <c r="Z422" s="8"/>
    </row>
    <row r="423">
      <c r="A423" s="8" t="b">
        <v>0</v>
      </c>
      <c r="B423" s="8"/>
      <c r="C423" s="21"/>
      <c r="D423" s="21"/>
      <c r="E423" s="8"/>
      <c r="F423" s="8"/>
      <c r="G423" s="8"/>
      <c r="H423" s="18"/>
      <c r="I423" s="38"/>
      <c r="J423" s="18"/>
      <c r="Z423" s="8"/>
    </row>
    <row r="424">
      <c r="A424" s="8" t="b">
        <v>0</v>
      </c>
      <c r="B424" s="8"/>
      <c r="C424" s="21"/>
      <c r="D424" s="21"/>
      <c r="E424" s="8"/>
      <c r="F424" s="8"/>
      <c r="G424" s="8"/>
      <c r="H424" s="18"/>
      <c r="I424" s="38"/>
      <c r="J424" s="18"/>
      <c r="Z424" s="8"/>
    </row>
    <row r="425">
      <c r="A425" s="8" t="b">
        <v>0</v>
      </c>
      <c r="B425" s="8"/>
      <c r="C425" s="21"/>
      <c r="D425" s="21"/>
      <c r="E425" s="8"/>
      <c r="F425" s="8"/>
      <c r="G425" s="8"/>
      <c r="H425" s="18"/>
      <c r="I425" s="38"/>
      <c r="J425" s="18"/>
      <c r="Z425" s="8"/>
    </row>
    <row r="426">
      <c r="A426" s="8" t="b">
        <v>0</v>
      </c>
      <c r="B426" s="8"/>
      <c r="C426" s="21"/>
      <c r="D426" s="21"/>
      <c r="E426" s="8"/>
      <c r="F426" s="8"/>
      <c r="G426" s="8"/>
      <c r="H426" s="18"/>
      <c r="I426" s="38"/>
      <c r="J426" s="18"/>
      <c r="Z426" s="8"/>
    </row>
    <row r="427">
      <c r="A427" s="8" t="b">
        <v>0</v>
      </c>
      <c r="B427" s="8"/>
      <c r="C427" s="21"/>
      <c r="D427" s="21"/>
      <c r="E427" s="8"/>
      <c r="F427" s="8"/>
      <c r="G427" s="8"/>
      <c r="H427" s="18"/>
      <c r="I427" s="38"/>
      <c r="J427" s="18"/>
      <c r="Z427" s="8"/>
    </row>
    <row r="428">
      <c r="A428" s="8" t="b">
        <v>0</v>
      </c>
      <c r="B428" s="8"/>
      <c r="C428" s="21"/>
      <c r="D428" s="21"/>
      <c r="E428" s="8"/>
      <c r="F428" s="8"/>
      <c r="G428" s="8"/>
      <c r="H428" s="18"/>
      <c r="I428" s="38"/>
      <c r="J428" s="18"/>
      <c r="Z428" s="8"/>
    </row>
    <row r="429">
      <c r="A429" s="8" t="b">
        <v>0</v>
      </c>
      <c r="B429" s="8"/>
      <c r="C429" s="21"/>
      <c r="D429" s="21"/>
      <c r="E429" s="8"/>
      <c r="F429" s="8"/>
      <c r="G429" s="8"/>
      <c r="H429" s="18"/>
      <c r="I429" s="38"/>
      <c r="J429" s="18"/>
      <c r="Z429" s="8"/>
    </row>
    <row r="430">
      <c r="A430" s="8" t="b">
        <v>0</v>
      </c>
      <c r="B430" s="8"/>
      <c r="C430" s="21"/>
      <c r="D430" s="21"/>
      <c r="E430" s="8"/>
      <c r="F430" s="8"/>
      <c r="G430" s="8"/>
      <c r="H430" s="18"/>
      <c r="I430" s="38"/>
      <c r="J430" s="18"/>
      <c r="Z430" s="8"/>
    </row>
    <row r="431">
      <c r="A431" s="8" t="b">
        <v>0</v>
      </c>
      <c r="B431" s="8"/>
      <c r="C431" s="21"/>
      <c r="D431" s="21"/>
      <c r="E431" s="8"/>
      <c r="F431" s="8"/>
      <c r="G431" s="8"/>
      <c r="H431" s="18"/>
      <c r="I431" s="38"/>
      <c r="J431" s="18"/>
      <c r="Z431" s="8"/>
    </row>
    <row r="432">
      <c r="A432" s="8" t="b">
        <v>0</v>
      </c>
      <c r="B432" s="8"/>
      <c r="C432" s="21"/>
      <c r="D432" s="21"/>
      <c r="E432" s="8"/>
      <c r="F432" s="8"/>
      <c r="G432" s="8"/>
      <c r="H432" s="18"/>
      <c r="I432" s="38"/>
      <c r="J432" s="18"/>
      <c r="Z432" s="8"/>
    </row>
    <row r="433">
      <c r="A433" s="8" t="b">
        <v>0</v>
      </c>
      <c r="B433" s="8"/>
      <c r="C433" s="21"/>
      <c r="D433" s="21"/>
      <c r="E433" s="8"/>
      <c r="F433" s="8"/>
      <c r="G433" s="8"/>
      <c r="H433" s="18"/>
      <c r="I433" s="38"/>
      <c r="J433" s="18"/>
      <c r="Z433" s="8"/>
    </row>
    <row r="434">
      <c r="A434" s="8" t="b">
        <v>0</v>
      </c>
      <c r="B434" s="8"/>
      <c r="C434" s="21"/>
      <c r="D434" s="21"/>
      <c r="E434" s="8"/>
      <c r="F434" s="8"/>
      <c r="G434" s="8"/>
      <c r="H434" s="18"/>
      <c r="I434" s="38"/>
      <c r="J434" s="18"/>
      <c r="Z434" s="8"/>
    </row>
    <row r="435">
      <c r="A435" s="8" t="b">
        <v>0</v>
      </c>
      <c r="B435" s="8"/>
      <c r="C435" s="21"/>
      <c r="D435" s="21"/>
      <c r="E435" s="8"/>
      <c r="F435" s="8"/>
      <c r="G435" s="8"/>
      <c r="H435" s="18"/>
      <c r="I435" s="38"/>
      <c r="J435" s="18"/>
      <c r="Z435" s="8"/>
    </row>
    <row r="436">
      <c r="A436" s="8" t="b">
        <v>0</v>
      </c>
      <c r="B436" s="8"/>
      <c r="C436" s="21"/>
      <c r="D436" s="21"/>
      <c r="E436" s="8"/>
      <c r="F436" s="8"/>
      <c r="G436" s="8"/>
      <c r="H436" s="18"/>
      <c r="I436" s="38"/>
      <c r="J436" s="18"/>
      <c r="Z436" s="8"/>
    </row>
    <row r="437">
      <c r="A437" s="8" t="b">
        <v>0</v>
      </c>
      <c r="B437" s="8"/>
      <c r="C437" s="21"/>
      <c r="D437" s="21"/>
      <c r="E437" s="8"/>
      <c r="F437" s="8"/>
      <c r="G437" s="8"/>
      <c r="H437" s="18"/>
      <c r="I437" s="38"/>
      <c r="J437" s="18"/>
      <c r="Z437" s="8"/>
    </row>
    <row r="438">
      <c r="A438" s="8" t="b">
        <v>0</v>
      </c>
      <c r="B438" s="8"/>
      <c r="C438" s="21"/>
      <c r="D438" s="21"/>
      <c r="E438" s="8"/>
      <c r="F438" s="8"/>
      <c r="G438" s="8"/>
      <c r="H438" s="18"/>
      <c r="I438" s="38"/>
      <c r="J438" s="18"/>
      <c r="Z438" s="8"/>
    </row>
    <row r="439">
      <c r="A439" s="8" t="b">
        <v>0</v>
      </c>
      <c r="B439" s="8"/>
      <c r="C439" s="21"/>
      <c r="D439" s="21"/>
      <c r="E439" s="8"/>
      <c r="F439" s="8"/>
      <c r="G439" s="8"/>
      <c r="H439" s="18"/>
      <c r="I439" s="38"/>
      <c r="J439" s="18"/>
      <c r="Z439" s="8"/>
    </row>
    <row r="440">
      <c r="A440" s="8" t="b">
        <v>0</v>
      </c>
      <c r="B440" s="8"/>
      <c r="C440" s="21"/>
      <c r="D440" s="21"/>
      <c r="E440" s="8"/>
      <c r="F440" s="8"/>
      <c r="G440" s="8"/>
      <c r="H440" s="18"/>
      <c r="I440" s="38"/>
      <c r="J440" s="18"/>
      <c r="Z440" s="8"/>
    </row>
    <row r="441">
      <c r="A441" s="8" t="b">
        <v>0</v>
      </c>
      <c r="B441" s="8"/>
      <c r="C441" s="21"/>
      <c r="D441" s="21"/>
      <c r="E441" s="8"/>
      <c r="F441" s="8"/>
      <c r="G441" s="8"/>
      <c r="H441" s="18"/>
      <c r="I441" s="38"/>
      <c r="J441" s="18"/>
      <c r="Z441" s="8"/>
    </row>
    <row r="442">
      <c r="A442" s="8" t="b">
        <v>0</v>
      </c>
      <c r="B442" s="8"/>
      <c r="C442" s="21"/>
      <c r="D442" s="21"/>
      <c r="E442" s="8"/>
      <c r="F442" s="8"/>
      <c r="G442" s="8"/>
      <c r="H442" s="18"/>
      <c r="I442" s="38"/>
      <c r="J442" s="18"/>
      <c r="Z442" s="8"/>
    </row>
    <row r="443">
      <c r="A443" s="8" t="b">
        <v>0</v>
      </c>
      <c r="B443" s="8"/>
      <c r="C443" s="21"/>
      <c r="D443" s="21"/>
      <c r="E443" s="8"/>
      <c r="F443" s="8"/>
      <c r="G443" s="8"/>
      <c r="H443" s="18"/>
      <c r="I443" s="38"/>
      <c r="J443" s="18"/>
      <c r="Z443" s="8"/>
    </row>
    <row r="444">
      <c r="A444" s="8" t="b">
        <v>0</v>
      </c>
      <c r="B444" s="8"/>
      <c r="C444" s="21"/>
      <c r="D444" s="21"/>
      <c r="E444" s="8"/>
      <c r="F444" s="8"/>
      <c r="G444" s="8"/>
      <c r="H444" s="18"/>
      <c r="I444" s="38"/>
      <c r="J444" s="18"/>
      <c r="Z444" s="8"/>
    </row>
    <row r="445">
      <c r="A445" s="8" t="b">
        <v>0</v>
      </c>
      <c r="B445" s="8"/>
      <c r="C445" s="21"/>
      <c r="D445" s="21"/>
      <c r="E445" s="8"/>
      <c r="F445" s="8"/>
      <c r="G445" s="8"/>
      <c r="H445" s="18"/>
      <c r="I445" s="38"/>
      <c r="J445" s="18"/>
      <c r="Z445" s="8"/>
    </row>
    <row r="446">
      <c r="A446" s="8" t="b">
        <v>0</v>
      </c>
      <c r="B446" s="8"/>
      <c r="C446" s="21"/>
      <c r="D446" s="21"/>
      <c r="E446" s="8"/>
      <c r="F446" s="8"/>
      <c r="G446" s="8"/>
      <c r="H446" s="18"/>
      <c r="I446" s="38"/>
      <c r="J446" s="18"/>
      <c r="Z446" s="8"/>
    </row>
    <row r="447">
      <c r="A447" s="8" t="b">
        <v>0</v>
      </c>
      <c r="B447" s="8"/>
      <c r="C447" s="21"/>
      <c r="D447" s="21"/>
      <c r="E447" s="8"/>
      <c r="F447" s="8"/>
      <c r="G447" s="8"/>
      <c r="H447" s="18"/>
      <c r="I447" s="38"/>
      <c r="J447" s="18"/>
      <c r="Z447" s="8"/>
    </row>
    <row r="448">
      <c r="A448" s="8" t="b">
        <v>0</v>
      </c>
      <c r="B448" s="8"/>
      <c r="C448" s="21"/>
      <c r="D448" s="21"/>
      <c r="E448" s="8"/>
      <c r="F448" s="8"/>
      <c r="G448" s="8"/>
      <c r="H448" s="18"/>
      <c r="I448" s="38"/>
      <c r="J448" s="18"/>
      <c r="Z448" s="8"/>
    </row>
    <row r="449">
      <c r="A449" s="8" t="b">
        <v>0</v>
      </c>
      <c r="B449" s="8"/>
      <c r="C449" s="21"/>
      <c r="D449" s="21"/>
      <c r="E449" s="8"/>
      <c r="F449" s="8"/>
      <c r="G449" s="8"/>
      <c r="H449" s="18"/>
      <c r="I449" s="38"/>
      <c r="J449" s="18"/>
      <c r="Z449" s="8"/>
    </row>
    <row r="450">
      <c r="A450" s="8" t="b">
        <v>0</v>
      </c>
      <c r="B450" s="8"/>
      <c r="C450" s="21"/>
      <c r="D450" s="21"/>
      <c r="E450" s="8"/>
      <c r="F450" s="8"/>
      <c r="G450" s="8"/>
      <c r="H450" s="18"/>
      <c r="I450" s="38"/>
      <c r="J450" s="18"/>
      <c r="Z450" s="8"/>
    </row>
    <row r="451">
      <c r="A451" s="8" t="b">
        <v>0</v>
      </c>
      <c r="B451" s="8"/>
      <c r="C451" s="21"/>
      <c r="D451" s="21"/>
      <c r="E451" s="8"/>
      <c r="F451" s="8"/>
      <c r="G451" s="8"/>
      <c r="H451" s="18"/>
      <c r="I451" s="38"/>
      <c r="J451" s="18"/>
      <c r="Z451" s="8"/>
    </row>
    <row r="452">
      <c r="A452" s="8" t="b">
        <v>0</v>
      </c>
      <c r="B452" s="8"/>
      <c r="C452" s="21"/>
      <c r="D452" s="21"/>
      <c r="E452" s="8"/>
      <c r="F452" s="8"/>
      <c r="G452" s="8"/>
      <c r="H452" s="18"/>
      <c r="I452" s="38"/>
      <c r="J452" s="18"/>
      <c r="Z452" s="8"/>
    </row>
    <row r="453">
      <c r="A453" s="8" t="b">
        <v>0</v>
      </c>
      <c r="B453" s="8"/>
      <c r="C453" s="21"/>
      <c r="D453" s="21"/>
      <c r="E453" s="8"/>
      <c r="F453" s="8"/>
      <c r="G453" s="8"/>
      <c r="H453" s="18"/>
      <c r="I453" s="38"/>
      <c r="J453" s="18"/>
      <c r="Z453" s="8"/>
    </row>
    <row r="454">
      <c r="A454" s="8" t="b">
        <v>0</v>
      </c>
      <c r="B454" s="8"/>
      <c r="C454" s="21"/>
      <c r="D454" s="21"/>
      <c r="E454" s="8"/>
      <c r="F454" s="8"/>
      <c r="G454" s="8"/>
      <c r="H454" s="18"/>
      <c r="I454" s="38"/>
      <c r="J454" s="18"/>
      <c r="Z454" s="8"/>
    </row>
    <row r="455">
      <c r="A455" s="8" t="b">
        <v>0</v>
      </c>
      <c r="B455" s="8"/>
      <c r="C455" s="21"/>
      <c r="D455" s="21"/>
      <c r="E455" s="8"/>
      <c r="F455" s="8"/>
      <c r="G455" s="8"/>
      <c r="H455" s="18"/>
      <c r="I455" s="38"/>
      <c r="J455" s="18"/>
      <c r="Z455" s="8"/>
    </row>
    <row r="456">
      <c r="A456" s="8" t="b">
        <v>0</v>
      </c>
      <c r="B456" s="8"/>
      <c r="C456" s="21"/>
      <c r="D456" s="21"/>
      <c r="E456" s="8"/>
      <c r="F456" s="8"/>
      <c r="G456" s="8"/>
      <c r="H456" s="18"/>
      <c r="I456" s="38"/>
      <c r="J456" s="18"/>
      <c r="Z456" s="8"/>
    </row>
    <row r="457">
      <c r="A457" s="8" t="b">
        <v>0</v>
      </c>
      <c r="B457" s="8"/>
      <c r="C457" s="21"/>
      <c r="D457" s="21"/>
      <c r="E457" s="8"/>
      <c r="F457" s="8"/>
      <c r="G457" s="8"/>
      <c r="H457" s="18"/>
      <c r="I457" s="38"/>
      <c r="J457" s="18"/>
      <c r="Z457" s="8"/>
    </row>
    <row r="458">
      <c r="A458" s="8" t="b">
        <v>0</v>
      </c>
      <c r="B458" s="8"/>
      <c r="C458" s="21"/>
      <c r="D458" s="21"/>
      <c r="E458" s="8"/>
      <c r="F458" s="8"/>
      <c r="G458" s="8"/>
      <c r="H458" s="18"/>
      <c r="I458" s="38"/>
      <c r="J458" s="18"/>
      <c r="Z458" s="8"/>
    </row>
    <row r="459">
      <c r="A459" s="8" t="b">
        <v>0</v>
      </c>
      <c r="B459" s="8"/>
      <c r="C459" s="21"/>
      <c r="D459" s="21"/>
      <c r="E459" s="8"/>
      <c r="F459" s="8"/>
      <c r="G459" s="8"/>
      <c r="H459" s="18"/>
      <c r="I459" s="38"/>
      <c r="J459" s="18"/>
      <c r="Z459" s="8"/>
    </row>
    <row r="460">
      <c r="A460" s="8" t="b">
        <v>0</v>
      </c>
      <c r="B460" s="8"/>
      <c r="C460" s="21"/>
      <c r="D460" s="21"/>
      <c r="E460" s="8"/>
      <c r="F460" s="8"/>
      <c r="G460" s="8"/>
      <c r="H460" s="18"/>
      <c r="I460" s="38"/>
      <c r="J460" s="18"/>
      <c r="Z460" s="8"/>
    </row>
    <row r="461">
      <c r="A461" s="8" t="b">
        <v>0</v>
      </c>
      <c r="B461" s="8"/>
      <c r="C461" s="21"/>
      <c r="D461" s="21"/>
      <c r="E461" s="8"/>
      <c r="F461" s="8"/>
      <c r="G461" s="8"/>
      <c r="H461" s="18"/>
      <c r="I461" s="38"/>
      <c r="J461" s="18"/>
      <c r="Z461" s="8"/>
    </row>
    <row r="462">
      <c r="A462" s="8" t="b">
        <v>0</v>
      </c>
      <c r="B462" s="8"/>
      <c r="C462" s="21"/>
      <c r="D462" s="21"/>
      <c r="E462" s="8"/>
      <c r="F462" s="8"/>
      <c r="G462" s="8"/>
      <c r="H462" s="18"/>
      <c r="I462" s="38"/>
      <c r="J462" s="18"/>
      <c r="Z462" s="8"/>
    </row>
    <row r="463">
      <c r="A463" s="8" t="b">
        <v>0</v>
      </c>
      <c r="B463" s="8"/>
      <c r="C463" s="21"/>
      <c r="D463" s="21"/>
      <c r="E463" s="8"/>
      <c r="F463" s="8"/>
      <c r="G463" s="8"/>
      <c r="H463" s="18"/>
      <c r="I463" s="38"/>
      <c r="J463" s="18"/>
      <c r="Z463" s="8"/>
    </row>
    <row r="464">
      <c r="A464" s="8" t="b">
        <v>0</v>
      </c>
      <c r="B464" s="8"/>
      <c r="C464" s="21"/>
      <c r="D464" s="21"/>
      <c r="E464" s="8"/>
      <c r="F464" s="8"/>
      <c r="G464" s="8"/>
      <c r="H464" s="18"/>
      <c r="I464" s="38"/>
      <c r="J464" s="18"/>
      <c r="Z464" s="8"/>
    </row>
    <row r="465">
      <c r="A465" s="8" t="b">
        <v>0</v>
      </c>
      <c r="B465" s="8"/>
      <c r="C465" s="21"/>
      <c r="D465" s="21"/>
      <c r="E465" s="8"/>
      <c r="F465" s="8"/>
      <c r="G465" s="8"/>
      <c r="H465" s="18"/>
      <c r="I465" s="38"/>
      <c r="J465" s="18"/>
      <c r="Z465" s="8"/>
    </row>
    <row r="466">
      <c r="A466" s="8" t="b">
        <v>0</v>
      </c>
      <c r="B466" s="8"/>
      <c r="C466" s="21"/>
      <c r="D466" s="21"/>
      <c r="E466" s="8"/>
      <c r="F466" s="8"/>
      <c r="G466" s="8"/>
      <c r="H466" s="18"/>
      <c r="I466" s="38"/>
      <c r="J466" s="18"/>
      <c r="Z466" s="8"/>
    </row>
    <row r="467">
      <c r="A467" s="8" t="b">
        <v>0</v>
      </c>
      <c r="B467" s="8"/>
      <c r="C467" s="21"/>
      <c r="D467" s="21"/>
      <c r="E467" s="8"/>
      <c r="F467" s="8"/>
      <c r="G467" s="8"/>
      <c r="H467" s="18"/>
      <c r="I467" s="38"/>
      <c r="J467" s="18"/>
      <c r="Z467" s="8"/>
    </row>
    <row r="468">
      <c r="A468" s="8" t="b">
        <v>0</v>
      </c>
      <c r="B468" s="8"/>
      <c r="C468" s="21"/>
      <c r="D468" s="21"/>
      <c r="E468" s="8"/>
      <c r="F468" s="8"/>
      <c r="G468" s="8"/>
      <c r="H468" s="18"/>
      <c r="I468" s="38"/>
      <c r="J468" s="18"/>
      <c r="Z468" s="8"/>
    </row>
    <row r="469">
      <c r="A469" s="8" t="b">
        <v>0</v>
      </c>
      <c r="B469" s="8"/>
      <c r="C469" s="21"/>
      <c r="D469" s="21"/>
      <c r="E469" s="8"/>
      <c r="F469" s="8"/>
      <c r="G469" s="8"/>
      <c r="H469" s="18"/>
      <c r="I469" s="38"/>
      <c r="J469" s="18"/>
      <c r="Z469" s="8"/>
    </row>
    <row r="470">
      <c r="A470" s="8" t="b">
        <v>0</v>
      </c>
      <c r="B470" s="8"/>
      <c r="C470" s="21"/>
      <c r="D470" s="21"/>
      <c r="E470" s="8"/>
      <c r="F470" s="8"/>
      <c r="G470" s="8"/>
      <c r="H470" s="18"/>
      <c r="I470" s="38"/>
      <c r="J470" s="18"/>
      <c r="Z470" s="8"/>
    </row>
    <row r="471">
      <c r="A471" s="8" t="b">
        <v>0</v>
      </c>
      <c r="B471" s="8"/>
      <c r="C471" s="21"/>
      <c r="D471" s="21"/>
      <c r="E471" s="8"/>
      <c r="F471" s="8"/>
      <c r="G471" s="8"/>
      <c r="H471" s="18"/>
      <c r="I471" s="38"/>
      <c r="J471" s="18"/>
      <c r="Z471" s="8"/>
    </row>
    <row r="472">
      <c r="A472" s="8" t="b">
        <v>0</v>
      </c>
      <c r="B472" s="8"/>
      <c r="C472" s="21"/>
      <c r="D472" s="21"/>
      <c r="E472" s="8"/>
      <c r="F472" s="8"/>
      <c r="G472" s="8"/>
      <c r="H472" s="18"/>
      <c r="I472" s="38"/>
      <c r="J472" s="18"/>
      <c r="Z472" s="8"/>
    </row>
    <row r="473">
      <c r="A473" s="8" t="b">
        <v>0</v>
      </c>
      <c r="B473" s="8"/>
      <c r="C473" s="21"/>
      <c r="D473" s="21"/>
      <c r="E473" s="8"/>
      <c r="F473" s="8"/>
      <c r="G473" s="8"/>
      <c r="H473" s="18"/>
      <c r="I473" s="38"/>
      <c r="J473" s="18"/>
      <c r="Z473" s="8"/>
    </row>
    <row r="474">
      <c r="A474" s="8" t="b">
        <v>0</v>
      </c>
      <c r="B474" s="8"/>
      <c r="C474" s="21"/>
      <c r="D474" s="21"/>
      <c r="E474" s="8"/>
      <c r="F474" s="8"/>
      <c r="G474" s="8"/>
      <c r="H474" s="18"/>
      <c r="I474" s="38"/>
      <c r="J474" s="18"/>
      <c r="Z474" s="8"/>
    </row>
    <row r="475">
      <c r="A475" s="8" t="b">
        <v>0</v>
      </c>
      <c r="B475" s="8"/>
      <c r="C475" s="21"/>
      <c r="D475" s="21"/>
      <c r="E475" s="8"/>
      <c r="F475" s="8"/>
      <c r="G475" s="8"/>
      <c r="H475" s="18"/>
      <c r="I475" s="38"/>
      <c r="J475" s="18"/>
      <c r="Z475" s="8"/>
    </row>
    <row r="476">
      <c r="A476" s="8" t="b">
        <v>0</v>
      </c>
      <c r="B476" s="8"/>
      <c r="C476" s="21"/>
      <c r="D476" s="21"/>
      <c r="E476" s="8"/>
      <c r="F476" s="8"/>
      <c r="G476" s="8"/>
      <c r="H476" s="18"/>
      <c r="I476" s="38"/>
      <c r="J476" s="18"/>
      <c r="Z476" s="8"/>
    </row>
    <row r="477">
      <c r="A477" s="8" t="b">
        <v>0</v>
      </c>
      <c r="B477" s="8"/>
      <c r="C477" s="21"/>
      <c r="D477" s="21"/>
      <c r="E477" s="8"/>
      <c r="F477" s="8"/>
      <c r="G477" s="8"/>
      <c r="H477" s="18"/>
      <c r="I477" s="38"/>
      <c r="J477" s="18"/>
      <c r="Z477" s="8"/>
    </row>
    <row r="478">
      <c r="A478" s="8" t="b">
        <v>0</v>
      </c>
      <c r="B478" s="8"/>
      <c r="C478" s="21"/>
      <c r="D478" s="21"/>
      <c r="E478" s="8"/>
      <c r="F478" s="8"/>
      <c r="G478" s="8"/>
      <c r="H478" s="18"/>
      <c r="I478" s="38"/>
      <c r="J478" s="18"/>
      <c r="Z478" s="8"/>
    </row>
    <row r="479">
      <c r="A479" s="8" t="b">
        <v>0</v>
      </c>
      <c r="B479" s="8"/>
      <c r="C479" s="21"/>
      <c r="D479" s="21"/>
      <c r="E479" s="8"/>
      <c r="F479" s="8"/>
      <c r="G479" s="8"/>
      <c r="H479" s="18"/>
      <c r="I479" s="38"/>
      <c r="J479" s="18"/>
      <c r="Z479" s="8"/>
    </row>
    <row r="480">
      <c r="A480" s="8" t="b">
        <v>0</v>
      </c>
      <c r="B480" s="8"/>
      <c r="C480" s="21"/>
      <c r="D480" s="21"/>
      <c r="E480" s="8"/>
      <c r="F480" s="8"/>
      <c r="G480" s="8"/>
      <c r="H480" s="18"/>
      <c r="I480" s="38"/>
      <c r="J480" s="18"/>
      <c r="Z480" s="8"/>
    </row>
    <row r="481">
      <c r="A481" s="8" t="b">
        <v>0</v>
      </c>
      <c r="B481" s="8"/>
      <c r="C481" s="21"/>
      <c r="D481" s="21"/>
      <c r="E481" s="8"/>
      <c r="F481" s="8"/>
      <c r="G481" s="8"/>
      <c r="H481" s="18"/>
      <c r="I481" s="38"/>
      <c r="J481" s="18"/>
      <c r="Z481" s="8"/>
    </row>
    <row r="482">
      <c r="A482" s="8" t="b">
        <v>0</v>
      </c>
      <c r="B482" s="8"/>
      <c r="C482" s="21"/>
      <c r="D482" s="21"/>
      <c r="E482" s="8"/>
      <c r="F482" s="8"/>
      <c r="G482" s="8"/>
      <c r="H482" s="18"/>
      <c r="I482" s="38"/>
      <c r="J482" s="18"/>
      <c r="Z482" s="8"/>
    </row>
    <row r="483">
      <c r="A483" s="8" t="b">
        <v>0</v>
      </c>
      <c r="B483" s="8"/>
      <c r="C483" s="21"/>
      <c r="D483" s="21"/>
      <c r="E483" s="8"/>
      <c r="F483" s="8"/>
      <c r="G483" s="8"/>
      <c r="H483" s="18"/>
      <c r="I483" s="38"/>
      <c r="J483" s="18"/>
      <c r="Z483" s="8"/>
    </row>
    <row r="484">
      <c r="A484" s="8" t="b">
        <v>0</v>
      </c>
      <c r="B484" s="8"/>
      <c r="C484" s="21"/>
      <c r="D484" s="21"/>
      <c r="E484" s="8"/>
      <c r="F484" s="8"/>
      <c r="G484" s="8"/>
      <c r="H484" s="18"/>
      <c r="I484" s="38"/>
      <c r="J484" s="18"/>
      <c r="Z484" s="8"/>
    </row>
    <row r="485">
      <c r="A485" s="8" t="b">
        <v>0</v>
      </c>
      <c r="B485" s="8"/>
      <c r="C485" s="21"/>
      <c r="D485" s="21"/>
      <c r="E485" s="8"/>
      <c r="F485" s="8"/>
      <c r="G485" s="8"/>
      <c r="H485" s="18"/>
      <c r="I485" s="38"/>
      <c r="J485" s="18"/>
      <c r="Z485" s="8"/>
    </row>
    <row r="486">
      <c r="A486" s="8" t="b">
        <v>0</v>
      </c>
      <c r="B486" s="8"/>
      <c r="C486" s="21"/>
      <c r="D486" s="21"/>
      <c r="E486" s="8"/>
      <c r="F486" s="8"/>
      <c r="G486" s="8"/>
      <c r="H486" s="18"/>
      <c r="I486" s="38"/>
      <c r="J486" s="18"/>
      <c r="Z486" s="8"/>
    </row>
    <row r="487">
      <c r="A487" s="8" t="b">
        <v>0</v>
      </c>
      <c r="B487" s="8"/>
      <c r="C487" s="21"/>
      <c r="D487" s="21"/>
      <c r="E487" s="8"/>
      <c r="F487" s="8"/>
      <c r="G487" s="8"/>
      <c r="H487" s="18"/>
      <c r="I487" s="38"/>
      <c r="J487" s="18"/>
      <c r="Z487" s="8"/>
    </row>
    <row r="488">
      <c r="A488" s="8" t="b">
        <v>0</v>
      </c>
      <c r="B488" s="8"/>
      <c r="C488" s="21"/>
      <c r="D488" s="21"/>
      <c r="E488" s="8"/>
      <c r="F488" s="8"/>
      <c r="G488" s="8"/>
      <c r="H488" s="18"/>
      <c r="I488" s="38"/>
      <c r="J488" s="18"/>
      <c r="Z488" s="8"/>
    </row>
    <row r="489">
      <c r="A489" s="8" t="b">
        <v>0</v>
      </c>
      <c r="B489" s="8"/>
      <c r="C489" s="21"/>
      <c r="D489" s="21"/>
      <c r="E489" s="8"/>
      <c r="F489" s="8"/>
      <c r="G489" s="8"/>
      <c r="H489" s="18"/>
      <c r="I489" s="38"/>
      <c r="J489" s="18"/>
      <c r="Z489" s="8"/>
    </row>
    <row r="490">
      <c r="A490" s="8" t="b">
        <v>0</v>
      </c>
      <c r="B490" s="8"/>
      <c r="C490" s="21"/>
      <c r="D490" s="21"/>
      <c r="E490" s="8"/>
      <c r="F490" s="8"/>
      <c r="G490" s="8"/>
      <c r="H490" s="18"/>
      <c r="I490" s="38"/>
      <c r="J490" s="18"/>
      <c r="Z490" s="8"/>
    </row>
    <row r="491">
      <c r="A491" s="8" t="b">
        <v>0</v>
      </c>
      <c r="B491" s="8"/>
      <c r="C491" s="21"/>
      <c r="D491" s="21"/>
      <c r="E491" s="8"/>
      <c r="F491" s="8"/>
      <c r="G491" s="8"/>
      <c r="H491" s="18"/>
      <c r="I491" s="38"/>
      <c r="J491" s="18"/>
      <c r="Z491" s="8"/>
    </row>
    <row r="492">
      <c r="A492" s="8" t="b">
        <v>0</v>
      </c>
      <c r="B492" s="8"/>
      <c r="C492" s="21"/>
      <c r="D492" s="21"/>
      <c r="E492" s="8"/>
      <c r="F492" s="8"/>
      <c r="G492" s="8"/>
      <c r="H492" s="18"/>
      <c r="I492" s="38"/>
      <c r="J492" s="18"/>
      <c r="Z492" s="8"/>
    </row>
    <row r="493">
      <c r="A493" s="8" t="b">
        <v>0</v>
      </c>
      <c r="B493" s="8"/>
      <c r="C493" s="21"/>
      <c r="D493" s="21"/>
      <c r="E493" s="8"/>
      <c r="F493" s="8"/>
      <c r="G493" s="8"/>
      <c r="H493" s="18"/>
      <c r="I493" s="38"/>
      <c r="J493" s="18"/>
      <c r="Z493" s="8"/>
    </row>
    <row r="494">
      <c r="A494" s="8" t="b">
        <v>0</v>
      </c>
      <c r="B494" s="8"/>
      <c r="C494" s="21"/>
      <c r="D494" s="21"/>
      <c r="E494" s="8"/>
      <c r="F494" s="8"/>
      <c r="G494" s="8"/>
      <c r="H494" s="18"/>
      <c r="I494" s="38"/>
      <c r="J494" s="18"/>
      <c r="Z494" s="8"/>
    </row>
    <row r="495">
      <c r="A495" s="8" t="b">
        <v>0</v>
      </c>
      <c r="B495" s="8"/>
      <c r="C495" s="21"/>
      <c r="D495" s="21"/>
      <c r="E495" s="8"/>
      <c r="F495" s="8"/>
      <c r="G495" s="8"/>
      <c r="H495" s="18"/>
      <c r="I495" s="38"/>
      <c r="J495" s="18"/>
      <c r="Z495" s="8"/>
    </row>
    <row r="496">
      <c r="A496" s="8" t="b">
        <v>0</v>
      </c>
      <c r="B496" s="8"/>
      <c r="C496" s="21"/>
      <c r="D496" s="21"/>
      <c r="E496" s="8"/>
      <c r="F496" s="8"/>
      <c r="G496" s="8"/>
      <c r="H496" s="18"/>
      <c r="I496" s="38"/>
      <c r="J496" s="18"/>
      <c r="Z496" s="8"/>
    </row>
    <row r="497">
      <c r="A497" s="8" t="b">
        <v>0</v>
      </c>
      <c r="B497" s="8"/>
      <c r="C497" s="21"/>
      <c r="D497" s="21"/>
      <c r="E497" s="8"/>
      <c r="F497" s="8"/>
      <c r="G497" s="8"/>
      <c r="H497" s="18"/>
      <c r="I497" s="38"/>
      <c r="J497" s="18"/>
      <c r="Z497" s="8"/>
    </row>
    <row r="498">
      <c r="A498" s="8" t="b">
        <v>0</v>
      </c>
      <c r="B498" s="8"/>
      <c r="C498" s="21"/>
      <c r="D498" s="21"/>
      <c r="E498" s="8"/>
      <c r="F498" s="8"/>
      <c r="G498" s="8"/>
      <c r="H498" s="18"/>
      <c r="I498" s="38"/>
      <c r="J498" s="18"/>
      <c r="Z498" s="8"/>
    </row>
    <row r="499">
      <c r="A499" s="8" t="b">
        <v>0</v>
      </c>
      <c r="B499" s="8"/>
      <c r="C499" s="21"/>
      <c r="D499" s="21"/>
      <c r="E499" s="8"/>
      <c r="F499" s="8"/>
      <c r="G499" s="8"/>
      <c r="H499" s="18"/>
      <c r="I499" s="38"/>
      <c r="J499" s="18"/>
      <c r="Z499" s="8"/>
    </row>
    <row r="500">
      <c r="A500" s="8" t="b">
        <v>0</v>
      </c>
      <c r="B500" s="8"/>
      <c r="C500" s="21"/>
      <c r="D500" s="21"/>
      <c r="E500" s="8"/>
      <c r="F500" s="8"/>
      <c r="G500" s="8"/>
      <c r="H500" s="18"/>
      <c r="I500" s="38"/>
      <c r="J500" s="18"/>
      <c r="Z500" s="8"/>
    </row>
    <row r="501">
      <c r="A501" s="8" t="b">
        <v>0</v>
      </c>
      <c r="B501" s="8"/>
      <c r="C501" s="21"/>
      <c r="D501" s="21"/>
      <c r="E501" s="8"/>
      <c r="F501" s="8"/>
      <c r="G501" s="8"/>
      <c r="H501" s="18"/>
      <c r="I501" s="38"/>
      <c r="J501" s="18"/>
      <c r="Z501" s="8"/>
    </row>
    <row r="502">
      <c r="A502" s="8" t="b">
        <v>0</v>
      </c>
      <c r="B502" s="8"/>
      <c r="C502" s="21"/>
      <c r="D502" s="21"/>
      <c r="E502" s="8"/>
      <c r="F502" s="8"/>
      <c r="G502" s="8"/>
      <c r="H502" s="18"/>
      <c r="I502" s="38"/>
      <c r="J502" s="18"/>
      <c r="Z502" s="8"/>
    </row>
    <row r="503">
      <c r="A503" s="8" t="b">
        <v>0</v>
      </c>
      <c r="B503" s="8"/>
      <c r="C503" s="21"/>
      <c r="D503" s="21"/>
      <c r="E503" s="8"/>
      <c r="F503" s="8"/>
      <c r="G503" s="8"/>
      <c r="H503" s="18"/>
      <c r="I503" s="38"/>
      <c r="J503" s="18"/>
      <c r="Z503" s="8"/>
    </row>
    <row r="504">
      <c r="A504" s="8" t="b">
        <v>0</v>
      </c>
      <c r="B504" s="8"/>
      <c r="C504" s="21"/>
      <c r="D504" s="21"/>
      <c r="E504" s="8"/>
      <c r="F504" s="8"/>
      <c r="G504" s="8"/>
      <c r="H504" s="18"/>
      <c r="I504" s="38"/>
      <c r="J504" s="18"/>
      <c r="Z504" s="8"/>
    </row>
    <row r="505">
      <c r="A505" s="8" t="b">
        <v>0</v>
      </c>
      <c r="B505" s="8"/>
      <c r="C505" s="21"/>
      <c r="D505" s="21"/>
      <c r="E505" s="8"/>
      <c r="F505" s="8"/>
      <c r="G505" s="8"/>
      <c r="H505" s="18"/>
      <c r="I505" s="38"/>
      <c r="J505" s="18"/>
      <c r="Z505" s="8"/>
    </row>
    <row r="506">
      <c r="A506" s="8" t="b">
        <v>0</v>
      </c>
      <c r="B506" s="8"/>
      <c r="C506" s="21"/>
      <c r="D506" s="21"/>
      <c r="E506" s="8"/>
      <c r="F506" s="8"/>
      <c r="G506" s="8"/>
      <c r="H506" s="18"/>
      <c r="I506" s="38"/>
      <c r="J506" s="18"/>
      <c r="Z506" s="8"/>
    </row>
    <row r="507">
      <c r="A507" s="8" t="b">
        <v>0</v>
      </c>
      <c r="B507" s="8"/>
      <c r="C507" s="21"/>
      <c r="D507" s="21"/>
      <c r="E507" s="8"/>
      <c r="F507" s="8"/>
      <c r="G507" s="8"/>
      <c r="H507" s="18"/>
      <c r="I507" s="38"/>
      <c r="J507" s="18"/>
      <c r="Z507" s="8"/>
    </row>
    <row r="508">
      <c r="A508" s="8" t="b">
        <v>0</v>
      </c>
      <c r="B508" s="8"/>
      <c r="C508" s="21"/>
      <c r="D508" s="21"/>
      <c r="E508" s="8"/>
      <c r="F508" s="8"/>
      <c r="G508" s="8"/>
      <c r="H508" s="18"/>
      <c r="I508" s="38"/>
      <c r="J508" s="18"/>
      <c r="Z508" s="8"/>
    </row>
    <row r="509">
      <c r="A509" s="8" t="b">
        <v>0</v>
      </c>
      <c r="B509" s="8"/>
      <c r="C509" s="21"/>
      <c r="D509" s="21"/>
      <c r="E509" s="8"/>
      <c r="F509" s="8"/>
      <c r="G509" s="8"/>
      <c r="H509" s="18"/>
      <c r="I509" s="38"/>
      <c r="J509" s="18"/>
      <c r="Z509" s="8"/>
    </row>
    <row r="510">
      <c r="A510" s="8" t="b">
        <v>0</v>
      </c>
      <c r="B510" s="8"/>
      <c r="C510" s="21"/>
      <c r="D510" s="21"/>
      <c r="E510" s="8"/>
      <c r="F510" s="8"/>
      <c r="G510" s="8"/>
      <c r="H510" s="18"/>
      <c r="I510" s="38"/>
      <c r="J510" s="18"/>
      <c r="Z510" s="8"/>
    </row>
    <row r="511">
      <c r="A511" s="8" t="b">
        <v>0</v>
      </c>
      <c r="B511" s="8"/>
      <c r="C511" s="21"/>
      <c r="D511" s="21"/>
      <c r="E511" s="8"/>
      <c r="F511" s="8"/>
      <c r="G511" s="8"/>
      <c r="H511" s="18"/>
      <c r="I511" s="38"/>
      <c r="J511" s="18"/>
      <c r="Z511" s="8"/>
    </row>
    <row r="512">
      <c r="A512" s="8" t="b">
        <v>0</v>
      </c>
      <c r="B512" s="8"/>
      <c r="C512" s="21"/>
      <c r="D512" s="21"/>
      <c r="E512" s="8"/>
      <c r="F512" s="8"/>
      <c r="G512" s="8"/>
      <c r="H512" s="18"/>
      <c r="I512" s="38"/>
      <c r="J512" s="18"/>
      <c r="Z512" s="8"/>
    </row>
    <row r="513">
      <c r="A513" s="8" t="b">
        <v>0</v>
      </c>
      <c r="B513" s="8"/>
      <c r="C513" s="21"/>
      <c r="D513" s="21"/>
      <c r="E513" s="8"/>
      <c r="F513" s="8"/>
      <c r="G513" s="8"/>
      <c r="H513" s="18"/>
      <c r="I513" s="38"/>
      <c r="J513" s="18"/>
      <c r="Z513" s="8"/>
    </row>
    <row r="514">
      <c r="A514" s="8" t="b">
        <v>0</v>
      </c>
      <c r="B514" s="8"/>
      <c r="C514" s="21"/>
      <c r="D514" s="21"/>
      <c r="E514" s="8"/>
      <c r="F514" s="8"/>
      <c r="G514" s="8"/>
      <c r="H514" s="18"/>
      <c r="I514" s="38"/>
      <c r="J514" s="18"/>
      <c r="Z514" s="8"/>
    </row>
    <row r="515">
      <c r="A515" s="8" t="b">
        <v>0</v>
      </c>
      <c r="B515" s="8"/>
      <c r="C515" s="21"/>
      <c r="D515" s="21"/>
      <c r="E515" s="8"/>
      <c r="F515" s="8"/>
      <c r="G515" s="8"/>
      <c r="H515" s="18"/>
      <c r="I515" s="38"/>
      <c r="J515" s="18"/>
      <c r="Z515" s="8"/>
    </row>
    <row r="516">
      <c r="A516" s="8" t="b">
        <v>0</v>
      </c>
      <c r="B516" s="8"/>
      <c r="C516" s="21"/>
      <c r="D516" s="21"/>
      <c r="E516" s="8"/>
      <c r="F516" s="8"/>
      <c r="G516" s="8"/>
      <c r="H516" s="18"/>
      <c r="I516" s="38"/>
      <c r="J516" s="18"/>
      <c r="Z516" s="8"/>
    </row>
    <row r="517">
      <c r="A517" s="8" t="b">
        <v>0</v>
      </c>
      <c r="B517" s="8"/>
      <c r="C517" s="21"/>
      <c r="D517" s="21"/>
      <c r="E517" s="8"/>
      <c r="F517" s="8"/>
      <c r="G517" s="8"/>
      <c r="H517" s="18"/>
      <c r="I517" s="38"/>
      <c r="J517" s="18"/>
      <c r="Z517" s="8"/>
    </row>
    <row r="518">
      <c r="A518" s="8" t="b">
        <v>0</v>
      </c>
      <c r="B518" s="8"/>
      <c r="C518" s="21"/>
      <c r="D518" s="21"/>
      <c r="E518" s="8"/>
      <c r="F518" s="8"/>
      <c r="G518" s="8"/>
      <c r="H518" s="18"/>
      <c r="I518" s="38"/>
      <c r="J518" s="18"/>
      <c r="Z518" s="8"/>
    </row>
    <row r="519">
      <c r="A519" s="8" t="b">
        <v>0</v>
      </c>
      <c r="B519" s="8"/>
      <c r="C519" s="21"/>
      <c r="D519" s="21"/>
      <c r="E519" s="8"/>
      <c r="F519" s="8"/>
      <c r="G519" s="8"/>
      <c r="H519" s="18"/>
      <c r="I519" s="38"/>
      <c r="J519" s="18"/>
      <c r="Z519" s="8"/>
    </row>
    <row r="520">
      <c r="A520" s="8" t="b">
        <v>0</v>
      </c>
      <c r="B520" s="8"/>
      <c r="C520" s="21"/>
      <c r="D520" s="21"/>
      <c r="E520" s="8"/>
      <c r="F520" s="8"/>
      <c r="G520" s="8"/>
      <c r="H520" s="18"/>
      <c r="I520" s="38"/>
      <c r="J520" s="18"/>
      <c r="Z520" s="8"/>
    </row>
    <row r="521">
      <c r="A521" s="8" t="b">
        <v>0</v>
      </c>
      <c r="B521" s="8"/>
      <c r="C521" s="21"/>
      <c r="D521" s="21"/>
      <c r="E521" s="8"/>
      <c r="F521" s="8"/>
      <c r="G521" s="8"/>
      <c r="H521" s="18"/>
      <c r="I521" s="38"/>
      <c r="J521" s="18"/>
      <c r="Z521" s="8"/>
    </row>
    <row r="522">
      <c r="A522" s="8" t="b">
        <v>0</v>
      </c>
      <c r="B522" s="8"/>
      <c r="C522" s="21"/>
      <c r="D522" s="21"/>
      <c r="E522" s="8"/>
      <c r="F522" s="8"/>
      <c r="G522" s="8"/>
      <c r="H522" s="18"/>
      <c r="I522" s="38"/>
      <c r="J522" s="18"/>
      <c r="Z522" s="8"/>
    </row>
    <row r="523">
      <c r="A523" s="8" t="b">
        <v>0</v>
      </c>
      <c r="B523" s="8"/>
      <c r="C523" s="21"/>
      <c r="D523" s="21"/>
      <c r="E523" s="8"/>
      <c r="F523" s="8"/>
      <c r="G523" s="8"/>
      <c r="H523" s="18"/>
      <c r="I523" s="38"/>
      <c r="J523" s="18"/>
      <c r="Z523" s="8"/>
    </row>
    <row r="524">
      <c r="A524" s="8" t="b">
        <v>0</v>
      </c>
      <c r="B524" s="8"/>
      <c r="C524" s="21"/>
      <c r="D524" s="21"/>
      <c r="E524" s="8"/>
      <c r="F524" s="8"/>
      <c r="G524" s="8"/>
      <c r="H524" s="18"/>
      <c r="I524" s="38"/>
      <c r="J524" s="18"/>
      <c r="Z524" s="8"/>
    </row>
    <row r="525">
      <c r="A525" s="8" t="b">
        <v>0</v>
      </c>
      <c r="B525" s="8"/>
      <c r="C525" s="21"/>
      <c r="D525" s="21"/>
      <c r="E525" s="8"/>
      <c r="F525" s="8"/>
      <c r="G525" s="8"/>
      <c r="H525" s="18"/>
      <c r="I525" s="38"/>
      <c r="J525" s="18"/>
      <c r="Z525" s="8"/>
    </row>
    <row r="526">
      <c r="A526" s="8" t="b">
        <v>0</v>
      </c>
      <c r="B526" s="8"/>
      <c r="C526" s="21"/>
      <c r="D526" s="21"/>
      <c r="E526" s="8"/>
      <c r="F526" s="8"/>
      <c r="G526" s="8"/>
      <c r="H526" s="18"/>
      <c r="I526" s="38"/>
      <c r="J526" s="18"/>
      <c r="Z526" s="8"/>
    </row>
    <row r="527">
      <c r="A527" s="8" t="b">
        <v>0</v>
      </c>
      <c r="B527" s="8"/>
      <c r="C527" s="21"/>
      <c r="D527" s="21"/>
      <c r="E527" s="8"/>
      <c r="F527" s="8"/>
      <c r="G527" s="8"/>
      <c r="H527" s="18"/>
      <c r="I527" s="38"/>
      <c r="J527" s="18"/>
      <c r="Z527" s="8"/>
    </row>
    <row r="528">
      <c r="A528" s="8" t="b">
        <v>0</v>
      </c>
      <c r="B528" s="8"/>
      <c r="C528" s="21"/>
      <c r="D528" s="21"/>
      <c r="E528" s="8"/>
      <c r="F528" s="8"/>
      <c r="G528" s="8"/>
      <c r="H528" s="18"/>
      <c r="I528" s="38"/>
      <c r="J528" s="18"/>
      <c r="Z528" s="8"/>
    </row>
    <row r="529">
      <c r="A529" s="8" t="b">
        <v>0</v>
      </c>
      <c r="B529" s="8"/>
      <c r="C529" s="21"/>
      <c r="D529" s="21"/>
      <c r="E529" s="8"/>
      <c r="F529" s="8"/>
      <c r="G529" s="8"/>
      <c r="H529" s="18"/>
      <c r="I529" s="38"/>
      <c r="J529" s="18"/>
      <c r="Z529" s="8"/>
    </row>
    <row r="530">
      <c r="A530" s="8" t="b">
        <v>0</v>
      </c>
      <c r="B530" s="8"/>
      <c r="C530" s="21"/>
      <c r="D530" s="21"/>
      <c r="E530" s="8"/>
      <c r="F530" s="8"/>
      <c r="G530" s="8"/>
      <c r="H530" s="18"/>
      <c r="I530" s="38"/>
      <c r="J530" s="18"/>
      <c r="Z530" s="8"/>
    </row>
    <row r="531">
      <c r="A531" s="8" t="b">
        <v>0</v>
      </c>
      <c r="B531" s="8"/>
      <c r="C531" s="21"/>
      <c r="D531" s="21"/>
      <c r="E531" s="8"/>
      <c r="F531" s="8"/>
      <c r="G531" s="8"/>
      <c r="H531" s="18"/>
      <c r="I531" s="38"/>
      <c r="J531" s="18"/>
      <c r="Z531" s="8"/>
    </row>
    <row r="532">
      <c r="A532" s="8" t="b">
        <v>0</v>
      </c>
      <c r="B532" s="8"/>
      <c r="C532" s="21"/>
      <c r="D532" s="21"/>
      <c r="E532" s="8"/>
      <c r="F532" s="8"/>
      <c r="G532" s="8"/>
      <c r="H532" s="18"/>
      <c r="I532" s="38"/>
      <c r="J532" s="18"/>
      <c r="Z532" s="8"/>
    </row>
    <row r="533">
      <c r="A533" s="8" t="b">
        <v>0</v>
      </c>
      <c r="B533" s="8"/>
      <c r="C533" s="21"/>
      <c r="D533" s="21"/>
      <c r="E533" s="8"/>
      <c r="F533" s="8"/>
      <c r="G533" s="8"/>
      <c r="H533" s="18"/>
      <c r="I533" s="38"/>
      <c r="J533" s="18"/>
      <c r="Z533" s="8"/>
    </row>
    <row r="534">
      <c r="A534" s="8" t="b">
        <v>0</v>
      </c>
      <c r="B534" s="8"/>
      <c r="C534" s="21"/>
      <c r="D534" s="21"/>
      <c r="E534" s="8"/>
      <c r="F534" s="8"/>
      <c r="G534" s="8"/>
      <c r="H534" s="18"/>
      <c r="I534" s="38"/>
      <c r="J534" s="18"/>
      <c r="Z534" s="8"/>
    </row>
    <row r="535">
      <c r="A535" s="8" t="b">
        <v>0</v>
      </c>
      <c r="B535" s="8"/>
      <c r="C535" s="21"/>
      <c r="D535" s="21"/>
      <c r="E535" s="8"/>
      <c r="F535" s="8"/>
      <c r="G535" s="8"/>
      <c r="H535" s="18"/>
      <c r="I535" s="38"/>
      <c r="J535" s="18"/>
      <c r="Z535" s="8"/>
    </row>
    <row r="536">
      <c r="A536" s="8" t="b">
        <v>0</v>
      </c>
      <c r="B536" s="8"/>
      <c r="C536" s="21"/>
      <c r="D536" s="21"/>
      <c r="E536" s="8"/>
      <c r="F536" s="8"/>
      <c r="G536" s="8"/>
      <c r="H536" s="18"/>
      <c r="I536" s="38"/>
      <c r="J536" s="18"/>
      <c r="Z536" s="8"/>
    </row>
    <row r="537">
      <c r="A537" s="8" t="b">
        <v>0</v>
      </c>
      <c r="B537" s="8"/>
      <c r="C537" s="21"/>
      <c r="D537" s="21"/>
      <c r="E537" s="8"/>
      <c r="F537" s="8"/>
      <c r="G537" s="8"/>
      <c r="H537" s="18"/>
      <c r="I537" s="38"/>
      <c r="J537" s="18"/>
      <c r="Z537" s="8"/>
    </row>
    <row r="538">
      <c r="A538" s="8" t="b">
        <v>0</v>
      </c>
      <c r="B538" s="8"/>
      <c r="C538" s="21"/>
      <c r="D538" s="21"/>
      <c r="E538" s="8"/>
      <c r="F538" s="8"/>
      <c r="G538" s="8"/>
      <c r="H538" s="18"/>
      <c r="I538" s="38"/>
      <c r="J538" s="18"/>
      <c r="Z538" s="8"/>
    </row>
    <row r="539">
      <c r="A539" s="8" t="b">
        <v>0</v>
      </c>
      <c r="B539" s="8"/>
      <c r="C539" s="21"/>
      <c r="D539" s="21"/>
      <c r="E539" s="8"/>
      <c r="F539" s="8"/>
      <c r="G539" s="8"/>
      <c r="H539" s="18"/>
      <c r="I539" s="38"/>
      <c r="J539" s="18"/>
      <c r="Z539" s="8"/>
    </row>
    <row r="540">
      <c r="A540" s="8" t="b">
        <v>0</v>
      </c>
      <c r="B540" s="8"/>
      <c r="C540" s="21"/>
      <c r="D540" s="21"/>
      <c r="E540" s="8"/>
      <c r="F540" s="8"/>
      <c r="G540" s="8"/>
      <c r="H540" s="18"/>
      <c r="I540" s="38"/>
      <c r="J540" s="18"/>
      <c r="Z540" s="8"/>
    </row>
    <row r="541">
      <c r="A541" s="8" t="b">
        <v>0</v>
      </c>
      <c r="B541" s="8"/>
      <c r="C541" s="21"/>
      <c r="D541" s="21"/>
      <c r="E541" s="8"/>
      <c r="F541" s="8"/>
      <c r="G541" s="8"/>
      <c r="H541" s="18"/>
      <c r="I541" s="38"/>
      <c r="J541" s="18"/>
      <c r="Z541" s="8"/>
    </row>
    <row r="542">
      <c r="A542" s="8" t="b">
        <v>0</v>
      </c>
      <c r="B542" s="8"/>
      <c r="C542" s="21"/>
      <c r="D542" s="21"/>
      <c r="E542" s="8"/>
      <c r="F542" s="8"/>
      <c r="G542" s="8"/>
      <c r="H542" s="18"/>
      <c r="I542" s="38"/>
      <c r="J542" s="18"/>
      <c r="Z542" s="8"/>
    </row>
    <row r="543">
      <c r="A543" s="8" t="b">
        <v>0</v>
      </c>
      <c r="B543" s="8"/>
      <c r="C543" s="21"/>
      <c r="D543" s="21"/>
      <c r="E543" s="8"/>
      <c r="F543" s="8"/>
      <c r="G543" s="8"/>
      <c r="H543" s="18"/>
      <c r="I543" s="38"/>
      <c r="J543" s="18"/>
      <c r="Z543" s="8"/>
    </row>
    <row r="544">
      <c r="A544" s="8" t="b">
        <v>0</v>
      </c>
      <c r="B544" s="8"/>
      <c r="C544" s="21"/>
      <c r="D544" s="21"/>
      <c r="E544" s="8"/>
      <c r="F544" s="8"/>
      <c r="G544" s="8"/>
      <c r="H544" s="18"/>
      <c r="I544" s="38"/>
      <c r="J544" s="18"/>
      <c r="Z544" s="8"/>
    </row>
    <row r="545">
      <c r="A545" s="8" t="b">
        <v>0</v>
      </c>
      <c r="B545" s="8"/>
      <c r="C545" s="21"/>
      <c r="D545" s="21"/>
      <c r="E545" s="8"/>
      <c r="F545" s="8"/>
      <c r="G545" s="8"/>
      <c r="H545" s="18"/>
      <c r="I545" s="38"/>
      <c r="J545" s="18"/>
      <c r="Z545" s="8"/>
    </row>
    <row r="546">
      <c r="A546" s="8" t="b">
        <v>0</v>
      </c>
      <c r="B546" s="8"/>
      <c r="C546" s="21"/>
      <c r="D546" s="21"/>
      <c r="E546" s="8"/>
      <c r="F546" s="8"/>
      <c r="G546" s="8"/>
      <c r="H546" s="18"/>
      <c r="I546" s="38"/>
      <c r="J546" s="18"/>
      <c r="Z546" s="8"/>
    </row>
    <row r="547">
      <c r="A547" s="8" t="b">
        <v>0</v>
      </c>
      <c r="B547" s="8"/>
      <c r="C547" s="21"/>
      <c r="D547" s="21"/>
      <c r="E547" s="8"/>
      <c r="F547" s="8"/>
      <c r="G547" s="8"/>
      <c r="H547" s="18"/>
      <c r="I547" s="38"/>
      <c r="J547" s="18"/>
      <c r="Z547" s="8"/>
    </row>
    <row r="548">
      <c r="A548" s="8" t="b">
        <v>0</v>
      </c>
      <c r="B548" s="8"/>
      <c r="C548" s="21"/>
      <c r="D548" s="21"/>
      <c r="E548" s="8"/>
      <c r="F548" s="8"/>
      <c r="G548" s="8"/>
      <c r="H548" s="18"/>
      <c r="I548" s="38"/>
      <c r="J548" s="18"/>
      <c r="Z548" s="8"/>
    </row>
    <row r="549">
      <c r="A549" s="8" t="b">
        <v>0</v>
      </c>
      <c r="B549" s="8"/>
      <c r="C549" s="21"/>
      <c r="D549" s="21"/>
      <c r="E549" s="8"/>
      <c r="F549" s="8"/>
      <c r="G549" s="8"/>
      <c r="H549" s="18"/>
      <c r="I549" s="38"/>
      <c r="J549" s="18"/>
      <c r="Z549" s="8"/>
    </row>
    <row r="550">
      <c r="A550" s="8" t="b">
        <v>0</v>
      </c>
      <c r="B550" s="8"/>
      <c r="C550" s="21"/>
      <c r="D550" s="21"/>
      <c r="E550" s="8"/>
      <c r="F550" s="8"/>
      <c r="G550" s="8"/>
      <c r="H550" s="18"/>
      <c r="I550" s="38"/>
      <c r="J550" s="18"/>
      <c r="Z550" s="8"/>
    </row>
    <row r="551">
      <c r="A551" s="8" t="b">
        <v>0</v>
      </c>
      <c r="B551" s="8"/>
      <c r="C551" s="21"/>
      <c r="D551" s="21"/>
      <c r="E551" s="8"/>
      <c r="F551" s="8"/>
      <c r="G551" s="8"/>
      <c r="H551" s="18"/>
      <c r="I551" s="38"/>
      <c r="J551" s="18"/>
      <c r="Z551" s="8"/>
    </row>
    <row r="552">
      <c r="A552" s="8" t="b">
        <v>0</v>
      </c>
      <c r="B552" s="8"/>
      <c r="C552" s="21"/>
      <c r="D552" s="21"/>
      <c r="E552" s="8"/>
      <c r="F552" s="8"/>
      <c r="G552" s="8"/>
      <c r="H552" s="18"/>
      <c r="I552" s="38"/>
      <c r="J552" s="18"/>
      <c r="Z552" s="8"/>
    </row>
    <row r="553">
      <c r="A553" s="8" t="b">
        <v>0</v>
      </c>
      <c r="B553" s="8"/>
      <c r="C553" s="21"/>
      <c r="D553" s="21"/>
      <c r="E553" s="8"/>
      <c r="F553" s="8"/>
      <c r="G553" s="8"/>
      <c r="H553" s="18"/>
      <c r="I553" s="38"/>
      <c r="J553" s="18"/>
      <c r="Z553" s="8"/>
    </row>
    <row r="554">
      <c r="A554" s="8" t="b">
        <v>0</v>
      </c>
      <c r="B554" s="8"/>
      <c r="C554" s="21"/>
      <c r="D554" s="21"/>
      <c r="E554" s="8"/>
      <c r="F554" s="8"/>
      <c r="G554" s="8"/>
      <c r="H554" s="18"/>
      <c r="I554" s="38"/>
      <c r="J554" s="18"/>
      <c r="Z554" s="8"/>
    </row>
    <row r="555">
      <c r="A555" s="8" t="b">
        <v>0</v>
      </c>
      <c r="B555" s="8"/>
      <c r="C555" s="21"/>
      <c r="D555" s="21"/>
      <c r="E555" s="8"/>
      <c r="F555" s="8"/>
      <c r="G555" s="8"/>
      <c r="H555" s="18"/>
      <c r="I555" s="38"/>
      <c r="J555" s="18"/>
      <c r="Z555" s="8"/>
    </row>
    <row r="556">
      <c r="A556" s="8" t="b">
        <v>0</v>
      </c>
      <c r="B556" s="8"/>
      <c r="C556" s="21"/>
      <c r="D556" s="21"/>
      <c r="E556" s="8"/>
      <c r="F556" s="8"/>
      <c r="G556" s="8"/>
      <c r="H556" s="18"/>
      <c r="I556" s="38"/>
      <c r="J556" s="18"/>
      <c r="Z556" s="8"/>
    </row>
    <row r="557">
      <c r="A557" s="8" t="b">
        <v>0</v>
      </c>
      <c r="B557" s="8"/>
      <c r="C557" s="21"/>
      <c r="D557" s="21"/>
      <c r="E557" s="8"/>
      <c r="F557" s="8"/>
      <c r="G557" s="8"/>
      <c r="H557" s="18"/>
      <c r="I557" s="38"/>
      <c r="J557" s="18"/>
      <c r="Z557" s="8"/>
    </row>
    <row r="558">
      <c r="A558" s="8" t="b">
        <v>0</v>
      </c>
      <c r="B558" s="8"/>
      <c r="C558" s="21"/>
      <c r="D558" s="21"/>
      <c r="E558" s="8"/>
      <c r="F558" s="8"/>
      <c r="G558" s="8"/>
      <c r="H558" s="18"/>
      <c r="I558" s="38"/>
      <c r="J558" s="18"/>
      <c r="Z558" s="8"/>
    </row>
    <row r="559">
      <c r="A559" s="8" t="b">
        <v>0</v>
      </c>
      <c r="B559" s="8"/>
      <c r="C559" s="21"/>
      <c r="D559" s="21"/>
      <c r="E559" s="8"/>
      <c r="F559" s="8"/>
      <c r="G559" s="8"/>
      <c r="H559" s="18"/>
      <c r="I559" s="38"/>
      <c r="J559" s="18"/>
      <c r="Z559" s="8"/>
    </row>
    <row r="560">
      <c r="A560" s="8" t="b">
        <v>0</v>
      </c>
      <c r="B560" s="8"/>
      <c r="C560" s="21"/>
      <c r="D560" s="21"/>
      <c r="E560" s="8"/>
      <c r="F560" s="8"/>
      <c r="G560" s="8"/>
      <c r="H560" s="18"/>
      <c r="I560" s="38"/>
      <c r="J560" s="18"/>
      <c r="Z560" s="8"/>
    </row>
    <row r="561">
      <c r="A561" s="8" t="b">
        <v>0</v>
      </c>
      <c r="B561" s="8"/>
      <c r="C561" s="21"/>
      <c r="D561" s="21"/>
      <c r="E561" s="8"/>
      <c r="F561" s="8"/>
      <c r="G561" s="8"/>
      <c r="H561" s="18"/>
      <c r="I561" s="38"/>
      <c r="J561" s="18"/>
      <c r="Z561" s="8"/>
    </row>
    <row r="562">
      <c r="A562" s="8" t="b">
        <v>0</v>
      </c>
      <c r="B562" s="8"/>
      <c r="C562" s="21"/>
      <c r="D562" s="21"/>
      <c r="E562" s="8"/>
      <c r="F562" s="8"/>
      <c r="G562" s="8"/>
      <c r="H562" s="18"/>
      <c r="I562" s="38"/>
      <c r="J562" s="18"/>
      <c r="Z562" s="8"/>
    </row>
    <row r="563">
      <c r="A563" s="8" t="b">
        <v>0</v>
      </c>
      <c r="B563" s="8"/>
      <c r="C563" s="21"/>
      <c r="D563" s="21"/>
      <c r="E563" s="8"/>
      <c r="F563" s="8"/>
      <c r="G563" s="8"/>
      <c r="H563" s="18"/>
      <c r="I563" s="38"/>
      <c r="J563" s="18"/>
      <c r="Z563" s="8"/>
    </row>
    <row r="564">
      <c r="A564" s="8" t="b">
        <v>0</v>
      </c>
      <c r="B564" s="8"/>
      <c r="C564" s="21"/>
      <c r="D564" s="21"/>
      <c r="E564" s="8"/>
      <c r="F564" s="8"/>
      <c r="G564" s="8"/>
      <c r="H564" s="18"/>
      <c r="I564" s="38"/>
      <c r="J564" s="18"/>
      <c r="Z564" s="8"/>
    </row>
    <row r="565">
      <c r="A565" s="8" t="b">
        <v>0</v>
      </c>
      <c r="B565" s="8"/>
      <c r="C565" s="21"/>
      <c r="D565" s="21"/>
      <c r="E565" s="8"/>
      <c r="F565" s="8"/>
      <c r="G565" s="8"/>
      <c r="H565" s="18"/>
      <c r="I565" s="38"/>
      <c r="J565" s="18"/>
      <c r="Z565" s="8"/>
    </row>
    <row r="566">
      <c r="A566" s="8" t="b">
        <v>0</v>
      </c>
      <c r="B566" s="8"/>
      <c r="C566" s="21"/>
      <c r="D566" s="21"/>
      <c r="E566" s="8"/>
      <c r="F566" s="8"/>
      <c r="G566" s="8"/>
      <c r="H566" s="18"/>
      <c r="I566" s="38"/>
      <c r="J566" s="18"/>
      <c r="Z566" s="8"/>
    </row>
    <row r="567">
      <c r="A567" s="8" t="b">
        <v>0</v>
      </c>
      <c r="B567" s="8"/>
      <c r="C567" s="21"/>
      <c r="D567" s="21"/>
      <c r="E567" s="8"/>
      <c r="F567" s="8"/>
      <c r="G567" s="8"/>
      <c r="H567" s="18"/>
      <c r="I567" s="38"/>
      <c r="J567" s="18"/>
      <c r="Z567" s="8"/>
    </row>
    <row r="568">
      <c r="A568" s="8" t="b">
        <v>0</v>
      </c>
      <c r="B568" s="8"/>
      <c r="C568" s="21"/>
      <c r="D568" s="21"/>
      <c r="E568" s="8"/>
      <c r="F568" s="8"/>
      <c r="G568" s="8"/>
      <c r="H568" s="18"/>
      <c r="I568" s="38"/>
      <c r="J568" s="18"/>
      <c r="Z568" s="8"/>
    </row>
    <row r="569">
      <c r="A569" s="8" t="b">
        <v>0</v>
      </c>
      <c r="B569" s="8"/>
      <c r="C569" s="21"/>
      <c r="D569" s="21"/>
      <c r="E569" s="8"/>
      <c r="F569" s="8"/>
      <c r="G569" s="8"/>
      <c r="H569" s="18"/>
      <c r="I569" s="38"/>
      <c r="J569" s="18"/>
      <c r="Z569" s="8"/>
    </row>
    <row r="570">
      <c r="A570" s="8" t="b">
        <v>0</v>
      </c>
      <c r="B570" s="8"/>
      <c r="C570" s="21"/>
      <c r="D570" s="21"/>
      <c r="E570" s="8"/>
      <c r="F570" s="8"/>
      <c r="G570" s="8"/>
      <c r="H570" s="18"/>
      <c r="I570" s="38"/>
      <c r="J570" s="18"/>
      <c r="Z570" s="8"/>
    </row>
    <row r="571">
      <c r="A571" s="8" t="b">
        <v>0</v>
      </c>
      <c r="B571" s="8"/>
      <c r="C571" s="21"/>
      <c r="D571" s="21"/>
      <c r="E571" s="8"/>
      <c r="F571" s="8"/>
      <c r="G571" s="8"/>
      <c r="H571" s="18"/>
      <c r="I571" s="38"/>
      <c r="J571" s="18"/>
      <c r="Z571" s="8"/>
    </row>
    <row r="572">
      <c r="A572" s="8" t="b">
        <v>0</v>
      </c>
      <c r="B572" s="8"/>
      <c r="C572" s="21"/>
      <c r="D572" s="21"/>
      <c r="E572" s="8"/>
      <c r="F572" s="8"/>
      <c r="G572" s="8"/>
      <c r="H572" s="18"/>
      <c r="I572" s="38"/>
      <c r="J572" s="18"/>
      <c r="Z572" s="8"/>
    </row>
    <row r="573">
      <c r="A573" s="8" t="b">
        <v>0</v>
      </c>
      <c r="B573" s="8"/>
      <c r="C573" s="21"/>
      <c r="D573" s="21"/>
      <c r="E573" s="8"/>
      <c r="F573" s="8"/>
      <c r="G573" s="8"/>
      <c r="H573" s="18"/>
      <c r="I573" s="38"/>
      <c r="J573" s="18"/>
      <c r="Z573" s="8"/>
    </row>
    <row r="574">
      <c r="A574" s="8" t="b">
        <v>0</v>
      </c>
      <c r="B574" s="8"/>
      <c r="C574" s="21"/>
      <c r="D574" s="21"/>
      <c r="E574" s="8"/>
      <c r="F574" s="8"/>
      <c r="G574" s="8"/>
      <c r="H574" s="18"/>
      <c r="I574" s="38"/>
      <c r="J574" s="18"/>
      <c r="Z574" s="8"/>
    </row>
    <row r="575">
      <c r="A575" s="8" t="b">
        <v>0</v>
      </c>
      <c r="B575" s="8"/>
      <c r="C575" s="21"/>
      <c r="D575" s="21"/>
      <c r="E575" s="8"/>
      <c r="F575" s="8"/>
      <c r="G575" s="8"/>
      <c r="H575" s="18"/>
      <c r="I575" s="38"/>
      <c r="J575" s="18"/>
      <c r="Z575" s="8"/>
    </row>
    <row r="576">
      <c r="A576" s="8" t="b">
        <v>0</v>
      </c>
      <c r="B576" s="8"/>
      <c r="C576" s="21"/>
      <c r="D576" s="21"/>
      <c r="E576" s="8"/>
      <c r="F576" s="8"/>
      <c r="G576" s="8"/>
      <c r="H576" s="18"/>
      <c r="I576" s="38"/>
      <c r="J576" s="18"/>
      <c r="Z576" s="8"/>
    </row>
    <row r="577">
      <c r="A577" s="8" t="b">
        <v>0</v>
      </c>
      <c r="B577" s="8"/>
      <c r="C577" s="21"/>
      <c r="D577" s="21"/>
      <c r="E577" s="8"/>
      <c r="F577" s="8"/>
      <c r="G577" s="8"/>
      <c r="H577" s="18"/>
      <c r="I577" s="38"/>
      <c r="J577" s="18"/>
      <c r="Z577" s="8"/>
    </row>
    <row r="578">
      <c r="A578" s="8" t="b">
        <v>0</v>
      </c>
      <c r="B578" s="8"/>
      <c r="C578" s="21"/>
      <c r="D578" s="21"/>
      <c r="E578" s="8"/>
      <c r="F578" s="8"/>
      <c r="G578" s="8"/>
      <c r="H578" s="18"/>
      <c r="I578" s="38"/>
      <c r="J578" s="18"/>
      <c r="Z578" s="8"/>
    </row>
    <row r="579">
      <c r="A579" s="8" t="b">
        <v>0</v>
      </c>
      <c r="B579" s="8"/>
      <c r="C579" s="21"/>
      <c r="D579" s="21"/>
      <c r="E579" s="8"/>
      <c r="F579" s="8"/>
      <c r="G579" s="8"/>
      <c r="H579" s="18"/>
      <c r="I579" s="38"/>
      <c r="J579" s="18"/>
      <c r="Z579" s="8"/>
    </row>
    <row r="580">
      <c r="A580" s="8" t="b">
        <v>0</v>
      </c>
      <c r="B580" s="8"/>
      <c r="C580" s="21"/>
      <c r="D580" s="21"/>
      <c r="E580" s="8"/>
      <c r="F580" s="8"/>
      <c r="G580" s="8"/>
      <c r="H580" s="18"/>
      <c r="I580" s="38"/>
      <c r="J580" s="18"/>
      <c r="Z580" s="8"/>
    </row>
    <row r="581">
      <c r="A581" s="8" t="b">
        <v>0</v>
      </c>
      <c r="B581" s="8"/>
      <c r="C581" s="21"/>
      <c r="D581" s="21"/>
      <c r="E581" s="8"/>
      <c r="F581" s="8"/>
      <c r="G581" s="8"/>
      <c r="H581" s="18"/>
      <c r="I581" s="38"/>
      <c r="J581" s="18"/>
      <c r="Z581" s="8"/>
    </row>
    <row r="582">
      <c r="A582" s="8" t="b">
        <v>0</v>
      </c>
      <c r="B582" s="8"/>
      <c r="C582" s="21"/>
      <c r="D582" s="21"/>
      <c r="E582" s="8"/>
      <c r="F582" s="8"/>
      <c r="G582" s="8"/>
      <c r="H582" s="18"/>
      <c r="I582" s="38"/>
      <c r="J582" s="18"/>
      <c r="Z582" s="8"/>
    </row>
    <row r="583">
      <c r="A583" s="8" t="b">
        <v>0</v>
      </c>
      <c r="B583" s="8"/>
      <c r="C583" s="21"/>
      <c r="D583" s="21"/>
      <c r="E583" s="8"/>
      <c r="F583" s="8"/>
      <c r="G583" s="8"/>
      <c r="H583" s="18"/>
      <c r="I583" s="38"/>
      <c r="J583" s="18"/>
      <c r="Z583" s="8"/>
    </row>
    <row r="584">
      <c r="A584" s="8" t="b">
        <v>0</v>
      </c>
      <c r="B584" s="8"/>
      <c r="C584" s="21"/>
      <c r="D584" s="21"/>
      <c r="E584" s="8"/>
      <c r="F584" s="8"/>
      <c r="G584" s="8"/>
      <c r="H584" s="18"/>
      <c r="I584" s="38"/>
      <c r="J584" s="18"/>
      <c r="Z584" s="8"/>
    </row>
    <row r="585">
      <c r="A585" s="8" t="b">
        <v>0</v>
      </c>
      <c r="B585" s="8"/>
      <c r="C585" s="21"/>
      <c r="D585" s="21"/>
      <c r="E585" s="8"/>
      <c r="F585" s="8"/>
      <c r="G585" s="8"/>
      <c r="H585" s="18"/>
      <c r="I585" s="38"/>
      <c r="J585" s="18"/>
      <c r="Z585" s="8"/>
    </row>
    <row r="586">
      <c r="A586" s="8" t="b">
        <v>0</v>
      </c>
      <c r="B586" s="8"/>
      <c r="C586" s="21"/>
      <c r="D586" s="21"/>
      <c r="E586" s="8"/>
      <c r="F586" s="8"/>
      <c r="G586" s="8"/>
      <c r="H586" s="18"/>
      <c r="I586" s="38"/>
      <c r="J586" s="18"/>
      <c r="Z586" s="8"/>
    </row>
    <row r="587">
      <c r="A587" s="8" t="b">
        <v>0</v>
      </c>
      <c r="B587" s="8"/>
      <c r="C587" s="21"/>
      <c r="D587" s="21"/>
      <c r="E587" s="8"/>
      <c r="F587" s="8"/>
      <c r="G587" s="8"/>
      <c r="H587" s="18"/>
      <c r="I587" s="38"/>
      <c r="J587" s="18"/>
      <c r="Z587" s="8"/>
    </row>
    <row r="588">
      <c r="A588" s="8" t="b">
        <v>0</v>
      </c>
      <c r="B588" s="8"/>
      <c r="C588" s="21"/>
      <c r="D588" s="21"/>
      <c r="E588" s="8"/>
      <c r="F588" s="8"/>
      <c r="G588" s="8"/>
      <c r="H588" s="18"/>
      <c r="I588" s="38"/>
      <c r="J588" s="18"/>
      <c r="Z588" s="8"/>
    </row>
    <row r="589">
      <c r="A589" s="8" t="b">
        <v>0</v>
      </c>
      <c r="B589" s="8"/>
      <c r="C589" s="21"/>
      <c r="D589" s="21"/>
      <c r="E589" s="8"/>
      <c r="F589" s="8"/>
      <c r="G589" s="8"/>
      <c r="H589" s="18"/>
      <c r="I589" s="38"/>
      <c r="J589" s="18"/>
      <c r="Z589" s="8"/>
    </row>
    <row r="590">
      <c r="A590" s="8" t="b">
        <v>0</v>
      </c>
      <c r="B590" s="8"/>
      <c r="C590" s="21"/>
      <c r="D590" s="21"/>
      <c r="E590" s="8"/>
      <c r="F590" s="8"/>
      <c r="G590" s="8"/>
      <c r="H590" s="18"/>
      <c r="I590" s="38"/>
      <c r="J590" s="18"/>
      <c r="Z590" s="8"/>
    </row>
    <row r="591">
      <c r="A591" s="8" t="b">
        <v>0</v>
      </c>
      <c r="B591" s="8"/>
      <c r="C591" s="21"/>
      <c r="D591" s="21"/>
      <c r="E591" s="8"/>
      <c r="F591" s="8"/>
      <c r="G591" s="8"/>
      <c r="H591" s="18"/>
      <c r="I591" s="38"/>
      <c r="J591" s="18"/>
      <c r="Z591" s="8"/>
    </row>
    <row r="592">
      <c r="A592" s="8" t="b">
        <v>0</v>
      </c>
      <c r="B592" s="8"/>
      <c r="C592" s="21"/>
      <c r="D592" s="21"/>
      <c r="E592" s="8"/>
      <c r="F592" s="8"/>
      <c r="G592" s="8"/>
      <c r="H592" s="18"/>
      <c r="I592" s="38"/>
      <c r="J592" s="18"/>
      <c r="Z592" s="8"/>
    </row>
    <row r="593">
      <c r="A593" s="8" t="b">
        <v>0</v>
      </c>
      <c r="B593" s="8"/>
      <c r="C593" s="21"/>
      <c r="D593" s="21"/>
      <c r="E593" s="8"/>
      <c r="F593" s="8"/>
      <c r="G593" s="8"/>
      <c r="H593" s="18"/>
      <c r="I593" s="38"/>
      <c r="J593" s="18"/>
      <c r="Z593" s="8"/>
    </row>
    <row r="594">
      <c r="A594" s="8" t="b">
        <v>0</v>
      </c>
      <c r="B594" s="8"/>
      <c r="C594" s="21"/>
      <c r="D594" s="21"/>
      <c r="E594" s="8"/>
      <c r="F594" s="8"/>
      <c r="G594" s="8"/>
      <c r="H594" s="18"/>
      <c r="I594" s="38"/>
      <c r="J594" s="18"/>
      <c r="Z594" s="8"/>
    </row>
    <row r="595">
      <c r="A595" s="8" t="b">
        <v>0</v>
      </c>
      <c r="B595" s="8"/>
      <c r="C595" s="21"/>
      <c r="D595" s="21"/>
      <c r="E595" s="8"/>
      <c r="F595" s="8"/>
      <c r="G595" s="8"/>
      <c r="H595" s="18"/>
      <c r="I595" s="38"/>
      <c r="J595" s="18"/>
      <c r="Z595" s="8"/>
    </row>
    <row r="596">
      <c r="A596" s="8" t="b">
        <v>0</v>
      </c>
      <c r="B596" s="8"/>
      <c r="C596" s="21"/>
      <c r="D596" s="21"/>
      <c r="E596" s="8"/>
      <c r="F596" s="8"/>
      <c r="G596" s="8"/>
      <c r="H596" s="18"/>
      <c r="I596" s="38"/>
      <c r="J596" s="18"/>
      <c r="Z596" s="8"/>
    </row>
    <row r="597">
      <c r="A597" s="8" t="b">
        <v>0</v>
      </c>
      <c r="B597" s="8"/>
      <c r="C597" s="21"/>
      <c r="D597" s="21"/>
      <c r="E597" s="8"/>
      <c r="F597" s="8"/>
      <c r="G597" s="8"/>
      <c r="H597" s="18"/>
      <c r="I597" s="38"/>
      <c r="J597" s="18"/>
      <c r="Z597" s="8"/>
    </row>
    <row r="598">
      <c r="A598" s="8" t="b">
        <v>0</v>
      </c>
      <c r="B598" s="8"/>
      <c r="C598" s="21"/>
      <c r="D598" s="21"/>
      <c r="E598" s="8"/>
      <c r="F598" s="8"/>
      <c r="G598" s="8"/>
      <c r="H598" s="18"/>
      <c r="I598" s="38"/>
      <c r="J598" s="18"/>
      <c r="Z598" s="8"/>
    </row>
    <row r="599">
      <c r="A599" s="8" t="b">
        <v>0</v>
      </c>
      <c r="B599" s="8"/>
      <c r="C599" s="21"/>
      <c r="D599" s="21"/>
      <c r="E599" s="8"/>
      <c r="F599" s="8"/>
      <c r="G599" s="8"/>
      <c r="H599" s="18"/>
      <c r="I599" s="38"/>
      <c r="J599" s="18"/>
      <c r="Z599" s="8"/>
    </row>
    <row r="600">
      <c r="A600" s="8" t="b">
        <v>0</v>
      </c>
      <c r="B600" s="8"/>
      <c r="C600" s="21"/>
      <c r="D600" s="21"/>
      <c r="E600" s="8"/>
      <c r="F600" s="8"/>
      <c r="G600" s="8"/>
      <c r="H600" s="18"/>
      <c r="I600" s="38"/>
      <c r="J600" s="18"/>
      <c r="Z600" s="8"/>
    </row>
    <row r="601">
      <c r="A601" s="8" t="b">
        <v>0</v>
      </c>
      <c r="B601" s="8"/>
      <c r="C601" s="21"/>
      <c r="D601" s="21"/>
      <c r="E601" s="8"/>
      <c r="F601" s="8"/>
      <c r="G601" s="8"/>
      <c r="H601" s="18"/>
      <c r="I601" s="38"/>
      <c r="J601" s="18"/>
      <c r="Z601" s="8"/>
    </row>
    <row r="602">
      <c r="A602" s="8" t="b">
        <v>0</v>
      </c>
      <c r="B602" s="8"/>
      <c r="C602" s="21"/>
      <c r="D602" s="21"/>
      <c r="E602" s="8"/>
      <c r="F602" s="8"/>
      <c r="G602" s="8"/>
      <c r="H602" s="18"/>
      <c r="I602" s="38"/>
      <c r="J602" s="18"/>
      <c r="Z602" s="8"/>
    </row>
    <row r="603">
      <c r="A603" s="8" t="b">
        <v>0</v>
      </c>
      <c r="B603" s="8"/>
      <c r="C603" s="21"/>
      <c r="D603" s="21"/>
      <c r="E603" s="8"/>
      <c r="F603" s="8"/>
      <c r="G603" s="8"/>
      <c r="H603" s="18"/>
      <c r="I603" s="38"/>
      <c r="J603" s="18"/>
      <c r="Z603" s="8"/>
    </row>
    <row r="604">
      <c r="A604" s="8" t="b">
        <v>0</v>
      </c>
      <c r="B604" s="8"/>
      <c r="C604" s="21"/>
      <c r="D604" s="21"/>
      <c r="E604" s="8"/>
      <c r="F604" s="8"/>
      <c r="G604" s="8"/>
      <c r="H604" s="18"/>
      <c r="I604" s="38"/>
      <c r="J604" s="18"/>
      <c r="Z604" s="8"/>
    </row>
    <row r="605">
      <c r="A605" s="8" t="b">
        <v>0</v>
      </c>
      <c r="B605" s="8"/>
      <c r="C605" s="21"/>
      <c r="D605" s="21"/>
      <c r="E605" s="8"/>
      <c r="F605" s="8"/>
      <c r="G605" s="8"/>
      <c r="H605" s="18"/>
      <c r="I605" s="38"/>
      <c r="J605" s="18"/>
      <c r="Z605" s="8"/>
    </row>
    <row r="606">
      <c r="A606" s="8" t="b">
        <v>0</v>
      </c>
      <c r="B606" s="8"/>
      <c r="C606" s="21"/>
      <c r="D606" s="21"/>
      <c r="E606" s="8"/>
      <c r="F606" s="8"/>
      <c r="G606" s="8"/>
      <c r="H606" s="18"/>
      <c r="I606" s="38"/>
      <c r="J606" s="18"/>
      <c r="Z606" s="8"/>
    </row>
    <row r="607">
      <c r="A607" s="8" t="b">
        <v>0</v>
      </c>
      <c r="B607" s="8"/>
      <c r="C607" s="21"/>
      <c r="D607" s="21"/>
      <c r="E607" s="8"/>
      <c r="F607" s="8"/>
      <c r="G607" s="8"/>
      <c r="H607" s="18"/>
      <c r="I607" s="38"/>
      <c r="J607" s="18"/>
      <c r="Z607" s="8"/>
    </row>
    <row r="608">
      <c r="A608" s="8" t="b">
        <v>0</v>
      </c>
      <c r="B608" s="8"/>
      <c r="C608" s="21"/>
      <c r="D608" s="21"/>
      <c r="E608" s="8"/>
      <c r="F608" s="8"/>
      <c r="G608" s="8"/>
      <c r="H608" s="18"/>
      <c r="I608" s="38"/>
      <c r="J608" s="18"/>
      <c r="Z608" s="8"/>
    </row>
    <row r="609">
      <c r="A609" s="8" t="b">
        <v>0</v>
      </c>
      <c r="B609" s="8"/>
      <c r="C609" s="21"/>
      <c r="D609" s="21"/>
      <c r="E609" s="8"/>
      <c r="F609" s="8"/>
      <c r="G609" s="8"/>
      <c r="H609" s="18"/>
      <c r="I609" s="38"/>
      <c r="J609" s="18"/>
      <c r="Z609" s="8"/>
    </row>
    <row r="610">
      <c r="A610" s="8" t="b">
        <v>0</v>
      </c>
      <c r="B610" s="8"/>
      <c r="C610" s="21"/>
      <c r="D610" s="21"/>
      <c r="E610" s="8"/>
      <c r="F610" s="8"/>
      <c r="G610" s="8"/>
      <c r="H610" s="18"/>
      <c r="I610" s="38"/>
      <c r="J610" s="18"/>
      <c r="Z610" s="8"/>
    </row>
    <row r="611">
      <c r="A611" s="8" t="b">
        <v>0</v>
      </c>
      <c r="B611" s="8"/>
      <c r="C611" s="21"/>
      <c r="D611" s="21"/>
      <c r="E611" s="8"/>
      <c r="F611" s="8"/>
      <c r="G611" s="8"/>
      <c r="H611" s="18"/>
      <c r="I611" s="38"/>
      <c r="J611" s="18"/>
      <c r="Z611" s="8"/>
    </row>
    <row r="612">
      <c r="A612" s="8" t="b">
        <v>0</v>
      </c>
      <c r="B612" s="8"/>
      <c r="C612" s="21"/>
      <c r="D612" s="21"/>
      <c r="E612" s="8"/>
      <c r="F612" s="8"/>
      <c r="G612" s="8"/>
      <c r="H612" s="18"/>
      <c r="I612" s="38"/>
      <c r="J612" s="18"/>
      <c r="Z612" s="8"/>
    </row>
    <row r="613">
      <c r="A613" s="8" t="b">
        <v>0</v>
      </c>
      <c r="B613" s="8"/>
      <c r="C613" s="21"/>
      <c r="D613" s="21"/>
      <c r="E613" s="8"/>
      <c r="F613" s="8"/>
      <c r="G613" s="8"/>
      <c r="H613" s="18"/>
      <c r="I613" s="38"/>
      <c r="J613" s="18"/>
      <c r="Z613" s="8"/>
    </row>
    <row r="614">
      <c r="A614" s="8" t="b">
        <v>0</v>
      </c>
      <c r="B614" s="8"/>
      <c r="C614" s="21"/>
      <c r="D614" s="21"/>
      <c r="E614" s="8"/>
      <c r="F614" s="8"/>
      <c r="G614" s="8"/>
      <c r="H614" s="18"/>
      <c r="I614" s="38"/>
      <c r="J614" s="18"/>
      <c r="Z614" s="8"/>
    </row>
    <row r="615">
      <c r="A615" s="8" t="b">
        <v>0</v>
      </c>
      <c r="B615" s="8"/>
      <c r="C615" s="21"/>
      <c r="D615" s="21"/>
      <c r="E615" s="8"/>
      <c r="F615" s="8"/>
      <c r="G615" s="8"/>
      <c r="H615" s="18"/>
      <c r="I615" s="38"/>
      <c r="J615" s="18"/>
      <c r="Z615" s="8"/>
    </row>
    <row r="616">
      <c r="A616" s="8" t="b">
        <v>0</v>
      </c>
      <c r="B616" s="8"/>
      <c r="C616" s="21"/>
      <c r="D616" s="21"/>
      <c r="E616" s="8"/>
      <c r="F616" s="8"/>
      <c r="G616" s="8"/>
      <c r="H616" s="18"/>
      <c r="I616" s="38"/>
      <c r="J616" s="18"/>
      <c r="Z616" s="8"/>
    </row>
    <row r="617">
      <c r="A617" s="8" t="b">
        <v>0</v>
      </c>
      <c r="B617" s="8"/>
      <c r="C617" s="21"/>
      <c r="D617" s="21"/>
      <c r="E617" s="8"/>
      <c r="F617" s="8"/>
      <c r="G617" s="8"/>
      <c r="H617" s="18"/>
      <c r="I617" s="38"/>
      <c r="J617" s="18"/>
      <c r="Z617" s="8"/>
    </row>
    <row r="618">
      <c r="A618" s="8" t="b">
        <v>0</v>
      </c>
      <c r="B618" s="8"/>
      <c r="C618" s="21"/>
      <c r="D618" s="21"/>
      <c r="E618" s="8"/>
      <c r="F618" s="8"/>
      <c r="G618" s="8"/>
      <c r="H618" s="18"/>
      <c r="I618" s="38"/>
      <c r="J618" s="18"/>
      <c r="Z618" s="8"/>
    </row>
    <row r="619">
      <c r="A619" s="8" t="b">
        <v>0</v>
      </c>
      <c r="B619" s="8"/>
      <c r="C619" s="21"/>
      <c r="D619" s="21"/>
      <c r="E619" s="8"/>
      <c r="F619" s="8"/>
      <c r="G619" s="8"/>
      <c r="H619" s="18"/>
      <c r="I619" s="38"/>
      <c r="J619" s="18"/>
      <c r="Z619" s="8"/>
    </row>
    <row r="620">
      <c r="A620" s="8" t="b">
        <v>0</v>
      </c>
      <c r="B620" s="8"/>
      <c r="C620" s="21"/>
      <c r="D620" s="21"/>
      <c r="E620" s="8"/>
      <c r="F620" s="8"/>
      <c r="G620" s="8"/>
      <c r="H620" s="18"/>
      <c r="I620" s="38"/>
      <c r="J620" s="18"/>
      <c r="Z620" s="8"/>
    </row>
    <row r="621">
      <c r="A621" s="8" t="b">
        <v>0</v>
      </c>
      <c r="B621" s="8"/>
      <c r="C621" s="21"/>
      <c r="D621" s="21"/>
      <c r="E621" s="8"/>
      <c r="F621" s="8"/>
      <c r="G621" s="8"/>
      <c r="H621" s="18"/>
      <c r="I621" s="38"/>
      <c r="J621" s="18"/>
      <c r="Z621" s="8"/>
    </row>
    <row r="622">
      <c r="A622" s="8" t="b">
        <v>0</v>
      </c>
      <c r="B622" s="8"/>
      <c r="C622" s="21"/>
      <c r="D622" s="21"/>
      <c r="E622" s="8"/>
      <c r="F622" s="8"/>
      <c r="G622" s="8"/>
      <c r="H622" s="18"/>
      <c r="I622" s="38"/>
      <c r="J622" s="18"/>
      <c r="Z622" s="8"/>
    </row>
    <row r="623">
      <c r="A623" s="8" t="b">
        <v>0</v>
      </c>
      <c r="B623" s="8"/>
      <c r="C623" s="21"/>
      <c r="D623" s="21"/>
      <c r="E623" s="8"/>
      <c r="F623" s="8"/>
      <c r="G623" s="8"/>
      <c r="H623" s="18"/>
      <c r="I623" s="38"/>
      <c r="J623" s="18"/>
      <c r="Z623" s="8"/>
    </row>
    <row r="624">
      <c r="A624" s="8" t="b">
        <v>0</v>
      </c>
      <c r="B624" s="8"/>
      <c r="C624" s="21"/>
      <c r="D624" s="21"/>
      <c r="E624" s="8"/>
      <c r="F624" s="8"/>
      <c r="G624" s="8"/>
      <c r="H624" s="18"/>
      <c r="I624" s="38"/>
      <c r="J624" s="18"/>
      <c r="Z624" s="8"/>
    </row>
    <row r="625">
      <c r="A625" s="8" t="b">
        <v>0</v>
      </c>
      <c r="B625" s="8"/>
      <c r="C625" s="21"/>
      <c r="D625" s="21"/>
      <c r="E625" s="8"/>
      <c r="F625" s="8"/>
      <c r="G625" s="8"/>
      <c r="H625" s="18"/>
      <c r="I625" s="38"/>
      <c r="J625" s="18"/>
      <c r="Z625" s="8"/>
    </row>
    <row r="626">
      <c r="A626" s="8" t="b">
        <v>0</v>
      </c>
      <c r="B626" s="8"/>
      <c r="C626" s="21"/>
      <c r="D626" s="21"/>
      <c r="E626" s="8"/>
      <c r="F626" s="8"/>
      <c r="G626" s="8"/>
      <c r="H626" s="18"/>
      <c r="I626" s="38"/>
      <c r="J626" s="18"/>
      <c r="Z626" s="8"/>
    </row>
    <row r="627">
      <c r="A627" s="8" t="b">
        <v>0</v>
      </c>
      <c r="B627" s="8"/>
      <c r="C627" s="21"/>
      <c r="D627" s="21"/>
      <c r="E627" s="8"/>
      <c r="F627" s="8"/>
      <c r="G627" s="8"/>
      <c r="H627" s="18"/>
      <c r="I627" s="38"/>
      <c r="J627" s="18"/>
      <c r="Z627" s="8"/>
    </row>
    <row r="628">
      <c r="A628" s="8" t="b">
        <v>0</v>
      </c>
      <c r="B628" s="8"/>
      <c r="C628" s="21"/>
      <c r="D628" s="21"/>
      <c r="E628" s="8"/>
      <c r="F628" s="8"/>
      <c r="G628" s="8"/>
      <c r="H628" s="18"/>
      <c r="I628" s="38"/>
      <c r="J628" s="18"/>
      <c r="Z628" s="8"/>
    </row>
    <row r="629">
      <c r="A629" s="8" t="b">
        <v>0</v>
      </c>
      <c r="B629" s="8"/>
      <c r="C629" s="21"/>
      <c r="D629" s="21"/>
      <c r="E629" s="8"/>
      <c r="F629" s="8"/>
      <c r="G629" s="8"/>
      <c r="H629" s="18"/>
      <c r="I629" s="38"/>
      <c r="J629" s="18"/>
      <c r="Z629" s="8"/>
    </row>
    <row r="630">
      <c r="A630" s="8" t="b">
        <v>0</v>
      </c>
      <c r="B630" s="8"/>
      <c r="C630" s="21"/>
      <c r="D630" s="21"/>
      <c r="E630" s="8"/>
      <c r="F630" s="8"/>
      <c r="G630" s="8"/>
      <c r="H630" s="18"/>
      <c r="I630" s="38"/>
      <c r="J630" s="18"/>
      <c r="Z630" s="8"/>
    </row>
    <row r="631">
      <c r="A631" s="8" t="b">
        <v>0</v>
      </c>
      <c r="B631" s="8"/>
      <c r="C631" s="21"/>
      <c r="D631" s="21"/>
      <c r="E631" s="8"/>
      <c r="F631" s="8"/>
      <c r="G631" s="8"/>
      <c r="H631" s="18"/>
      <c r="I631" s="38"/>
      <c r="J631" s="18"/>
      <c r="Z631" s="8"/>
    </row>
    <row r="632">
      <c r="A632" s="8" t="b">
        <v>0</v>
      </c>
      <c r="B632" s="8"/>
      <c r="C632" s="21"/>
      <c r="D632" s="21"/>
      <c r="E632" s="8"/>
      <c r="F632" s="8"/>
      <c r="G632" s="8"/>
      <c r="H632" s="18"/>
      <c r="I632" s="38"/>
      <c r="J632" s="18"/>
      <c r="Z632" s="8"/>
    </row>
    <row r="633">
      <c r="A633" s="8" t="b">
        <v>0</v>
      </c>
      <c r="B633" s="8"/>
      <c r="C633" s="21"/>
      <c r="D633" s="21"/>
      <c r="E633" s="8"/>
      <c r="F633" s="8"/>
      <c r="G633" s="8"/>
      <c r="H633" s="18"/>
      <c r="I633" s="38"/>
      <c r="J633" s="18"/>
      <c r="Z633" s="8"/>
    </row>
    <row r="634">
      <c r="A634" s="8" t="b">
        <v>0</v>
      </c>
      <c r="B634" s="8"/>
      <c r="C634" s="21"/>
      <c r="D634" s="21"/>
      <c r="E634" s="8"/>
      <c r="F634" s="8"/>
      <c r="G634" s="8"/>
      <c r="H634" s="18"/>
      <c r="I634" s="38"/>
      <c r="J634" s="18"/>
      <c r="Z634" s="8"/>
    </row>
    <row r="635">
      <c r="A635" s="8" t="b">
        <v>0</v>
      </c>
      <c r="B635" s="8"/>
      <c r="C635" s="21"/>
      <c r="D635" s="21"/>
      <c r="E635" s="8"/>
      <c r="F635" s="8"/>
      <c r="G635" s="8"/>
      <c r="H635" s="18"/>
      <c r="I635" s="38"/>
      <c r="J635" s="18"/>
      <c r="Z635" s="8"/>
    </row>
    <row r="636">
      <c r="A636" s="8" t="b">
        <v>0</v>
      </c>
      <c r="B636" s="8"/>
      <c r="C636" s="21"/>
      <c r="D636" s="21"/>
      <c r="E636" s="8"/>
      <c r="F636" s="8"/>
      <c r="G636" s="8"/>
      <c r="H636" s="18"/>
      <c r="I636" s="38"/>
      <c r="J636" s="18"/>
      <c r="Z636" s="8"/>
    </row>
    <row r="637">
      <c r="A637" s="8" t="b">
        <v>0</v>
      </c>
      <c r="B637" s="8"/>
      <c r="C637" s="21"/>
      <c r="D637" s="21"/>
      <c r="E637" s="8"/>
      <c r="F637" s="8"/>
      <c r="G637" s="8"/>
      <c r="H637" s="18"/>
      <c r="I637" s="38"/>
      <c r="J637" s="18"/>
      <c r="Z637" s="8"/>
    </row>
    <row r="638">
      <c r="A638" s="8" t="b">
        <v>0</v>
      </c>
      <c r="B638" s="8"/>
      <c r="C638" s="21"/>
      <c r="D638" s="21"/>
      <c r="E638" s="8"/>
      <c r="F638" s="8"/>
      <c r="G638" s="8"/>
      <c r="H638" s="18"/>
      <c r="I638" s="38"/>
      <c r="J638" s="18"/>
      <c r="Z638" s="8"/>
    </row>
    <row r="639">
      <c r="A639" s="8" t="b">
        <v>0</v>
      </c>
      <c r="B639" s="8"/>
      <c r="C639" s="21"/>
      <c r="D639" s="21"/>
      <c r="E639" s="8"/>
      <c r="F639" s="8"/>
      <c r="G639" s="8"/>
      <c r="H639" s="18"/>
      <c r="I639" s="38"/>
      <c r="J639" s="18"/>
      <c r="Z639" s="8"/>
    </row>
    <row r="640">
      <c r="A640" s="8" t="b">
        <v>0</v>
      </c>
      <c r="B640" s="8"/>
      <c r="C640" s="21"/>
      <c r="D640" s="21"/>
      <c r="E640" s="8"/>
      <c r="F640" s="8"/>
      <c r="G640" s="8"/>
      <c r="H640" s="18"/>
      <c r="I640" s="38"/>
      <c r="J640" s="18"/>
      <c r="Z640" s="8"/>
    </row>
    <row r="641">
      <c r="A641" s="8" t="b">
        <v>0</v>
      </c>
      <c r="B641" s="8"/>
      <c r="C641" s="21"/>
      <c r="D641" s="21"/>
      <c r="E641" s="8"/>
      <c r="F641" s="8"/>
      <c r="G641" s="8"/>
      <c r="H641" s="18"/>
      <c r="I641" s="38"/>
      <c r="J641" s="18"/>
      <c r="Z641" s="8"/>
    </row>
    <row r="642">
      <c r="A642" s="8" t="b">
        <v>0</v>
      </c>
      <c r="B642" s="8"/>
      <c r="C642" s="21"/>
      <c r="D642" s="21"/>
      <c r="E642" s="8"/>
      <c r="F642" s="8"/>
      <c r="G642" s="8"/>
      <c r="H642" s="18"/>
      <c r="I642" s="38"/>
      <c r="J642" s="18"/>
      <c r="Z642" s="8"/>
    </row>
    <row r="643">
      <c r="A643" s="8" t="b">
        <v>0</v>
      </c>
      <c r="B643" s="8"/>
      <c r="C643" s="21"/>
      <c r="D643" s="21"/>
      <c r="E643" s="8"/>
      <c r="F643" s="8"/>
      <c r="G643" s="8"/>
      <c r="H643" s="18"/>
      <c r="I643" s="38"/>
      <c r="J643" s="18"/>
      <c r="Z643" s="8"/>
    </row>
    <row r="644">
      <c r="A644" s="8" t="b">
        <v>0</v>
      </c>
      <c r="B644" s="8"/>
      <c r="C644" s="21"/>
      <c r="D644" s="21"/>
      <c r="E644" s="8"/>
      <c r="F644" s="8"/>
      <c r="G644" s="8"/>
      <c r="H644" s="18"/>
      <c r="I644" s="38"/>
      <c r="J644" s="18"/>
      <c r="Z644" s="8"/>
    </row>
    <row r="645">
      <c r="A645" s="8" t="b">
        <v>0</v>
      </c>
      <c r="B645" s="8"/>
      <c r="C645" s="21"/>
      <c r="D645" s="21"/>
      <c r="E645" s="8"/>
      <c r="F645" s="8"/>
      <c r="G645" s="8"/>
      <c r="H645" s="18"/>
      <c r="I645" s="38"/>
      <c r="J645" s="18"/>
      <c r="Z645" s="8"/>
    </row>
    <row r="646">
      <c r="A646" s="8" t="b">
        <v>0</v>
      </c>
      <c r="B646" s="8"/>
      <c r="C646" s="21"/>
      <c r="D646" s="21"/>
      <c r="E646" s="8"/>
      <c r="F646" s="8"/>
      <c r="G646" s="8"/>
      <c r="H646" s="18"/>
      <c r="I646" s="38"/>
      <c r="J646" s="18"/>
      <c r="Z646" s="8"/>
    </row>
    <row r="647">
      <c r="A647" s="8" t="b">
        <v>0</v>
      </c>
      <c r="B647" s="8"/>
      <c r="C647" s="21"/>
      <c r="D647" s="21"/>
      <c r="E647" s="8"/>
      <c r="F647" s="8"/>
      <c r="G647" s="8"/>
      <c r="H647" s="18"/>
      <c r="I647" s="38"/>
      <c r="J647" s="18"/>
      <c r="Z647" s="8"/>
    </row>
    <row r="648">
      <c r="A648" s="8" t="b">
        <v>0</v>
      </c>
      <c r="B648" s="8"/>
      <c r="C648" s="21"/>
      <c r="D648" s="21"/>
      <c r="E648" s="8"/>
      <c r="F648" s="8"/>
      <c r="G648" s="8"/>
      <c r="H648" s="18"/>
      <c r="I648" s="38"/>
      <c r="J648" s="18"/>
      <c r="Z648" s="8"/>
    </row>
    <row r="649">
      <c r="A649" s="8" t="b">
        <v>0</v>
      </c>
      <c r="B649" s="8"/>
      <c r="C649" s="21"/>
      <c r="D649" s="21"/>
      <c r="E649" s="8"/>
      <c r="F649" s="8"/>
      <c r="G649" s="8"/>
      <c r="H649" s="18"/>
      <c r="I649" s="38"/>
      <c r="J649" s="18"/>
      <c r="Z649" s="8"/>
    </row>
    <row r="650">
      <c r="A650" s="8" t="b">
        <v>0</v>
      </c>
      <c r="B650" s="8"/>
      <c r="C650" s="21"/>
      <c r="D650" s="21"/>
      <c r="E650" s="8"/>
      <c r="F650" s="8"/>
      <c r="G650" s="8"/>
      <c r="H650" s="18"/>
      <c r="I650" s="38"/>
      <c r="J650" s="18"/>
      <c r="Z650" s="8"/>
    </row>
    <row r="651">
      <c r="A651" s="8" t="b">
        <v>0</v>
      </c>
      <c r="B651" s="8"/>
      <c r="C651" s="21"/>
      <c r="D651" s="21"/>
      <c r="E651" s="8"/>
      <c r="F651" s="8"/>
      <c r="G651" s="8"/>
      <c r="H651" s="18"/>
      <c r="I651" s="38"/>
      <c r="J651" s="18"/>
      <c r="Z651" s="8"/>
    </row>
    <row r="652">
      <c r="A652" s="8" t="b">
        <v>0</v>
      </c>
      <c r="B652" s="8"/>
      <c r="C652" s="21"/>
      <c r="D652" s="21"/>
      <c r="E652" s="8"/>
      <c r="F652" s="8"/>
      <c r="G652" s="8"/>
      <c r="H652" s="18"/>
      <c r="I652" s="38"/>
      <c r="J652" s="18"/>
      <c r="Z652" s="8"/>
    </row>
    <row r="653">
      <c r="A653" s="8" t="b">
        <v>0</v>
      </c>
      <c r="B653" s="8"/>
      <c r="C653" s="21"/>
      <c r="D653" s="21"/>
      <c r="E653" s="8"/>
      <c r="F653" s="8"/>
      <c r="G653" s="8"/>
      <c r="H653" s="18"/>
      <c r="I653" s="38"/>
      <c r="J653" s="18"/>
      <c r="Z653" s="8"/>
    </row>
    <row r="654">
      <c r="A654" s="8" t="b">
        <v>0</v>
      </c>
      <c r="B654" s="8"/>
      <c r="C654" s="21"/>
      <c r="D654" s="21"/>
      <c r="E654" s="8"/>
      <c r="F654" s="8"/>
      <c r="G654" s="8"/>
      <c r="H654" s="18"/>
      <c r="I654" s="38"/>
      <c r="J654" s="18"/>
      <c r="Z654" s="8"/>
    </row>
    <row r="655">
      <c r="A655" s="8" t="b">
        <v>0</v>
      </c>
      <c r="B655" s="8"/>
      <c r="C655" s="21"/>
      <c r="D655" s="21"/>
      <c r="E655" s="8"/>
      <c r="F655" s="8"/>
      <c r="G655" s="8"/>
      <c r="H655" s="18"/>
      <c r="I655" s="38"/>
      <c r="J655" s="18"/>
      <c r="Z655" s="8"/>
    </row>
    <row r="656">
      <c r="A656" s="8" t="b">
        <v>0</v>
      </c>
      <c r="B656" s="8"/>
      <c r="C656" s="21"/>
      <c r="D656" s="21"/>
      <c r="E656" s="8"/>
      <c r="F656" s="8"/>
      <c r="G656" s="8"/>
      <c r="H656" s="18"/>
      <c r="I656" s="38"/>
      <c r="J656" s="18"/>
      <c r="Z656" s="8"/>
    </row>
    <row r="657">
      <c r="A657" s="8" t="b">
        <v>0</v>
      </c>
      <c r="B657" s="8"/>
      <c r="C657" s="21"/>
      <c r="D657" s="21"/>
      <c r="E657" s="8"/>
      <c r="F657" s="8"/>
      <c r="G657" s="8"/>
      <c r="H657" s="18"/>
      <c r="I657" s="38"/>
      <c r="J657" s="18"/>
      <c r="Z657" s="8"/>
    </row>
    <row r="658">
      <c r="A658" s="8" t="b">
        <v>0</v>
      </c>
      <c r="B658" s="8"/>
      <c r="C658" s="21"/>
      <c r="D658" s="21"/>
      <c r="E658" s="8"/>
      <c r="F658" s="8"/>
      <c r="G658" s="8"/>
      <c r="H658" s="18"/>
      <c r="I658" s="38"/>
      <c r="J658" s="18"/>
      <c r="Z658" s="8"/>
    </row>
    <row r="659">
      <c r="A659" s="8" t="b">
        <v>0</v>
      </c>
      <c r="B659" s="8"/>
      <c r="C659" s="21"/>
      <c r="D659" s="21"/>
      <c r="E659" s="8"/>
      <c r="F659" s="8"/>
      <c r="G659" s="8"/>
      <c r="H659" s="18"/>
      <c r="I659" s="38"/>
      <c r="J659" s="18"/>
      <c r="Z659" s="8"/>
    </row>
    <row r="660">
      <c r="A660" s="8" t="b">
        <v>0</v>
      </c>
      <c r="B660" s="8"/>
      <c r="C660" s="21"/>
      <c r="D660" s="21"/>
      <c r="E660" s="8"/>
      <c r="F660" s="8"/>
      <c r="G660" s="8"/>
      <c r="H660" s="18"/>
      <c r="I660" s="38"/>
      <c r="J660" s="18"/>
      <c r="Z660" s="8"/>
    </row>
    <row r="661">
      <c r="A661" s="8" t="b">
        <v>0</v>
      </c>
      <c r="B661" s="8"/>
      <c r="C661" s="21"/>
      <c r="D661" s="21"/>
      <c r="E661" s="8"/>
      <c r="F661" s="8"/>
      <c r="G661" s="8"/>
      <c r="H661" s="18"/>
      <c r="I661" s="38"/>
      <c r="J661" s="18"/>
      <c r="Z661" s="8"/>
    </row>
    <row r="662">
      <c r="A662" s="8" t="b">
        <v>0</v>
      </c>
      <c r="B662" s="8"/>
      <c r="C662" s="21"/>
      <c r="D662" s="21"/>
      <c r="E662" s="8"/>
      <c r="F662" s="8"/>
      <c r="G662" s="8"/>
      <c r="H662" s="18"/>
      <c r="I662" s="38"/>
      <c r="J662" s="18"/>
      <c r="Z662" s="8"/>
    </row>
    <row r="663">
      <c r="A663" s="8" t="b">
        <v>0</v>
      </c>
      <c r="B663" s="8"/>
      <c r="C663" s="21"/>
      <c r="D663" s="21"/>
      <c r="E663" s="8"/>
      <c r="F663" s="8"/>
      <c r="G663" s="8"/>
      <c r="H663" s="18"/>
      <c r="I663" s="38"/>
      <c r="J663" s="18"/>
      <c r="Z663" s="8"/>
    </row>
    <row r="664">
      <c r="A664" s="8" t="b">
        <v>0</v>
      </c>
      <c r="B664" s="8"/>
      <c r="C664" s="21"/>
      <c r="D664" s="21"/>
      <c r="E664" s="8"/>
      <c r="F664" s="8"/>
      <c r="G664" s="8"/>
      <c r="H664" s="18"/>
      <c r="I664" s="38"/>
      <c r="J664" s="18"/>
      <c r="Z664" s="8"/>
    </row>
    <row r="665">
      <c r="A665" s="8" t="b">
        <v>0</v>
      </c>
      <c r="B665" s="8"/>
      <c r="C665" s="21"/>
      <c r="D665" s="21"/>
      <c r="E665" s="8"/>
      <c r="F665" s="8"/>
      <c r="G665" s="8"/>
      <c r="H665" s="18"/>
      <c r="I665" s="38"/>
      <c r="J665" s="18"/>
      <c r="Z665" s="8"/>
    </row>
    <row r="666">
      <c r="A666" s="8" t="b">
        <v>0</v>
      </c>
      <c r="B666" s="8"/>
      <c r="C666" s="21"/>
      <c r="D666" s="21"/>
      <c r="E666" s="8"/>
      <c r="F666" s="8"/>
      <c r="G666" s="8"/>
      <c r="H666" s="18"/>
      <c r="I666" s="38"/>
      <c r="J666" s="18"/>
      <c r="Z666" s="8"/>
    </row>
    <row r="667">
      <c r="A667" s="8" t="b">
        <v>0</v>
      </c>
      <c r="B667" s="8"/>
      <c r="C667" s="21"/>
      <c r="D667" s="21"/>
      <c r="E667" s="8"/>
      <c r="F667" s="8"/>
      <c r="G667" s="8"/>
      <c r="H667" s="18"/>
      <c r="I667" s="38"/>
      <c r="J667" s="18"/>
      <c r="Z667" s="8"/>
    </row>
    <row r="668">
      <c r="A668" s="8" t="b">
        <v>0</v>
      </c>
      <c r="B668" s="8"/>
      <c r="C668" s="21"/>
      <c r="D668" s="21"/>
      <c r="E668" s="8"/>
      <c r="F668" s="8"/>
      <c r="G668" s="8"/>
      <c r="H668" s="18"/>
      <c r="I668" s="38"/>
      <c r="J668" s="18"/>
      <c r="Z668" s="8"/>
    </row>
    <row r="669">
      <c r="A669" s="8" t="b">
        <v>0</v>
      </c>
      <c r="B669" s="8"/>
      <c r="C669" s="21"/>
      <c r="D669" s="21"/>
      <c r="E669" s="8"/>
      <c r="F669" s="8"/>
      <c r="G669" s="8"/>
      <c r="H669" s="18"/>
      <c r="I669" s="38"/>
      <c r="J669" s="18"/>
      <c r="Z669" s="8"/>
    </row>
    <row r="670">
      <c r="A670" s="8" t="b">
        <v>0</v>
      </c>
      <c r="B670" s="8"/>
      <c r="C670" s="21"/>
      <c r="D670" s="21"/>
      <c r="E670" s="8"/>
      <c r="F670" s="8"/>
      <c r="G670" s="8"/>
      <c r="H670" s="18"/>
      <c r="I670" s="38"/>
      <c r="J670" s="18"/>
      <c r="Z670" s="8"/>
    </row>
    <row r="671">
      <c r="A671" s="8" t="b">
        <v>0</v>
      </c>
      <c r="B671" s="8"/>
      <c r="C671" s="21"/>
      <c r="D671" s="21"/>
      <c r="E671" s="8"/>
      <c r="F671" s="8"/>
      <c r="G671" s="8"/>
      <c r="H671" s="18"/>
      <c r="I671" s="38"/>
      <c r="J671" s="18"/>
      <c r="Z671" s="8"/>
    </row>
    <row r="672">
      <c r="A672" s="8" t="b">
        <v>0</v>
      </c>
      <c r="B672" s="8"/>
      <c r="C672" s="21"/>
      <c r="D672" s="21"/>
      <c r="E672" s="8"/>
      <c r="F672" s="8"/>
      <c r="G672" s="8"/>
      <c r="H672" s="18"/>
      <c r="I672" s="38"/>
      <c r="J672" s="18"/>
      <c r="Z672" s="8"/>
    </row>
    <row r="673">
      <c r="A673" s="8" t="b">
        <v>0</v>
      </c>
      <c r="B673" s="8"/>
      <c r="C673" s="21"/>
      <c r="D673" s="21"/>
      <c r="E673" s="8"/>
      <c r="F673" s="8"/>
      <c r="G673" s="8"/>
      <c r="H673" s="18"/>
      <c r="I673" s="38"/>
      <c r="J673" s="18"/>
      <c r="Z673" s="8"/>
    </row>
    <row r="674">
      <c r="A674" s="8" t="b">
        <v>0</v>
      </c>
      <c r="B674" s="8"/>
      <c r="C674" s="21"/>
      <c r="D674" s="21"/>
      <c r="E674" s="8"/>
      <c r="F674" s="8"/>
      <c r="G674" s="8"/>
      <c r="H674" s="18"/>
      <c r="I674" s="38"/>
      <c r="J674" s="18"/>
      <c r="Z674" s="8"/>
    </row>
    <row r="675">
      <c r="A675" s="8" t="b">
        <v>0</v>
      </c>
      <c r="B675" s="8"/>
      <c r="C675" s="21"/>
      <c r="D675" s="21"/>
      <c r="E675" s="8"/>
      <c r="F675" s="8"/>
      <c r="G675" s="8"/>
      <c r="H675" s="18"/>
      <c r="I675" s="38"/>
      <c r="J675" s="18"/>
      <c r="Z675" s="8"/>
    </row>
    <row r="676">
      <c r="A676" s="8" t="b">
        <v>0</v>
      </c>
      <c r="B676" s="8"/>
      <c r="C676" s="21"/>
      <c r="D676" s="21"/>
      <c r="E676" s="8"/>
      <c r="F676" s="8"/>
      <c r="G676" s="8"/>
      <c r="H676" s="18"/>
      <c r="I676" s="38"/>
      <c r="J676" s="18"/>
      <c r="Z676" s="8"/>
    </row>
    <row r="677">
      <c r="A677" s="8" t="b">
        <v>0</v>
      </c>
      <c r="B677" s="8"/>
      <c r="C677" s="21"/>
      <c r="D677" s="21"/>
      <c r="E677" s="8"/>
      <c r="F677" s="8"/>
      <c r="G677" s="8"/>
      <c r="H677" s="18"/>
      <c r="I677" s="38"/>
      <c r="J677" s="18"/>
      <c r="Z677" s="8"/>
    </row>
    <row r="678">
      <c r="A678" s="8" t="b">
        <v>0</v>
      </c>
      <c r="B678" s="8"/>
      <c r="C678" s="21"/>
      <c r="D678" s="21"/>
      <c r="E678" s="8"/>
      <c r="F678" s="8"/>
      <c r="G678" s="8"/>
      <c r="H678" s="18"/>
      <c r="I678" s="38"/>
      <c r="J678" s="18"/>
      <c r="Z678" s="8"/>
    </row>
    <row r="679">
      <c r="A679" s="8" t="b">
        <v>0</v>
      </c>
      <c r="B679" s="8"/>
      <c r="C679" s="21"/>
      <c r="D679" s="21"/>
      <c r="E679" s="8"/>
      <c r="F679" s="8"/>
      <c r="G679" s="8"/>
      <c r="H679" s="18"/>
      <c r="I679" s="38"/>
      <c r="J679" s="18"/>
      <c r="Z679" s="8"/>
    </row>
    <row r="680">
      <c r="A680" s="8" t="b">
        <v>0</v>
      </c>
      <c r="B680" s="8"/>
      <c r="C680" s="21"/>
      <c r="D680" s="21"/>
      <c r="E680" s="8"/>
      <c r="F680" s="8"/>
      <c r="G680" s="8"/>
      <c r="H680" s="18"/>
      <c r="I680" s="38"/>
      <c r="J680" s="18"/>
      <c r="Z680" s="8"/>
    </row>
    <row r="681">
      <c r="A681" s="8" t="b">
        <v>0</v>
      </c>
      <c r="B681" s="8"/>
      <c r="C681" s="21"/>
      <c r="D681" s="21"/>
      <c r="E681" s="8"/>
      <c r="F681" s="8"/>
      <c r="G681" s="8"/>
      <c r="H681" s="18"/>
      <c r="I681" s="38"/>
      <c r="J681" s="18"/>
      <c r="Z681" s="8"/>
    </row>
    <row r="682">
      <c r="A682" s="8" t="b">
        <v>0</v>
      </c>
      <c r="B682" s="8"/>
      <c r="C682" s="21"/>
      <c r="D682" s="21"/>
      <c r="E682" s="8"/>
      <c r="F682" s="8"/>
      <c r="G682" s="8"/>
      <c r="H682" s="18"/>
      <c r="I682" s="38"/>
      <c r="J682" s="18"/>
      <c r="Z682" s="8"/>
    </row>
    <row r="683">
      <c r="A683" s="8" t="b">
        <v>0</v>
      </c>
      <c r="B683" s="8"/>
      <c r="C683" s="21"/>
      <c r="D683" s="21"/>
      <c r="E683" s="8"/>
      <c r="F683" s="8"/>
      <c r="G683" s="8"/>
      <c r="H683" s="18"/>
      <c r="I683" s="38"/>
      <c r="J683" s="18"/>
      <c r="Z683" s="8"/>
    </row>
    <row r="684">
      <c r="A684" s="8" t="b">
        <v>0</v>
      </c>
      <c r="B684" s="8"/>
      <c r="C684" s="21"/>
      <c r="D684" s="21"/>
      <c r="E684" s="8"/>
      <c r="F684" s="8"/>
      <c r="G684" s="8"/>
      <c r="H684" s="18"/>
      <c r="I684" s="38"/>
      <c r="J684" s="18"/>
      <c r="Z684" s="8"/>
    </row>
    <row r="685">
      <c r="A685" s="8" t="b">
        <v>0</v>
      </c>
      <c r="B685" s="8"/>
      <c r="C685" s="21"/>
      <c r="D685" s="21"/>
      <c r="E685" s="8"/>
      <c r="F685" s="8"/>
      <c r="G685" s="8"/>
      <c r="H685" s="18"/>
      <c r="I685" s="38"/>
      <c r="J685" s="18"/>
      <c r="Z685" s="8"/>
    </row>
    <row r="686">
      <c r="A686" s="8" t="b">
        <v>0</v>
      </c>
      <c r="B686" s="8"/>
      <c r="C686" s="21"/>
      <c r="D686" s="21"/>
      <c r="E686" s="8"/>
      <c r="F686" s="8"/>
      <c r="G686" s="8"/>
      <c r="H686" s="18"/>
      <c r="I686" s="38"/>
      <c r="J686" s="18"/>
      <c r="Z686" s="8"/>
    </row>
    <row r="687">
      <c r="A687" s="8" t="b">
        <v>0</v>
      </c>
      <c r="B687" s="8"/>
      <c r="C687" s="21"/>
      <c r="D687" s="21"/>
      <c r="E687" s="8"/>
      <c r="F687" s="8"/>
      <c r="G687" s="8"/>
      <c r="H687" s="18"/>
      <c r="I687" s="38"/>
      <c r="J687" s="18"/>
      <c r="Z687" s="8"/>
    </row>
    <row r="688">
      <c r="A688" s="8" t="b">
        <v>0</v>
      </c>
      <c r="B688" s="8"/>
      <c r="C688" s="21"/>
      <c r="D688" s="21"/>
      <c r="E688" s="8"/>
      <c r="F688" s="8"/>
      <c r="G688" s="8"/>
      <c r="H688" s="18"/>
      <c r="I688" s="38"/>
      <c r="J688" s="18"/>
      <c r="Z688" s="8"/>
    </row>
    <row r="689">
      <c r="A689" s="8" t="b">
        <v>0</v>
      </c>
      <c r="B689" s="8"/>
      <c r="C689" s="21"/>
      <c r="D689" s="21"/>
      <c r="E689" s="8"/>
      <c r="F689" s="8"/>
      <c r="G689" s="8"/>
      <c r="H689" s="18"/>
      <c r="I689" s="38"/>
      <c r="J689" s="18"/>
      <c r="Z689" s="8"/>
    </row>
    <row r="690">
      <c r="A690" s="8" t="b">
        <v>0</v>
      </c>
      <c r="B690" s="8"/>
      <c r="C690" s="21"/>
      <c r="D690" s="21"/>
      <c r="E690" s="8"/>
      <c r="F690" s="8"/>
      <c r="G690" s="8"/>
      <c r="H690" s="18"/>
      <c r="I690" s="38"/>
      <c r="J690" s="18"/>
      <c r="Z690" s="8"/>
    </row>
    <row r="691">
      <c r="A691" s="8" t="b">
        <v>0</v>
      </c>
      <c r="B691" s="8"/>
      <c r="C691" s="21"/>
      <c r="D691" s="21"/>
      <c r="E691" s="8"/>
      <c r="F691" s="8"/>
      <c r="G691" s="8"/>
      <c r="H691" s="18"/>
      <c r="I691" s="38"/>
      <c r="J691" s="18"/>
      <c r="Z691" s="8"/>
    </row>
    <row r="692">
      <c r="A692" s="8" t="b">
        <v>0</v>
      </c>
      <c r="B692" s="8"/>
      <c r="C692" s="21"/>
      <c r="D692" s="21"/>
      <c r="E692" s="8"/>
      <c r="F692" s="8"/>
      <c r="G692" s="8"/>
      <c r="H692" s="18"/>
      <c r="I692" s="38"/>
      <c r="J692" s="18"/>
      <c r="Z692" s="8"/>
    </row>
    <row r="693">
      <c r="A693" s="8" t="b">
        <v>0</v>
      </c>
      <c r="B693" s="8"/>
      <c r="C693" s="21"/>
      <c r="D693" s="21"/>
      <c r="E693" s="8"/>
      <c r="F693" s="8"/>
      <c r="G693" s="8"/>
      <c r="H693" s="18"/>
      <c r="I693" s="38"/>
      <c r="J693" s="18"/>
      <c r="Z693" s="8"/>
    </row>
    <row r="694">
      <c r="A694" s="8" t="b">
        <v>0</v>
      </c>
      <c r="B694" s="8"/>
      <c r="C694" s="21"/>
      <c r="D694" s="21"/>
      <c r="E694" s="8"/>
      <c r="F694" s="8"/>
      <c r="G694" s="8"/>
      <c r="H694" s="18"/>
      <c r="I694" s="38"/>
      <c r="J694" s="18"/>
      <c r="Z694" s="8"/>
    </row>
    <row r="695">
      <c r="A695" s="8" t="b">
        <v>0</v>
      </c>
      <c r="B695" s="8"/>
      <c r="C695" s="21"/>
      <c r="D695" s="21"/>
      <c r="E695" s="8"/>
      <c r="F695" s="8"/>
      <c r="G695" s="8"/>
      <c r="H695" s="18"/>
      <c r="I695" s="38"/>
      <c r="J695" s="18"/>
      <c r="Z695" s="8"/>
    </row>
    <row r="696">
      <c r="A696" s="8" t="b">
        <v>0</v>
      </c>
      <c r="B696" s="8"/>
      <c r="C696" s="21"/>
      <c r="D696" s="21"/>
      <c r="E696" s="8"/>
      <c r="F696" s="8"/>
      <c r="G696" s="8"/>
      <c r="H696" s="18"/>
      <c r="I696" s="38"/>
      <c r="J696" s="18"/>
      <c r="Z696" s="8"/>
    </row>
    <row r="697">
      <c r="A697" s="8" t="b">
        <v>0</v>
      </c>
      <c r="B697" s="8"/>
      <c r="C697" s="21"/>
      <c r="D697" s="21"/>
      <c r="E697" s="8"/>
      <c r="F697" s="8"/>
      <c r="G697" s="8"/>
      <c r="H697" s="18"/>
      <c r="I697" s="38"/>
      <c r="J697" s="18"/>
      <c r="Z697" s="8"/>
    </row>
    <row r="698">
      <c r="A698" s="8" t="b">
        <v>0</v>
      </c>
      <c r="B698" s="8"/>
      <c r="C698" s="21"/>
      <c r="D698" s="21"/>
      <c r="E698" s="8"/>
      <c r="F698" s="8"/>
      <c r="G698" s="8"/>
      <c r="H698" s="18"/>
      <c r="I698" s="38"/>
      <c r="J698" s="18"/>
      <c r="Z698" s="8"/>
    </row>
    <row r="699">
      <c r="A699" s="8" t="b">
        <v>0</v>
      </c>
      <c r="B699" s="8"/>
      <c r="C699" s="21"/>
      <c r="D699" s="21"/>
      <c r="E699" s="8"/>
      <c r="F699" s="8"/>
      <c r="G699" s="8"/>
      <c r="H699" s="18"/>
      <c r="I699" s="38"/>
      <c r="J699" s="18"/>
      <c r="Z699" s="8"/>
    </row>
    <row r="700">
      <c r="A700" s="8" t="b">
        <v>0</v>
      </c>
      <c r="B700" s="8"/>
      <c r="C700" s="21"/>
      <c r="D700" s="21"/>
      <c r="E700" s="8"/>
      <c r="F700" s="8"/>
      <c r="G700" s="8"/>
      <c r="H700" s="18"/>
      <c r="I700" s="38"/>
      <c r="J700" s="18"/>
      <c r="Z700" s="8"/>
    </row>
    <row r="701">
      <c r="A701" s="8" t="b">
        <v>0</v>
      </c>
      <c r="B701" s="8"/>
      <c r="C701" s="21"/>
      <c r="D701" s="21"/>
      <c r="E701" s="8"/>
      <c r="F701" s="8"/>
      <c r="G701" s="8"/>
      <c r="H701" s="18"/>
      <c r="I701" s="38"/>
      <c r="J701" s="18"/>
      <c r="Z701" s="8"/>
    </row>
    <row r="702">
      <c r="A702" s="8" t="b">
        <v>0</v>
      </c>
      <c r="B702" s="8"/>
      <c r="C702" s="21"/>
      <c r="D702" s="21"/>
      <c r="E702" s="8"/>
      <c r="F702" s="8"/>
      <c r="G702" s="8"/>
      <c r="H702" s="18"/>
      <c r="I702" s="38"/>
      <c r="J702" s="18"/>
      <c r="Z702" s="8"/>
    </row>
    <row r="703">
      <c r="A703" s="8" t="b">
        <v>0</v>
      </c>
      <c r="B703" s="8"/>
      <c r="C703" s="21"/>
      <c r="D703" s="21"/>
      <c r="E703" s="8"/>
      <c r="F703" s="8"/>
      <c r="G703" s="8"/>
      <c r="H703" s="18"/>
      <c r="I703" s="38"/>
      <c r="J703" s="18"/>
      <c r="Z703" s="8"/>
    </row>
    <row r="704">
      <c r="A704" s="8" t="b">
        <v>0</v>
      </c>
      <c r="B704" s="8"/>
      <c r="C704" s="21"/>
      <c r="D704" s="21"/>
      <c r="E704" s="8"/>
      <c r="F704" s="8"/>
      <c r="G704" s="8"/>
      <c r="H704" s="18"/>
      <c r="I704" s="38"/>
      <c r="J704" s="18"/>
      <c r="Z704" s="8"/>
    </row>
    <row r="705">
      <c r="A705" s="8" t="b">
        <v>0</v>
      </c>
      <c r="B705" s="8"/>
      <c r="C705" s="21"/>
      <c r="D705" s="21"/>
      <c r="E705" s="8"/>
      <c r="F705" s="8"/>
      <c r="G705" s="8"/>
      <c r="H705" s="18"/>
      <c r="I705" s="38"/>
      <c r="J705" s="18"/>
      <c r="Z705" s="8"/>
    </row>
    <row r="706">
      <c r="A706" s="8" t="b">
        <v>0</v>
      </c>
      <c r="B706" s="8"/>
      <c r="C706" s="21"/>
      <c r="D706" s="21"/>
      <c r="E706" s="8"/>
      <c r="F706" s="8"/>
      <c r="G706" s="8"/>
      <c r="H706" s="18"/>
      <c r="I706" s="38"/>
      <c r="J706" s="18"/>
      <c r="Z706" s="8"/>
    </row>
    <row r="707">
      <c r="A707" s="8" t="b">
        <v>0</v>
      </c>
      <c r="B707" s="8"/>
      <c r="C707" s="21"/>
      <c r="D707" s="21"/>
      <c r="E707" s="8"/>
      <c r="F707" s="8"/>
      <c r="G707" s="8"/>
      <c r="H707" s="18"/>
      <c r="I707" s="38"/>
      <c r="J707" s="18"/>
      <c r="Z707" s="8"/>
    </row>
    <row r="708">
      <c r="A708" s="8" t="b">
        <v>0</v>
      </c>
      <c r="B708" s="8"/>
      <c r="C708" s="21"/>
      <c r="D708" s="21"/>
      <c r="E708" s="8"/>
      <c r="F708" s="8"/>
      <c r="G708" s="8"/>
      <c r="H708" s="18"/>
      <c r="I708" s="38"/>
      <c r="J708" s="18"/>
      <c r="Z708" s="8"/>
    </row>
    <row r="709">
      <c r="A709" s="8" t="b">
        <v>0</v>
      </c>
      <c r="B709" s="8"/>
      <c r="C709" s="21"/>
      <c r="D709" s="21"/>
      <c r="E709" s="8"/>
      <c r="F709" s="8"/>
      <c r="G709" s="8"/>
      <c r="H709" s="18"/>
      <c r="I709" s="38"/>
      <c r="J709" s="18"/>
      <c r="Z709" s="8"/>
    </row>
    <row r="710">
      <c r="A710" s="8" t="b">
        <v>0</v>
      </c>
      <c r="B710" s="8"/>
      <c r="C710" s="21"/>
      <c r="D710" s="21"/>
      <c r="E710" s="8"/>
      <c r="F710" s="8"/>
      <c r="G710" s="8"/>
      <c r="H710" s="18"/>
      <c r="I710" s="38"/>
      <c r="J710" s="18"/>
      <c r="Z710" s="8"/>
    </row>
    <row r="711">
      <c r="A711" s="8" t="b">
        <v>0</v>
      </c>
      <c r="B711" s="8"/>
      <c r="C711" s="21"/>
      <c r="D711" s="21"/>
      <c r="E711" s="8"/>
      <c r="F711" s="8"/>
      <c r="G711" s="8"/>
      <c r="H711" s="18"/>
      <c r="I711" s="38"/>
      <c r="J711" s="18"/>
      <c r="Z711" s="8"/>
    </row>
    <row r="712">
      <c r="A712" s="8" t="b">
        <v>0</v>
      </c>
      <c r="B712" s="8"/>
      <c r="C712" s="21"/>
      <c r="D712" s="21"/>
      <c r="E712" s="8"/>
      <c r="F712" s="8"/>
      <c r="G712" s="8"/>
      <c r="H712" s="18"/>
      <c r="I712" s="38"/>
      <c r="J712" s="18"/>
      <c r="Z712" s="8"/>
    </row>
    <row r="713">
      <c r="A713" s="8" t="b">
        <v>0</v>
      </c>
      <c r="B713" s="8"/>
      <c r="C713" s="21"/>
      <c r="D713" s="21"/>
      <c r="E713" s="8"/>
      <c r="F713" s="8"/>
      <c r="G713" s="8"/>
      <c r="H713" s="18"/>
      <c r="I713" s="38"/>
      <c r="J713" s="18"/>
      <c r="Z713" s="8"/>
    </row>
    <row r="714">
      <c r="A714" s="8" t="b">
        <v>0</v>
      </c>
      <c r="B714" s="8"/>
      <c r="C714" s="21"/>
      <c r="D714" s="21"/>
      <c r="E714" s="8"/>
      <c r="F714" s="8"/>
      <c r="G714" s="8"/>
      <c r="H714" s="18"/>
      <c r="I714" s="38"/>
      <c r="J714" s="18"/>
      <c r="Z714" s="8"/>
    </row>
    <row r="715">
      <c r="A715" s="8" t="b">
        <v>0</v>
      </c>
      <c r="B715" s="8"/>
      <c r="C715" s="21"/>
      <c r="D715" s="21"/>
      <c r="E715" s="8"/>
      <c r="F715" s="8"/>
      <c r="G715" s="8"/>
      <c r="H715" s="18"/>
      <c r="I715" s="38"/>
      <c r="J715" s="18"/>
      <c r="Z715" s="8"/>
    </row>
    <row r="716">
      <c r="A716" s="8" t="b">
        <v>0</v>
      </c>
      <c r="B716" s="8"/>
      <c r="C716" s="21"/>
      <c r="D716" s="21"/>
      <c r="E716" s="8"/>
      <c r="F716" s="8"/>
      <c r="G716" s="8"/>
      <c r="H716" s="18"/>
      <c r="I716" s="38"/>
      <c r="J716" s="18"/>
      <c r="Z716" s="8"/>
    </row>
    <row r="717">
      <c r="A717" s="8" t="b">
        <v>0</v>
      </c>
      <c r="B717" s="8"/>
      <c r="C717" s="21"/>
      <c r="D717" s="21"/>
      <c r="E717" s="8"/>
      <c r="F717" s="8"/>
      <c r="G717" s="8"/>
      <c r="H717" s="18"/>
      <c r="I717" s="38"/>
      <c r="J717" s="18"/>
      <c r="Z717" s="8"/>
    </row>
    <row r="718">
      <c r="A718" s="8" t="b">
        <v>0</v>
      </c>
      <c r="B718" s="8"/>
      <c r="C718" s="21"/>
      <c r="D718" s="21"/>
      <c r="E718" s="8"/>
      <c r="F718" s="8"/>
      <c r="G718" s="8"/>
      <c r="H718" s="18"/>
      <c r="I718" s="38"/>
      <c r="J718" s="18"/>
      <c r="Z718" s="8"/>
    </row>
    <row r="719">
      <c r="A719" s="8" t="b">
        <v>0</v>
      </c>
      <c r="B719" s="8"/>
      <c r="C719" s="21"/>
      <c r="D719" s="21"/>
      <c r="E719" s="8"/>
      <c r="F719" s="8"/>
      <c r="G719" s="8"/>
      <c r="H719" s="18"/>
      <c r="I719" s="38"/>
      <c r="J719" s="18"/>
      <c r="Z719" s="8"/>
    </row>
    <row r="720">
      <c r="A720" s="8" t="b">
        <v>0</v>
      </c>
      <c r="B720" s="8"/>
      <c r="C720" s="21"/>
      <c r="D720" s="21"/>
      <c r="E720" s="8"/>
      <c r="F720" s="8"/>
      <c r="G720" s="8"/>
      <c r="H720" s="18"/>
      <c r="I720" s="38"/>
      <c r="J720" s="18"/>
      <c r="Z720" s="8"/>
    </row>
    <row r="721">
      <c r="A721" s="8" t="b">
        <v>0</v>
      </c>
      <c r="B721" s="8"/>
      <c r="C721" s="21"/>
      <c r="D721" s="21"/>
      <c r="E721" s="8"/>
      <c r="F721" s="8"/>
      <c r="G721" s="8"/>
      <c r="H721" s="18"/>
      <c r="I721" s="38"/>
      <c r="J721" s="18"/>
      <c r="Z721" s="8"/>
    </row>
    <row r="722">
      <c r="A722" s="8" t="b">
        <v>0</v>
      </c>
      <c r="B722" s="8"/>
      <c r="C722" s="21"/>
      <c r="D722" s="21"/>
      <c r="E722" s="8"/>
      <c r="F722" s="8"/>
      <c r="G722" s="8"/>
      <c r="H722" s="18"/>
      <c r="I722" s="38"/>
      <c r="J722" s="18"/>
      <c r="Z722" s="8"/>
    </row>
    <row r="723">
      <c r="A723" s="8" t="b">
        <v>0</v>
      </c>
      <c r="B723" s="8"/>
      <c r="C723" s="21"/>
      <c r="D723" s="21"/>
      <c r="E723" s="8"/>
      <c r="F723" s="8"/>
      <c r="G723" s="8"/>
      <c r="H723" s="18"/>
      <c r="I723" s="38"/>
      <c r="J723" s="18"/>
      <c r="Z723" s="8"/>
    </row>
    <row r="724">
      <c r="A724" s="8" t="b">
        <v>0</v>
      </c>
      <c r="B724" s="8"/>
      <c r="C724" s="21"/>
      <c r="D724" s="21"/>
      <c r="E724" s="8"/>
      <c r="F724" s="8"/>
      <c r="G724" s="8"/>
      <c r="H724" s="18"/>
      <c r="I724" s="38"/>
      <c r="J724" s="18"/>
      <c r="Z724" s="8"/>
    </row>
    <row r="725">
      <c r="A725" s="8" t="b">
        <v>0</v>
      </c>
      <c r="B725" s="8"/>
      <c r="C725" s="21"/>
      <c r="D725" s="21"/>
      <c r="E725" s="8"/>
      <c r="F725" s="8"/>
      <c r="G725" s="8"/>
      <c r="H725" s="18"/>
      <c r="I725" s="38"/>
      <c r="J725" s="18"/>
      <c r="Z725" s="8"/>
    </row>
    <row r="726">
      <c r="A726" s="8" t="b">
        <v>0</v>
      </c>
      <c r="B726" s="8"/>
      <c r="C726" s="21"/>
      <c r="D726" s="21"/>
      <c r="E726" s="8"/>
      <c r="F726" s="8"/>
      <c r="G726" s="8"/>
      <c r="H726" s="18"/>
      <c r="I726" s="38"/>
      <c r="J726" s="18"/>
      <c r="Z726" s="8"/>
    </row>
    <row r="727">
      <c r="A727" s="8" t="b">
        <v>0</v>
      </c>
      <c r="B727" s="8"/>
      <c r="C727" s="21"/>
      <c r="D727" s="21"/>
      <c r="E727" s="8"/>
      <c r="F727" s="8"/>
      <c r="G727" s="8"/>
      <c r="H727" s="18"/>
      <c r="I727" s="38"/>
      <c r="J727" s="18"/>
      <c r="Z727" s="8"/>
    </row>
    <row r="728">
      <c r="A728" s="8" t="b">
        <v>0</v>
      </c>
      <c r="B728" s="8"/>
      <c r="C728" s="21"/>
      <c r="D728" s="21"/>
      <c r="E728" s="8"/>
      <c r="F728" s="8"/>
      <c r="G728" s="8"/>
      <c r="H728" s="18"/>
      <c r="I728" s="38"/>
      <c r="J728" s="18"/>
      <c r="Z728" s="8"/>
    </row>
    <row r="729">
      <c r="A729" s="8" t="b">
        <v>0</v>
      </c>
      <c r="B729" s="8"/>
      <c r="C729" s="21"/>
      <c r="D729" s="21"/>
      <c r="E729" s="8"/>
      <c r="F729" s="8"/>
      <c r="G729" s="8"/>
      <c r="H729" s="18"/>
      <c r="I729" s="38"/>
      <c r="J729" s="18"/>
      <c r="Z729" s="8"/>
    </row>
    <row r="730">
      <c r="A730" s="8" t="b">
        <v>0</v>
      </c>
      <c r="B730" s="8"/>
      <c r="C730" s="21"/>
      <c r="D730" s="21"/>
      <c r="E730" s="8"/>
      <c r="F730" s="8"/>
      <c r="G730" s="8"/>
      <c r="H730" s="18"/>
      <c r="I730" s="38"/>
      <c r="J730" s="18"/>
      <c r="Z730" s="8"/>
    </row>
    <row r="731">
      <c r="A731" s="8" t="b">
        <v>0</v>
      </c>
      <c r="B731" s="8"/>
      <c r="C731" s="21"/>
      <c r="D731" s="21"/>
      <c r="E731" s="8"/>
      <c r="F731" s="8"/>
      <c r="G731" s="8"/>
      <c r="H731" s="18"/>
      <c r="I731" s="38"/>
      <c r="J731" s="18"/>
      <c r="Z731" s="8"/>
    </row>
    <row r="732">
      <c r="A732" s="8" t="b">
        <v>0</v>
      </c>
      <c r="B732" s="8"/>
      <c r="C732" s="21"/>
      <c r="D732" s="21"/>
      <c r="E732" s="8"/>
      <c r="F732" s="8"/>
      <c r="G732" s="8"/>
      <c r="H732" s="18"/>
      <c r="I732" s="38"/>
      <c r="J732" s="18"/>
      <c r="Z732" s="8"/>
    </row>
    <row r="733">
      <c r="A733" s="8" t="b">
        <v>0</v>
      </c>
      <c r="B733" s="8"/>
      <c r="C733" s="21"/>
      <c r="D733" s="21"/>
      <c r="E733" s="8"/>
      <c r="F733" s="8"/>
      <c r="G733" s="8"/>
      <c r="H733" s="18"/>
      <c r="I733" s="38"/>
      <c r="J733" s="18"/>
      <c r="Z733" s="8"/>
    </row>
    <row r="734">
      <c r="A734" s="8" t="b">
        <v>0</v>
      </c>
      <c r="B734" s="8"/>
      <c r="C734" s="21"/>
      <c r="D734" s="21"/>
      <c r="E734" s="8"/>
      <c r="F734" s="8"/>
      <c r="G734" s="8"/>
      <c r="H734" s="18"/>
      <c r="I734" s="38"/>
      <c r="J734" s="18"/>
      <c r="Z734" s="8"/>
    </row>
    <row r="735">
      <c r="A735" s="8" t="b">
        <v>0</v>
      </c>
      <c r="B735" s="8"/>
      <c r="C735" s="21"/>
      <c r="D735" s="21"/>
      <c r="E735" s="8"/>
      <c r="F735" s="8"/>
      <c r="G735" s="8"/>
      <c r="H735" s="18"/>
      <c r="I735" s="38"/>
      <c r="J735" s="18"/>
      <c r="Z735" s="8"/>
    </row>
    <row r="736">
      <c r="A736" s="8" t="b">
        <v>0</v>
      </c>
      <c r="B736" s="8"/>
      <c r="C736" s="21"/>
      <c r="D736" s="21"/>
      <c r="E736" s="8"/>
      <c r="F736" s="8"/>
      <c r="G736" s="8"/>
      <c r="H736" s="18"/>
      <c r="I736" s="38"/>
      <c r="J736" s="18"/>
      <c r="Z736" s="8"/>
    </row>
    <row r="737">
      <c r="A737" s="8" t="b">
        <v>0</v>
      </c>
      <c r="B737" s="8"/>
      <c r="C737" s="21"/>
      <c r="D737" s="21"/>
      <c r="E737" s="8"/>
      <c r="F737" s="8"/>
      <c r="G737" s="8"/>
      <c r="H737" s="18"/>
      <c r="I737" s="38"/>
      <c r="J737" s="18"/>
      <c r="Z737" s="8"/>
    </row>
    <row r="738">
      <c r="A738" s="8" t="b">
        <v>0</v>
      </c>
      <c r="B738" s="8"/>
      <c r="C738" s="21"/>
      <c r="D738" s="21"/>
      <c r="E738" s="8"/>
      <c r="F738" s="8"/>
      <c r="G738" s="8"/>
      <c r="H738" s="18"/>
      <c r="I738" s="38"/>
      <c r="J738" s="18"/>
      <c r="Z738" s="8"/>
    </row>
    <row r="739">
      <c r="A739" s="8" t="b">
        <v>0</v>
      </c>
      <c r="B739" s="8"/>
      <c r="C739" s="21"/>
      <c r="D739" s="21"/>
      <c r="E739" s="8"/>
      <c r="F739" s="8"/>
      <c r="G739" s="8"/>
      <c r="H739" s="18"/>
      <c r="I739" s="38"/>
      <c r="J739" s="18"/>
      <c r="Z739" s="8"/>
    </row>
    <row r="740">
      <c r="A740" s="8" t="b">
        <v>0</v>
      </c>
      <c r="B740" s="8"/>
      <c r="C740" s="21"/>
      <c r="D740" s="21"/>
      <c r="E740" s="8"/>
      <c r="F740" s="8"/>
      <c r="G740" s="8"/>
      <c r="H740" s="18"/>
      <c r="I740" s="38"/>
      <c r="J740" s="18"/>
      <c r="Z740" s="8"/>
    </row>
    <row r="741">
      <c r="A741" s="8" t="b">
        <v>0</v>
      </c>
      <c r="B741" s="8"/>
      <c r="C741" s="21"/>
      <c r="D741" s="21"/>
      <c r="E741" s="8"/>
      <c r="F741" s="8"/>
      <c r="G741" s="8"/>
      <c r="H741" s="18"/>
      <c r="I741" s="38"/>
      <c r="J741" s="18"/>
      <c r="Z741" s="8"/>
    </row>
    <row r="742">
      <c r="A742" s="8" t="b">
        <v>0</v>
      </c>
      <c r="B742" s="8"/>
      <c r="C742" s="21"/>
      <c r="D742" s="21"/>
      <c r="E742" s="8"/>
      <c r="F742" s="8"/>
      <c r="G742" s="8"/>
      <c r="H742" s="18"/>
      <c r="I742" s="38"/>
      <c r="J742" s="18"/>
      <c r="Z742" s="8"/>
    </row>
    <row r="743">
      <c r="A743" s="8" t="b">
        <v>0</v>
      </c>
      <c r="B743" s="8"/>
      <c r="C743" s="21"/>
      <c r="D743" s="21"/>
      <c r="E743" s="8"/>
      <c r="F743" s="8"/>
      <c r="G743" s="8"/>
      <c r="H743" s="18"/>
      <c r="I743" s="38"/>
      <c r="J743" s="18"/>
      <c r="Z743" s="8"/>
    </row>
    <row r="744">
      <c r="A744" s="8" t="b">
        <v>0</v>
      </c>
      <c r="B744" s="8"/>
      <c r="C744" s="21"/>
      <c r="D744" s="21"/>
      <c r="E744" s="8"/>
      <c r="F744" s="8"/>
      <c r="G744" s="8"/>
      <c r="H744" s="18"/>
      <c r="I744" s="38"/>
      <c r="J744" s="18"/>
      <c r="Z744" s="8"/>
    </row>
    <row r="745">
      <c r="A745" s="8" t="b">
        <v>0</v>
      </c>
      <c r="B745" s="8"/>
      <c r="C745" s="21"/>
      <c r="D745" s="21"/>
      <c r="E745" s="8"/>
      <c r="F745" s="8"/>
      <c r="G745" s="8"/>
      <c r="H745" s="18"/>
      <c r="I745" s="38"/>
      <c r="J745" s="18"/>
      <c r="Z745" s="8"/>
    </row>
    <row r="746">
      <c r="A746" s="8" t="b">
        <v>0</v>
      </c>
      <c r="B746" s="8"/>
      <c r="C746" s="21"/>
      <c r="D746" s="21"/>
      <c r="E746" s="8"/>
      <c r="F746" s="8"/>
      <c r="G746" s="8"/>
      <c r="H746" s="18"/>
      <c r="I746" s="38"/>
      <c r="J746" s="18"/>
      <c r="Z746" s="8"/>
    </row>
    <row r="747">
      <c r="A747" s="8" t="b">
        <v>0</v>
      </c>
      <c r="B747" s="8"/>
      <c r="C747" s="21"/>
      <c r="D747" s="21"/>
      <c r="E747" s="8"/>
      <c r="F747" s="8"/>
      <c r="G747" s="8"/>
      <c r="H747" s="18"/>
      <c r="I747" s="38"/>
      <c r="J747" s="18"/>
      <c r="Z747" s="8"/>
    </row>
    <row r="748">
      <c r="A748" s="8" t="b">
        <v>0</v>
      </c>
      <c r="B748" s="8"/>
      <c r="C748" s="21"/>
      <c r="D748" s="21"/>
      <c r="E748" s="8"/>
      <c r="F748" s="8"/>
      <c r="G748" s="8"/>
      <c r="H748" s="18"/>
      <c r="I748" s="38"/>
      <c r="J748" s="18"/>
      <c r="Z748" s="8"/>
    </row>
    <row r="749">
      <c r="A749" s="8" t="b">
        <v>0</v>
      </c>
      <c r="B749" s="8"/>
      <c r="C749" s="21"/>
      <c r="D749" s="21"/>
      <c r="E749" s="8"/>
      <c r="F749" s="8"/>
      <c r="G749" s="8"/>
      <c r="H749" s="18"/>
      <c r="I749" s="38"/>
      <c r="J749" s="18"/>
      <c r="Z749" s="8"/>
    </row>
    <row r="750">
      <c r="A750" s="8" t="b">
        <v>0</v>
      </c>
      <c r="B750" s="8"/>
      <c r="C750" s="21"/>
      <c r="D750" s="21"/>
      <c r="E750" s="8"/>
      <c r="F750" s="8"/>
      <c r="G750" s="8"/>
      <c r="H750" s="18"/>
      <c r="I750" s="38"/>
      <c r="J750" s="18"/>
      <c r="Z750" s="8"/>
    </row>
    <row r="751">
      <c r="A751" s="8" t="b">
        <v>0</v>
      </c>
      <c r="B751" s="8"/>
      <c r="C751" s="21"/>
      <c r="D751" s="21"/>
      <c r="E751" s="8"/>
      <c r="F751" s="8"/>
      <c r="G751" s="8"/>
      <c r="H751" s="18"/>
      <c r="I751" s="38"/>
      <c r="J751" s="18"/>
      <c r="Z751" s="8"/>
    </row>
    <row r="752">
      <c r="A752" s="8" t="b">
        <v>0</v>
      </c>
      <c r="B752" s="8"/>
      <c r="C752" s="21"/>
      <c r="D752" s="21"/>
      <c r="E752" s="8"/>
      <c r="F752" s="8"/>
      <c r="G752" s="8"/>
      <c r="H752" s="18"/>
      <c r="I752" s="38"/>
      <c r="J752" s="18"/>
      <c r="Z752" s="8"/>
    </row>
    <row r="753">
      <c r="A753" s="8" t="b">
        <v>0</v>
      </c>
      <c r="B753" s="8"/>
      <c r="C753" s="21"/>
      <c r="D753" s="21"/>
      <c r="E753" s="8"/>
      <c r="F753" s="8"/>
      <c r="G753" s="8"/>
      <c r="H753" s="18"/>
      <c r="I753" s="38"/>
      <c r="J753" s="18"/>
      <c r="Z753" s="8"/>
    </row>
    <row r="754">
      <c r="A754" s="8" t="b">
        <v>0</v>
      </c>
      <c r="B754" s="8"/>
      <c r="C754" s="21"/>
      <c r="D754" s="21"/>
      <c r="E754" s="8"/>
      <c r="F754" s="8"/>
      <c r="G754" s="8"/>
      <c r="H754" s="18"/>
      <c r="I754" s="38"/>
      <c r="J754" s="18"/>
      <c r="Z754" s="8"/>
    </row>
    <row r="755">
      <c r="A755" s="8" t="b">
        <v>0</v>
      </c>
      <c r="B755" s="8"/>
      <c r="C755" s="21"/>
      <c r="D755" s="21"/>
      <c r="E755" s="8"/>
      <c r="F755" s="8"/>
      <c r="G755" s="8"/>
      <c r="H755" s="18"/>
      <c r="I755" s="38"/>
      <c r="J755" s="18"/>
      <c r="Z755" s="8"/>
    </row>
    <row r="756">
      <c r="A756" s="8" t="b">
        <v>0</v>
      </c>
      <c r="B756" s="8"/>
      <c r="C756" s="21"/>
      <c r="D756" s="21"/>
      <c r="E756" s="8"/>
      <c r="F756" s="8"/>
      <c r="G756" s="8"/>
      <c r="H756" s="18"/>
      <c r="I756" s="38"/>
      <c r="J756" s="18"/>
      <c r="Z756" s="8"/>
    </row>
    <row r="757">
      <c r="A757" s="8" t="b">
        <v>0</v>
      </c>
      <c r="B757" s="8"/>
      <c r="C757" s="21"/>
      <c r="D757" s="21"/>
      <c r="E757" s="8"/>
      <c r="F757" s="8"/>
      <c r="G757" s="8"/>
      <c r="H757" s="18"/>
      <c r="I757" s="38"/>
      <c r="J757" s="18"/>
      <c r="Z757" s="8"/>
    </row>
    <row r="758">
      <c r="A758" s="8" t="b">
        <v>0</v>
      </c>
      <c r="B758" s="8"/>
      <c r="C758" s="21"/>
      <c r="D758" s="21"/>
      <c r="E758" s="8"/>
      <c r="F758" s="8"/>
      <c r="G758" s="8"/>
      <c r="H758" s="18"/>
      <c r="I758" s="38"/>
      <c r="J758" s="18"/>
      <c r="Z758" s="8"/>
    </row>
    <row r="759">
      <c r="A759" s="8" t="b">
        <v>0</v>
      </c>
      <c r="B759" s="8"/>
      <c r="C759" s="21"/>
      <c r="D759" s="21"/>
      <c r="E759" s="8"/>
      <c r="F759" s="8"/>
      <c r="G759" s="8"/>
      <c r="H759" s="18"/>
      <c r="I759" s="38"/>
      <c r="J759" s="18"/>
      <c r="Z759" s="8"/>
    </row>
    <row r="760">
      <c r="A760" s="8" t="b">
        <v>0</v>
      </c>
      <c r="B760" s="8"/>
      <c r="C760" s="21"/>
      <c r="D760" s="21"/>
      <c r="E760" s="8"/>
      <c r="F760" s="8"/>
      <c r="G760" s="8"/>
      <c r="H760" s="18"/>
      <c r="I760" s="38"/>
      <c r="J760" s="18"/>
      <c r="Z760" s="8"/>
    </row>
    <row r="761">
      <c r="A761" s="8" t="b">
        <v>0</v>
      </c>
      <c r="B761" s="8"/>
      <c r="C761" s="21"/>
      <c r="D761" s="21"/>
      <c r="E761" s="8"/>
      <c r="F761" s="8"/>
      <c r="G761" s="8"/>
      <c r="H761" s="18"/>
      <c r="I761" s="38"/>
      <c r="J761" s="18"/>
      <c r="Z761" s="8"/>
    </row>
    <row r="762">
      <c r="A762" s="8" t="b">
        <v>0</v>
      </c>
      <c r="B762" s="8"/>
      <c r="C762" s="21"/>
      <c r="D762" s="21"/>
      <c r="E762" s="8"/>
      <c r="F762" s="8"/>
      <c r="G762" s="8"/>
      <c r="H762" s="18"/>
      <c r="I762" s="38"/>
      <c r="J762" s="18"/>
      <c r="Z762" s="8"/>
    </row>
    <row r="763">
      <c r="A763" s="8" t="b">
        <v>0</v>
      </c>
      <c r="B763" s="8"/>
      <c r="C763" s="21"/>
      <c r="D763" s="21"/>
      <c r="E763" s="8"/>
      <c r="F763" s="8"/>
      <c r="G763" s="8"/>
      <c r="H763" s="18"/>
      <c r="I763" s="38"/>
      <c r="J763" s="18"/>
      <c r="Z763" s="8"/>
    </row>
    <row r="764">
      <c r="A764" s="8" t="b">
        <v>0</v>
      </c>
      <c r="B764" s="8"/>
      <c r="C764" s="21"/>
      <c r="D764" s="21"/>
      <c r="E764" s="8"/>
      <c r="F764" s="8"/>
      <c r="G764" s="8"/>
      <c r="H764" s="18"/>
      <c r="I764" s="38"/>
      <c r="J764" s="18"/>
      <c r="Z764" s="8"/>
    </row>
    <row r="765">
      <c r="A765" s="8" t="b">
        <v>0</v>
      </c>
      <c r="B765" s="8"/>
      <c r="C765" s="21"/>
      <c r="D765" s="21"/>
      <c r="E765" s="8"/>
      <c r="F765" s="8"/>
      <c r="G765" s="8"/>
      <c r="H765" s="18"/>
      <c r="I765" s="38"/>
      <c r="J765" s="18"/>
      <c r="Z765" s="8"/>
    </row>
    <row r="766">
      <c r="A766" s="8" t="b">
        <v>0</v>
      </c>
      <c r="B766" s="8"/>
      <c r="C766" s="21"/>
      <c r="D766" s="21"/>
      <c r="E766" s="8"/>
      <c r="F766" s="8"/>
      <c r="G766" s="8"/>
      <c r="H766" s="18"/>
      <c r="I766" s="38"/>
      <c r="J766" s="18"/>
      <c r="Z766" s="8"/>
    </row>
    <row r="767">
      <c r="A767" s="8" t="b">
        <v>0</v>
      </c>
      <c r="B767" s="8"/>
      <c r="C767" s="21"/>
      <c r="D767" s="21"/>
      <c r="E767" s="8"/>
      <c r="F767" s="8"/>
      <c r="G767" s="8"/>
      <c r="H767" s="18"/>
      <c r="I767" s="38"/>
      <c r="J767" s="18"/>
      <c r="Z767" s="8"/>
    </row>
    <row r="768">
      <c r="A768" s="8" t="b">
        <v>0</v>
      </c>
      <c r="B768" s="8"/>
      <c r="C768" s="21"/>
      <c r="D768" s="21"/>
      <c r="E768" s="8"/>
      <c r="F768" s="8"/>
      <c r="G768" s="8"/>
      <c r="H768" s="18"/>
      <c r="I768" s="38"/>
      <c r="J768" s="18"/>
      <c r="Z768" s="8"/>
    </row>
    <row r="769">
      <c r="A769" s="8" t="b">
        <v>0</v>
      </c>
      <c r="B769" s="8"/>
      <c r="C769" s="21"/>
      <c r="D769" s="21"/>
      <c r="E769" s="8"/>
      <c r="F769" s="8"/>
      <c r="G769" s="8"/>
      <c r="H769" s="18"/>
      <c r="I769" s="38"/>
      <c r="J769" s="18"/>
      <c r="Z769" s="8"/>
    </row>
    <row r="770">
      <c r="A770" s="8" t="b">
        <v>0</v>
      </c>
      <c r="B770" s="8"/>
      <c r="C770" s="21"/>
      <c r="D770" s="21"/>
      <c r="E770" s="8"/>
      <c r="F770" s="8"/>
      <c r="G770" s="8"/>
      <c r="H770" s="18"/>
      <c r="I770" s="38"/>
      <c r="J770" s="18"/>
      <c r="Z770" s="8"/>
    </row>
    <row r="771">
      <c r="A771" s="8" t="b">
        <v>0</v>
      </c>
      <c r="B771" s="8"/>
      <c r="C771" s="21"/>
      <c r="D771" s="21"/>
      <c r="E771" s="8"/>
      <c r="F771" s="8"/>
      <c r="G771" s="8"/>
      <c r="H771" s="18"/>
      <c r="I771" s="38"/>
      <c r="J771" s="18"/>
      <c r="Z771" s="8"/>
    </row>
    <row r="772">
      <c r="A772" s="8" t="b">
        <v>0</v>
      </c>
      <c r="B772" s="8"/>
      <c r="C772" s="21"/>
      <c r="D772" s="21"/>
      <c r="E772" s="8"/>
      <c r="F772" s="8"/>
      <c r="G772" s="8"/>
      <c r="H772" s="18"/>
      <c r="I772" s="38"/>
      <c r="J772" s="18"/>
      <c r="Z772" s="8"/>
    </row>
    <row r="773">
      <c r="A773" s="8" t="b">
        <v>0</v>
      </c>
      <c r="B773" s="8"/>
      <c r="C773" s="21"/>
      <c r="D773" s="21"/>
      <c r="E773" s="8"/>
      <c r="F773" s="8"/>
      <c r="G773" s="8"/>
      <c r="H773" s="18"/>
      <c r="I773" s="38"/>
      <c r="J773" s="18"/>
      <c r="Z773" s="8"/>
    </row>
    <row r="774">
      <c r="A774" s="8" t="b">
        <v>0</v>
      </c>
      <c r="B774" s="8"/>
      <c r="C774" s="21"/>
      <c r="D774" s="21"/>
      <c r="E774" s="8"/>
      <c r="F774" s="8"/>
      <c r="G774" s="8"/>
      <c r="H774" s="18"/>
      <c r="I774" s="38"/>
      <c r="J774" s="18"/>
      <c r="Z774" s="8"/>
    </row>
    <row r="775">
      <c r="A775" s="8" t="b">
        <v>0</v>
      </c>
      <c r="B775" s="8"/>
      <c r="C775" s="21"/>
      <c r="D775" s="21"/>
      <c r="E775" s="8"/>
      <c r="F775" s="8"/>
      <c r="G775" s="8"/>
      <c r="H775" s="18"/>
      <c r="I775" s="38"/>
      <c r="J775" s="18"/>
      <c r="Z775" s="8"/>
    </row>
    <row r="776">
      <c r="A776" s="8" t="b">
        <v>0</v>
      </c>
      <c r="B776" s="8"/>
      <c r="C776" s="21"/>
      <c r="D776" s="21"/>
      <c r="E776" s="8"/>
      <c r="F776" s="8"/>
      <c r="G776" s="8"/>
      <c r="H776" s="18"/>
      <c r="I776" s="38"/>
      <c r="J776" s="18"/>
      <c r="Z776" s="8"/>
    </row>
    <row r="777">
      <c r="A777" s="8" t="b">
        <v>0</v>
      </c>
      <c r="B777" s="8"/>
      <c r="C777" s="21"/>
      <c r="D777" s="21"/>
      <c r="E777" s="8"/>
      <c r="F777" s="8"/>
      <c r="G777" s="8"/>
      <c r="H777" s="18"/>
      <c r="I777" s="38"/>
      <c r="J777" s="18"/>
      <c r="Z777" s="8"/>
    </row>
    <row r="778">
      <c r="A778" s="8" t="b">
        <v>0</v>
      </c>
      <c r="B778" s="8"/>
      <c r="C778" s="21"/>
      <c r="D778" s="21"/>
      <c r="E778" s="8"/>
      <c r="F778" s="8"/>
      <c r="G778" s="8"/>
      <c r="H778" s="18"/>
      <c r="I778" s="38"/>
      <c r="J778" s="18"/>
      <c r="Z778" s="8"/>
    </row>
    <row r="779">
      <c r="A779" s="8" t="b">
        <v>0</v>
      </c>
      <c r="B779" s="8"/>
      <c r="C779" s="21"/>
      <c r="D779" s="21"/>
      <c r="E779" s="8"/>
      <c r="F779" s="8"/>
      <c r="G779" s="8"/>
      <c r="H779" s="18"/>
      <c r="I779" s="38"/>
      <c r="J779" s="18"/>
      <c r="Z779" s="8"/>
    </row>
    <row r="780">
      <c r="A780" s="8" t="b">
        <v>0</v>
      </c>
      <c r="B780" s="8"/>
      <c r="C780" s="21"/>
      <c r="D780" s="21"/>
      <c r="E780" s="8"/>
      <c r="F780" s="8"/>
      <c r="G780" s="8"/>
      <c r="H780" s="18"/>
      <c r="I780" s="38"/>
      <c r="J780" s="18"/>
      <c r="Z780" s="8"/>
    </row>
    <row r="781">
      <c r="A781" s="8" t="b">
        <v>0</v>
      </c>
      <c r="B781" s="8"/>
      <c r="C781" s="21"/>
      <c r="D781" s="21"/>
      <c r="E781" s="8"/>
      <c r="F781" s="8"/>
      <c r="G781" s="8"/>
      <c r="H781" s="18"/>
      <c r="I781" s="38"/>
      <c r="J781" s="18"/>
      <c r="Z781" s="8"/>
    </row>
    <row r="782">
      <c r="A782" s="8" t="b">
        <v>0</v>
      </c>
      <c r="B782" s="8"/>
      <c r="C782" s="21"/>
      <c r="D782" s="21"/>
      <c r="E782" s="8"/>
      <c r="F782" s="8"/>
      <c r="G782" s="8"/>
      <c r="H782" s="18"/>
      <c r="I782" s="38"/>
      <c r="J782" s="18"/>
      <c r="Z782" s="8"/>
    </row>
    <row r="783">
      <c r="A783" s="8" t="b">
        <v>0</v>
      </c>
      <c r="B783" s="8"/>
      <c r="C783" s="21"/>
      <c r="D783" s="21"/>
      <c r="E783" s="8"/>
      <c r="F783" s="8"/>
      <c r="G783" s="8"/>
      <c r="H783" s="18"/>
      <c r="I783" s="38"/>
      <c r="J783" s="18"/>
      <c r="Z783" s="8"/>
    </row>
    <row r="784">
      <c r="A784" s="8" t="b">
        <v>0</v>
      </c>
      <c r="B784" s="8"/>
      <c r="C784" s="21"/>
      <c r="D784" s="21"/>
      <c r="E784" s="8"/>
      <c r="F784" s="8"/>
      <c r="G784" s="8"/>
      <c r="H784" s="18"/>
      <c r="I784" s="38"/>
      <c r="J784" s="18"/>
      <c r="Z784" s="8"/>
    </row>
    <row r="785">
      <c r="A785" s="8" t="b">
        <v>0</v>
      </c>
      <c r="B785" s="8"/>
      <c r="C785" s="21"/>
      <c r="D785" s="21"/>
      <c r="E785" s="8"/>
      <c r="F785" s="8"/>
      <c r="G785" s="8"/>
      <c r="H785" s="18"/>
      <c r="I785" s="38"/>
      <c r="J785" s="18"/>
      <c r="Z785" s="8"/>
    </row>
    <row r="786">
      <c r="A786" s="8" t="b">
        <v>0</v>
      </c>
      <c r="B786" s="8"/>
      <c r="C786" s="21"/>
      <c r="D786" s="21"/>
      <c r="E786" s="8"/>
      <c r="F786" s="8"/>
      <c r="G786" s="8"/>
      <c r="H786" s="18"/>
      <c r="I786" s="38"/>
      <c r="J786" s="18"/>
      <c r="Z786" s="8"/>
    </row>
    <row r="787">
      <c r="A787" s="8" t="b">
        <v>0</v>
      </c>
      <c r="B787" s="8"/>
      <c r="C787" s="21"/>
      <c r="D787" s="21"/>
      <c r="E787" s="8"/>
      <c r="F787" s="8"/>
      <c r="G787" s="8"/>
      <c r="H787" s="18"/>
      <c r="I787" s="38"/>
      <c r="J787" s="18"/>
      <c r="Z787" s="8"/>
    </row>
    <row r="788">
      <c r="A788" s="8" t="b">
        <v>0</v>
      </c>
      <c r="B788" s="8"/>
      <c r="C788" s="21"/>
      <c r="D788" s="21"/>
      <c r="E788" s="8"/>
      <c r="F788" s="8"/>
      <c r="G788" s="8"/>
      <c r="H788" s="18"/>
      <c r="I788" s="38"/>
      <c r="J788" s="18"/>
      <c r="Z788" s="8"/>
    </row>
    <row r="789">
      <c r="A789" s="8" t="b">
        <v>0</v>
      </c>
      <c r="B789" s="8"/>
      <c r="C789" s="21"/>
      <c r="D789" s="21"/>
      <c r="E789" s="8"/>
      <c r="F789" s="8"/>
      <c r="G789" s="8"/>
      <c r="H789" s="18"/>
      <c r="I789" s="38"/>
      <c r="J789" s="18"/>
      <c r="Z789" s="8"/>
    </row>
    <row r="790">
      <c r="A790" s="8" t="b">
        <v>0</v>
      </c>
      <c r="B790" s="8"/>
      <c r="C790" s="21"/>
      <c r="D790" s="21"/>
      <c r="E790" s="8"/>
      <c r="F790" s="8"/>
      <c r="G790" s="8"/>
      <c r="H790" s="18"/>
      <c r="I790" s="38"/>
      <c r="J790" s="18"/>
      <c r="Z790" s="8"/>
    </row>
    <row r="791">
      <c r="A791" s="8" t="b">
        <v>0</v>
      </c>
      <c r="B791" s="8"/>
      <c r="C791" s="21"/>
      <c r="D791" s="21"/>
      <c r="E791" s="8"/>
      <c r="F791" s="8"/>
      <c r="G791" s="8"/>
      <c r="H791" s="18"/>
      <c r="I791" s="38"/>
      <c r="J791" s="18"/>
      <c r="Z791" s="8"/>
    </row>
    <row r="792">
      <c r="A792" s="8" t="b">
        <v>0</v>
      </c>
      <c r="B792" s="8"/>
      <c r="C792" s="21"/>
      <c r="D792" s="21"/>
      <c r="E792" s="8"/>
      <c r="F792" s="8"/>
      <c r="G792" s="8"/>
      <c r="H792" s="18"/>
      <c r="I792" s="38"/>
      <c r="J792" s="18"/>
      <c r="Z792" s="8"/>
    </row>
    <row r="793">
      <c r="A793" s="8" t="b">
        <v>0</v>
      </c>
      <c r="B793" s="8"/>
      <c r="C793" s="21"/>
      <c r="D793" s="21"/>
      <c r="E793" s="8"/>
      <c r="F793" s="8"/>
      <c r="G793" s="8"/>
      <c r="H793" s="18"/>
      <c r="I793" s="38"/>
      <c r="J793" s="18"/>
      <c r="Z793" s="8"/>
    </row>
    <row r="794">
      <c r="A794" s="8" t="b">
        <v>0</v>
      </c>
      <c r="B794" s="8"/>
      <c r="C794" s="21"/>
      <c r="D794" s="21"/>
      <c r="E794" s="8"/>
      <c r="F794" s="8"/>
      <c r="G794" s="8"/>
      <c r="H794" s="18"/>
      <c r="I794" s="38"/>
      <c r="J794" s="18"/>
      <c r="Z794" s="8"/>
    </row>
    <row r="795">
      <c r="A795" s="8" t="b">
        <v>0</v>
      </c>
      <c r="B795" s="8"/>
      <c r="C795" s="21"/>
      <c r="D795" s="21"/>
      <c r="E795" s="8"/>
      <c r="F795" s="8"/>
      <c r="G795" s="8"/>
      <c r="H795" s="18"/>
      <c r="I795" s="38"/>
      <c r="J795" s="18"/>
      <c r="Z795" s="8"/>
    </row>
    <row r="796">
      <c r="A796" s="8" t="b">
        <v>0</v>
      </c>
      <c r="B796" s="8"/>
      <c r="C796" s="21"/>
      <c r="D796" s="21"/>
      <c r="E796" s="8"/>
      <c r="F796" s="8"/>
      <c r="G796" s="8"/>
      <c r="H796" s="18"/>
      <c r="I796" s="38"/>
      <c r="J796" s="18"/>
      <c r="Z796" s="8"/>
    </row>
    <row r="797">
      <c r="A797" s="8" t="b">
        <v>0</v>
      </c>
      <c r="B797" s="8"/>
      <c r="C797" s="21"/>
      <c r="D797" s="21"/>
      <c r="E797" s="8"/>
      <c r="F797" s="8"/>
      <c r="G797" s="8"/>
      <c r="H797" s="18"/>
      <c r="I797" s="38"/>
      <c r="J797" s="18"/>
      <c r="Z797" s="8"/>
    </row>
    <row r="798">
      <c r="A798" s="8" t="b">
        <v>0</v>
      </c>
      <c r="B798" s="8"/>
      <c r="C798" s="21"/>
      <c r="D798" s="21"/>
      <c r="E798" s="8"/>
      <c r="F798" s="8"/>
      <c r="G798" s="8"/>
      <c r="H798" s="18"/>
      <c r="I798" s="38"/>
      <c r="J798" s="18"/>
      <c r="Z798" s="8"/>
    </row>
    <row r="799">
      <c r="A799" s="8" t="b">
        <v>0</v>
      </c>
      <c r="B799" s="8"/>
      <c r="C799" s="21"/>
      <c r="D799" s="21"/>
      <c r="E799" s="8"/>
      <c r="F799" s="8"/>
      <c r="G799" s="8"/>
      <c r="H799" s="18"/>
      <c r="I799" s="38"/>
      <c r="J799" s="18"/>
      <c r="Z799" s="8"/>
    </row>
    <row r="800">
      <c r="A800" s="8" t="b">
        <v>0</v>
      </c>
      <c r="B800" s="8"/>
      <c r="C800" s="21"/>
      <c r="D800" s="21"/>
      <c r="E800" s="8"/>
      <c r="F800" s="8"/>
      <c r="G800" s="8"/>
      <c r="H800" s="18"/>
      <c r="I800" s="38"/>
      <c r="J800" s="18"/>
      <c r="Z800" s="8"/>
    </row>
    <row r="801">
      <c r="A801" s="8" t="b">
        <v>0</v>
      </c>
      <c r="B801" s="8"/>
      <c r="C801" s="21"/>
      <c r="D801" s="21"/>
      <c r="E801" s="8"/>
      <c r="F801" s="8"/>
      <c r="G801" s="8"/>
      <c r="H801" s="18"/>
      <c r="I801" s="38"/>
      <c r="J801" s="18"/>
      <c r="Z801" s="8"/>
    </row>
    <row r="802">
      <c r="A802" s="8" t="b">
        <v>0</v>
      </c>
      <c r="B802" s="8"/>
      <c r="C802" s="21"/>
      <c r="D802" s="21"/>
      <c r="E802" s="8"/>
      <c r="F802" s="8"/>
      <c r="G802" s="8"/>
      <c r="H802" s="18"/>
      <c r="I802" s="38"/>
      <c r="J802" s="18"/>
      <c r="Z802" s="8"/>
    </row>
    <row r="803">
      <c r="A803" s="8" t="b">
        <v>0</v>
      </c>
      <c r="B803" s="8"/>
      <c r="C803" s="21"/>
      <c r="D803" s="21"/>
      <c r="E803" s="8"/>
      <c r="F803" s="8"/>
      <c r="G803" s="8"/>
      <c r="H803" s="18"/>
      <c r="I803" s="38"/>
      <c r="J803" s="18"/>
      <c r="Z803" s="8"/>
    </row>
    <row r="804">
      <c r="A804" s="8" t="b">
        <v>0</v>
      </c>
      <c r="B804" s="8"/>
      <c r="C804" s="21"/>
      <c r="D804" s="21"/>
      <c r="E804" s="8"/>
      <c r="F804" s="8"/>
      <c r="G804" s="8"/>
      <c r="H804" s="18"/>
      <c r="I804" s="38"/>
      <c r="J804" s="18"/>
      <c r="Z804" s="8"/>
    </row>
    <row r="805">
      <c r="A805" s="8" t="b">
        <v>0</v>
      </c>
      <c r="B805" s="8"/>
      <c r="C805" s="21"/>
      <c r="D805" s="21"/>
      <c r="E805" s="8"/>
      <c r="F805" s="8"/>
      <c r="G805" s="8"/>
      <c r="H805" s="18"/>
      <c r="I805" s="38"/>
      <c r="J805" s="18"/>
      <c r="Z805" s="8"/>
    </row>
    <row r="806">
      <c r="A806" s="8" t="b">
        <v>0</v>
      </c>
      <c r="B806" s="8"/>
      <c r="C806" s="21"/>
      <c r="D806" s="21"/>
      <c r="E806" s="8"/>
      <c r="F806" s="8"/>
      <c r="G806" s="8"/>
      <c r="H806" s="18"/>
      <c r="I806" s="38"/>
      <c r="J806" s="18"/>
      <c r="Z806" s="8"/>
    </row>
    <row r="807">
      <c r="A807" s="8" t="b">
        <v>0</v>
      </c>
      <c r="B807" s="8"/>
      <c r="C807" s="21"/>
      <c r="D807" s="21"/>
      <c r="E807" s="8"/>
      <c r="F807" s="8"/>
      <c r="G807" s="8"/>
      <c r="H807" s="18"/>
      <c r="I807" s="38"/>
      <c r="J807" s="18"/>
      <c r="Z807" s="8"/>
    </row>
    <row r="808">
      <c r="A808" s="8" t="b">
        <v>0</v>
      </c>
      <c r="B808" s="8"/>
      <c r="C808" s="21"/>
      <c r="D808" s="21"/>
      <c r="E808" s="8"/>
      <c r="F808" s="8"/>
      <c r="G808" s="8"/>
      <c r="H808" s="18"/>
      <c r="I808" s="38"/>
      <c r="J808" s="18"/>
      <c r="Z808" s="8"/>
    </row>
    <row r="809">
      <c r="A809" s="8" t="b">
        <v>0</v>
      </c>
      <c r="B809" s="8"/>
      <c r="C809" s="21"/>
      <c r="D809" s="21"/>
      <c r="E809" s="8"/>
      <c r="F809" s="8"/>
      <c r="G809" s="8"/>
      <c r="H809" s="18"/>
      <c r="I809" s="38"/>
      <c r="J809" s="18"/>
      <c r="Z809" s="8"/>
    </row>
    <row r="810">
      <c r="A810" s="8" t="b">
        <v>0</v>
      </c>
      <c r="B810" s="8"/>
      <c r="C810" s="21"/>
      <c r="D810" s="21"/>
      <c r="E810" s="8"/>
      <c r="F810" s="8"/>
      <c r="G810" s="8"/>
      <c r="H810" s="18"/>
      <c r="I810" s="38"/>
      <c r="J810" s="18"/>
      <c r="Z810" s="8"/>
    </row>
    <row r="811">
      <c r="A811" s="8" t="b">
        <v>0</v>
      </c>
      <c r="B811" s="8"/>
      <c r="C811" s="21"/>
      <c r="D811" s="21"/>
      <c r="E811" s="8"/>
      <c r="F811" s="8"/>
      <c r="G811" s="8"/>
      <c r="H811" s="18"/>
      <c r="I811" s="38"/>
      <c r="J811" s="18"/>
      <c r="Z811" s="8"/>
    </row>
    <row r="812">
      <c r="A812" s="8" t="b">
        <v>0</v>
      </c>
      <c r="B812" s="8"/>
      <c r="C812" s="21"/>
      <c r="D812" s="21"/>
      <c r="E812" s="8"/>
      <c r="F812" s="8"/>
      <c r="G812" s="8"/>
      <c r="H812" s="18"/>
      <c r="I812" s="38"/>
      <c r="J812" s="18"/>
      <c r="Z812" s="8"/>
    </row>
    <row r="813">
      <c r="A813" s="8" t="b">
        <v>0</v>
      </c>
      <c r="B813" s="8"/>
      <c r="C813" s="21"/>
      <c r="D813" s="21"/>
      <c r="E813" s="8"/>
      <c r="F813" s="8"/>
      <c r="G813" s="8"/>
      <c r="H813" s="18"/>
      <c r="I813" s="38"/>
      <c r="J813" s="18"/>
      <c r="Z813" s="8"/>
    </row>
    <row r="814">
      <c r="A814" s="8" t="b">
        <v>0</v>
      </c>
      <c r="B814" s="8"/>
      <c r="C814" s="21"/>
      <c r="D814" s="21"/>
      <c r="E814" s="8"/>
      <c r="F814" s="8"/>
      <c r="G814" s="8"/>
      <c r="H814" s="18"/>
      <c r="I814" s="38"/>
      <c r="J814" s="18"/>
      <c r="Z814" s="8"/>
    </row>
    <row r="815">
      <c r="A815" s="8" t="b">
        <v>0</v>
      </c>
      <c r="B815" s="8"/>
      <c r="C815" s="21"/>
      <c r="D815" s="21"/>
      <c r="E815" s="8"/>
      <c r="F815" s="8"/>
      <c r="G815" s="8"/>
      <c r="H815" s="18"/>
      <c r="I815" s="38"/>
      <c r="J815" s="18"/>
      <c r="Z815" s="8"/>
    </row>
    <row r="816">
      <c r="A816" s="8" t="b">
        <v>0</v>
      </c>
      <c r="B816" s="8"/>
      <c r="C816" s="21"/>
      <c r="D816" s="21"/>
      <c r="E816" s="8"/>
      <c r="F816" s="8"/>
      <c r="G816" s="8"/>
      <c r="H816" s="18"/>
      <c r="I816" s="38"/>
      <c r="J816" s="18"/>
      <c r="Z816" s="8"/>
    </row>
    <row r="817">
      <c r="A817" s="8" t="b">
        <v>0</v>
      </c>
      <c r="B817" s="8"/>
      <c r="C817" s="21"/>
      <c r="D817" s="21"/>
      <c r="E817" s="8"/>
      <c r="F817" s="8"/>
      <c r="G817" s="8"/>
      <c r="H817" s="18"/>
      <c r="I817" s="38"/>
      <c r="J817" s="18"/>
      <c r="Z817" s="8"/>
    </row>
    <row r="818">
      <c r="A818" s="8" t="b">
        <v>0</v>
      </c>
      <c r="B818" s="8"/>
      <c r="C818" s="21"/>
      <c r="D818" s="21"/>
      <c r="E818" s="8"/>
      <c r="F818" s="8"/>
      <c r="G818" s="8"/>
      <c r="H818" s="18"/>
      <c r="I818" s="38"/>
      <c r="J818" s="18"/>
      <c r="Z818" s="8"/>
    </row>
    <row r="819">
      <c r="A819" s="8" t="b">
        <v>0</v>
      </c>
      <c r="B819" s="8"/>
      <c r="C819" s="21"/>
      <c r="D819" s="21"/>
      <c r="E819" s="8"/>
      <c r="F819" s="8"/>
      <c r="G819" s="8"/>
      <c r="H819" s="18"/>
      <c r="I819" s="38"/>
      <c r="J819" s="18"/>
      <c r="Z819" s="8"/>
    </row>
    <row r="820">
      <c r="A820" s="8" t="b">
        <v>0</v>
      </c>
      <c r="B820" s="8"/>
      <c r="C820" s="21"/>
      <c r="D820" s="21"/>
      <c r="E820" s="8"/>
      <c r="F820" s="8"/>
      <c r="G820" s="8"/>
      <c r="H820" s="18"/>
      <c r="I820" s="38"/>
      <c r="J820" s="18"/>
      <c r="Z820" s="8"/>
    </row>
    <row r="821">
      <c r="A821" s="8" t="b">
        <v>0</v>
      </c>
      <c r="B821" s="8"/>
      <c r="C821" s="21"/>
      <c r="D821" s="21"/>
      <c r="E821" s="8"/>
      <c r="F821" s="8"/>
      <c r="G821" s="8"/>
      <c r="H821" s="18"/>
      <c r="I821" s="38"/>
      <c r="J821" s="18"/>
      <c r="Z821" s="8"/>
    </row>
    <row r="822">
      <c r="A822" s="8" t="b">
        <v>0</v>
      </c>
      <c r="B822" s="8"/>
      <c r="C822" s="21"/>
      <c r="D822" s="21"/>
      <c r="E822" s="8"/>
      <c r="F822" s="8"/>
      <c r="G822" s="8"/>
      <c r="H822" s="18"/>
      <c r="I822" s="38"/>
      <c r="J822" s="18"/>
      <c r="Z822" s="8"/>
    </row>
    <row r="823">
      <c r="A823" s="8" t="b">
        <v>0</v>
      </c>
      <c r="B823" s="8"/>
      <c r="C823" s="21"/>
      <c r="D823" s="21"/>
      <c r="E823" s="8"/>
      <c r="F823" s="8"/>
      <c r="G823" s="8"/>
      <c r="H823" s="18"/>
      <c r="I823" s="38"/>
      <c r="J823" s="18"/>
      <c r="Z823" s="8"/>
    </row>
    <row r="824">
      <c r="A824" s="8" t="b">
        <v>0</v>
      </c>
      <c r="B824" s="8"/>
      <c r="C824" s="21"/>
      <c r="D824" s="21"/>
      <c r="E824" s="8"/>
      <c r="F824" s="8"/>
      <c r="G824" s="8"/>
      <c r="H824" s="18"/>
      <c r="I824" s="38"/>
      <c r="J824" s="18"/>
      <c r="Z824" s="8"/>
    </row>
    <row r="825">
      <c r="A825" s="8" t="b">
        <v>0</v>
      </c>
      <c r="B825" s="8"/>
      <c r="C825" s="21"/>
      <c r="D825" s="21"/>
      <c r="E825" s="8"/>
      <c r="F825" s="8"/>
      <c r="G825" s="8"/>
      <c r="H825" s="18"/>
      <c r="I825" s="38"/>
      <c r="J825" s="18"/>
      <c r="Z825" s="8"/>
    </row>
    <row r="826">
      <c r="A826" s="8" t="b">
        <v>0</v>
      </c>
      <c r="B826" s="8"/>
      <c r="C826" s="21"/>
      <c r="D826" s="21"/>
      <c r="E826" s="8"/>
      <c r="F826" s="8"/>
      <c r="G826" s="8"/>
      <c r="H826" s="18"/>
      <c r="I826" s="38"/>
      <c r="J826" s="18"/>
      <c r="Z826" s="8"/>
    </row>
    <row r="827">
      <c r="A827" s="8" t="b">
        <v>0</v>
      </c>
      <c r="B827" s="8"/>
      <c r="C827" s="21"/>
      <c r="D827" s="21"/>
      <c r="E827" s="8"/>
      <c r="F827" s="8"/>
      <c r="G827" s="8"/>
      <c r="H827" s="18"/>
      <c r="I827" s="38"/>
      <c r="J827" s="18"/>
      <c r="Z827" s="8"/>
    </row>
    <row r="828">
      <c r="A828" s="8" t="b">
        <v>0</v>
      </c>
      <c r="B828" s="8"/>
      <c r="C828" s="21"/>
      <c r="D828" s="21"/>
      <c r="E828" s="8"/>
      <c r="F828" s="8"/>
      <c r="G828" s="8"/>
      <c r="H828" s="18"/>
      <c r="I828" s="38"/>
      <c r="J828" s="18"/>
      <c r="Z828" s="8"/>
    </row>
    <row r="829">
      <c r="A829" s="8" t="b">
        <v>0</v>
      </c>
      <c r="B829" s="8"/>
      <c r="C829" s="21"/>
      <c r="D829" s="21"/>
      <c r="E829" s="8"/>
      <c r="F829" s="8"/>
      <c r="G829" s="8"/>
      <c r="H829" s="18"/>
      <c r="I829" s="38"/>
      <c r="J829" s="18"/>
      <c r="Z829" s="8"/>
    </row>
    <row r="830">
      <c r="A830" s="8" t="b">
        <v>0</v>
      </c>
      <c r="B830" s="8"/>
      <c r="C830" s="21"/>
      <c r="D830" s="21"/>
      <c r="E830" s="8"/>
      <c r="F830" s="8"/>
      <c r="G830" s="8"/>
      <c r="H830" s="18"/>
      <c r="I830" s="38"/>
      <c r="J830" s="18"/>
      <c r="Z830" s="8"/>
    </row>
    <row r="831">
      <c r="A831" s="8" t="b">
        <v>0</v>
      </c>
      <c r="B831" s="8"/>
      <c r="C831" s="21"/>
      <c r="D831" s="21"/>
      <c r="E831" s="8"/>
      <c r="F831" s="8"/>
      <c r="G831" s="8"/>
      <c r="H831" s="18"/>
      <c r="I831" s="38"/>
      <c r="J831" s="18"/>
      <c r="Z831" s="8"/>
    </row>
    <row r="832">
      <c r="A832" s="8" t="b">
        <v>0</v>
      </c>
      <c r="B832" s="8"/>
      <c r="C832" s="21"/>
      <c r="D832" s="21"/>
      <c r="E832" s="8"/>
      <c r="F832" s="8"/>
      <c r="G832" s="8"/>
      <c r="H832" s="18"/>
      <c r="I832" s="38"/>
      <c r="J832" s="18"/>
      <c r="Z832" s="8"/>
    </row>
    <row r="833">
      <c r="A833" s="8" t="b">
        <v>0</v>
      </c>
      <c r="B833" s="8"/>
      <c r="C833" s="21"/>
      <c r="D833" s="21"/>
      <c r="E833" s="8"/>
      <c r="F833" s="8"/>
      <c r="G833" s="8"/>
      <c r="H833" s="18"/>
      <c r="I833" s="38"/>
      <c r="J833" s="18"/>
      <c r="Z833" s="8"/>
    </row>
    <row r="834">
      <c r="A834" s="8" t="b">
        <v>0</v>
      </c>
      <c r="B834" s="8"/>
      <c r="C834" s="21"/>
      <c r="D834" s="21"/>
      <c r="E834" s="8"/>
      <c r="F834" s="8"/>
      <c r="G834" s="8"/>
      <c r="H834" s="18"/>
      <c r="I834" s="38"/>
      <c r="J834" s="18"/>
      <c r="Z834" s="8"/>
    </row>
    <row r="835">
      <c r="A835" s="8" t="b">
        <v>0</v>
      </c>
      <c r="B835" s="8"/>
      <c r="C835" s="21"/>
      <c r="D835" s="21"/>
      <c r="E835" s="8"/>
      <c r="F835" s="8"/>
      <c r="G835" s="8"/>
      <c r="H835" s="18"/>
      <c r="I835" s="38"/>
      <c r="J835" s="18"/>
      <c r="Z835" s="8"/>
    </row>
    <row r="836">
      <c r="A836" s="8" t="b">
        <v>0</v>
      </c>
      <c r="B836" s="8"/>
      <c r="C836" s="21"/>
      <c r="D836" s="21"/>
      <c r="E836" s="8"/>
      <c r="F836" s="8"/>
      <c r="G836" s="8"/>
      <c r="H836" s="18"/>
      <c r="I836" s="38"/>
      <c r="J836" s="18"/>
      <c r="Z836" s="8"/>
    </row>
    <row r="837">
      <c r="A837" s="8" t="b">
        <v>0</v>
      </c>
      <c r="B837" s="8"/>
      <c r="C837" s="21"/>
      <c r="D837" s="21"/>
      <c r="E837" s="8"/>
      <c r="F837" s="8"/>
      <c r="G837" s="8"/>
      <c r="H837" s="18"/>
      <c r="I837" s="38"/>
      <c r="J837" s="18"/>
      <c r="Z837" s="8"/>
    </row>
    <row r="838">
      <c r="A838" s="8" t="b">
        <v>0</v>
      </c>
      <c r="B838" s="8"/>
      <c r="C838" s="21"/>
      <c r="D838" s="21"/>
      <c r="E838" s="8"/>
      <c r="F838" s="8"/>
      <c r="G838" s="8"/>
      <c r="H838" s="18"/>
      <c r="I838" s="38"/>
      <c r="J838" s="18"/>
      <c r="Z838" s="8"/>
    </row>
    <row r="839">
      <c r="A839" s="8" t="b">
        <v>0</v>
      </c>
      <c r="B839" s="8"/>
      <c r="C839" s="21"/>
      <c r="D839" s="21"/>
      <c r="E839" s="8"/>
      <c r="F839" s="8"/>
      <c r="G839" s="8"/>
      <c r="H839" s="18"/>
      <c r="I839" s="38"/>
      <c r="J839" s="18"/>
      <c r="Z839" s="8"/>
    </row>
    <row r="840">
      <c r="A840" s="8" t="b">
        <v>0</v>
      </c>
      <c r="B840" s="8"/>
      <c r="C840" s="21"/>
      <c r="D840" s="21"/>
      <c r="E840" s="8"/>
      <c r="F840" s="8"/>
      <c r="G840" s="8"/>
      <c r="H840" s="18"/>
      <c r="I840" s="38"/>
      <c r="J840" s="18"/>
      <c r="Z840" s="8"/>
    </row>
    <row r="841">
      <c r="A841" s="8" t="b">
        <v>0</v>
      </c>
      <c r="B841" s="8"/>
      <c r="C841" s="21"/>
      <c r="D841" s="21"/>
      <c r="E841" s="8"/>
      <c r="F841" s="8"/>
      <c r="G841" s="8"/>
      <c r="H841" s="18"/>
      <c r="I841" s="38"/>
      <c r="J841" s="18"/>
      <c r="Z841" s="8"/>
    </row>
    <row r="842">
      <c r="A842" s="8" t="b">
        <v>0</v>
      </c>
      <c r="B842" s="8"/>
      <c r="C842" s="21"/>
      <c r="D842" s="21"/>
      <c r="E842" s="8"/>
      <c r="F842" s="8"/>
      <c r="G842" s="8"/>
      <c r="H842" s="18"/>
      <c r="I842" s="38"/>
      <c r="J842" s="18"/>
      <c r="Z842" s="8"/>
    </row>
    <row r="843">
      <c r="A843" s="8" t="b">
        <v>0</v>
      </c>
      <c r="B843" s="8"/>
      <c r="C843" s="21"/>
      <c r="D843" s="21"/>
      <c r="E843" s="8"/>
      <c r="F843" s="8"/>
      <c r="G843" s="8"/>
      <c r="H843" s="18"/>
      <c r="I843" s="38"/>
      <c r="J843" s="18"/>
      <c r="Z843" s="8"/>
    </row>
    <row r="844">
      <c r="A844" s="8" t="b">
        <v>0</v>
      </c>
      <c r="B844" s="8"/>
      <c r="C844" s="21"/>
      <c r="D844" s="21"/>
      <c r="E844" s="8"/>
      <c r="F844" s="8"/>
      <c r="G844" s="8"/>
      <c r="H844" s="18"/>
      <c r="I844" s="38"/>
      <c r="J844" s="18"/>
      <c r="Z844" s="8"/>
    </row>
    <row r="845">
      <c r="A845" s="8" t="b">
        <v>0</v>
      </c>
      <c r="B845" s="8"/>
      <c r="C845" s="21"/>
      <c r="D845" s="21"/>
      <c r="E845" s="8"/>
      <c r="F845" s="8"/>
      <c r="G845" s="8"/>
      <c r="H845" s="18"/>
      <c r="I845" s="38"/>
      <c r="J845" s="18"/>
      <c r="Z845" s="8"/>
    </row>
    <row r="846">
      <c r="A846" s="8" t="b">
        <v>0</v>
      </c>
      <c r="B846" s="8"/>
      <c r="C846" s="21"/>
      <c r="D846" s="21"/>
      <c r="E846" s="8"/>
      <c r="F846" s="8"/>
      <c r="G846" s="8"/>
      <c r="H846" s="18"/>
      <c r="I846" s="38"/>
      <c r="J846" s="18"/>
      <c r="Z846" s="8"/>
    </row>
    <row r="847">
      <c r="A847" s="8" t="b">
        <v>0</v>
      </c>
      <c r="B847" s="8"/>
      <c r="C847" s="21"/>
      <c r="D847" s="21"/>
      <c r="E847" s="8"/>
      <c r="F847" s="8"/>
      <c r="G847" s="8"/>
      <c r="H847" s="18"/>
      <c r="I847" s="38"/>
      <c r="J847" s="18"/>
      <c r="Z847" s="8"/>
    </row>
    <row r="848">
      <c r="A848" s="8" t="b">
        <v>0</v>
      </c>
      <c r="B848" s="8"/>
      <c r="C848" s="21"/>
      <c r="D848" s="21"/>
      <c r="E848" s="8"/>
      <c r="F848" s="8"/>
      <c r="G848" s="8"/>
      <c r="H848" s="18"/>
      <c r="I848" s="38"/>
      <c r="J848" s="18"/>
      <c r="Z848" s="8"/>
    </row>
    <row r="849">
      <c r="A849" s="8" t="b">
        <v>0</v>
      </c>
      <c r="B849" s="8"/>
      <c r="C849" s="21"/>
      <c r="D849" s="21"/>
      <c r="E849" s="8"/>
      <c r="F849" s="8"/>
      <c r="G849" s="8"/>
      <c r="H849" s="18"/>
      <c r="I849" s="38"/>
      <c r="J849" s="18"/>
      <c r="Z849" s="8"/>
    </row>
    <row r="850">
      <c r="A850" s="8" t="b">
        <v>0</v>
      </c>
      <c r="B850" s="8"/>
      <c r="C850" s="21"/>
      <c r="D850" s="21"/>
      <c r="E850" s="8"/>
      <c r="F850" s="8"/>
      <c r="G850" s="8"/>
      <c r="H850" s="18"/>
      <c r="I850" s="38"/>
      <c r="J850" s="18"/>
      <c r="Z850" s="8"/>
    </row>
    <row r="851">
      <c r="A851" s="8" t="b">
        <v>0</v>
      </c>
      <c r="B851" s="8"/>
      <c r="C851" s="21"/>
      <c r="D851" s="21"/>
      <c r="E851" s="8"/>
      <c r="F851" s="8"/>
      <c r="G851" s="8"/>
      <c r="H851" s="18"/>
      <c r="I851" s="38"/>
      <c r="J851" s="18"/>
      <c r="Z851" s="8"/>
    </row>
    <row r="852">
      <c r="A852" s="8" t="b">
        <v>0</v>
      </c>
      <c r="B852" s="8"/>
      <c r="C852" s="21"/>
      <c r="D852" s="21"/>
      <c r="E852" s="8"/>
      <c r="F852" s="8"/>
      <c r="G852" s="8"/>
      <c r="H852" s="18"/>
      <c r="I852" s="38"/>
      <c r="J852" s="18"/>
      <c r="Z852" s="8"/>
    </row>
    <row r="853">
      <c r="A853" s="8" t="b">
        <v>0</v>
      </c>
      <c r="B853" s="8"/>
      <c r="C853" s="21"/>
      <c r="D853" s="21"/>
      <c r="E853" s="8"/>
      <c r="F853" s="8"/>
      <c r="G853" s="8"/>
      <c r="H853" s="18"/>
      <c r="I853" s="38"/>
      <c r="J853" s="18"/>
      <c r="Z853" s="8"/>
    </row>
    <row r="854">
      <c r="A854" s="8" t="b">
        <v>0</v>
      </c>
      <c r="B854" s="8"/>
      <c r="C854" s="21"/>
      <c r="D854" s="21"/>
      <c r="E854" s="8"/>
      <c r="F854" s="8"/>
      <c r="G854" s="8"/>
      <c r="H854" s="18"/>
      <c r="I854" s="38"/>
      <c r="J854" s="18"/>
      <c r="Z854" s="8"/>
    </row>
    <row r="855">
      <c r="A855" s="8" t="b">
        <v>0</v>
      </c>
      <c r="B855" s="8"/>
      <c r="C855" s="21"/>
      <c r="D855" s="21"/>
      <c r="E855" s="8"/>
      <c r="F855" s="8"/>
      <c r="G855" s="8"/>
      <c r="H855" s="18"/>
      <c r="I855" s="38"/>
      <c r="J855" s="18"/>
      <c r="Z855" s="8"/>
    </row>
    <row r="856">
      <c r="A856" s="8" t="b">
        <v>0</v>
      </c>
      <c r="B856" s="8"/>
      <c r="C856" s="21"/>
      <c r="D856" s="21"/>
      <c r="E856" s="8"/>
      <c r="F856" s="8"/>
      <c r="G856" s="8"/>
      <c r="H856" s="18"/>
      <c r="I856" s="38"/>
      <c r="J856" s="18"/>
      <c r="Z856" s="8"/>
    </row>
    <row r="857">
      <c r="A857" s="8" t="b">
        <v>0</v>
      </c>
      <c r="B857" s="8"/>
      <c r="C857" s="21"/>
      <c r="D857" s="21"/>
      <c r="E857" s="8"/>
      <c r="F857" s="8"/>
      <c r="G857" s="8"/>
      <c r="H857" s="18"/>
      <c r="I857" s="38"/>
      <c r="J857" s="18"/>
      <c r="Z857" s="8"/>
    </row>
    <row r="858">
      <c r="A858" s="8" t="b">
        <v>0</v>
      </c>
      <c r="B858" s="8"/>
      <c r="C858" s="21"/>
      <c r="D858" s="21"/>
      <c r="E858" s="8"/>
      <c r="F858" s="8"/>
      <c r="G858" s="8"/>
      <c r="H858" s="18"/>
      <c r="I858" s="38"/>
      <c r="J858" s="18"/>
      <c r="Z858" s="8"/>
    </row>
    <row r="859">
      <c r="A859" s="8" t="b">
        <v>0</v>
      </c>
      <c r="B859" s="8"/>
      <c r="C859" s="21"/>
      <c r="D859" s="21"/>
      <c r="E859" s="8"/>
      <c r="F859" s="8"/>
      <c r="G859" s="8"/>
      <c r="H859" s="18"/>
      <c r="I859" s="38"/>
      <c r="J859" s="18"/>
      <c r="Z859" s="8"/>
    </row>
    <row r="860">
      <c r="A860" s="8" t="b">
        <v>0</v>
      </c>
      <c r="B860" s="8"/>
      <c r="C860" s="21"/>
      <c r="D860" s="21"/>
      <c r="E860" s="8"/>
      <c r="F860" s="8"/>
      <c r="G860" s="8"/>
      <c r="H860" s="18"/>
      <c r="I860" s="38"/>
      <c r="J860" s="18"/>
      <c r="Z860" s="8"/>
    </row>
    <row r="861">
      <c r="A861" s="8" t="b">
        <v>0</v>
      </c>
      <c r="B861" s="8"/>
      <c r="C861" s="21"/>
      <c r="D861" s="21"/>
      <c r="E861" s="8"/>
      <c r="F861" s="8"/>
      <c r="G861" s="8"/>
      <c r="H861" s="18"/>
      <c r="I861" s="38"/>
      <c r="J861" s="18"/>
      <c r="Z861" s="8"/>
    </row>
    <row r="862">
      <c r="A862" s="8" t="b">
        <v>0</v>
      </c>
      <c r="B862" s="8"/>
      <c r="C862" s="21"/>
      <c r="D862" s="21"/>
      <c r="E862" s="8"/>
      <c r="F862" s="8"/>
      <c r="G862" s="8"/>
      <c r="H862" s="18"/>
      <c r="I862" s="38"/>
      <c r="J862" s="18"/>
      <c r="Z862" s="8"/>
    </row>
    <row r="863">
      <c r="A863" s="8" t="b">
        <v>0</v>
      </c>
      <c r="B863" s="8"/>
      <c r="C863" s="21"/>
      <c r="D863" s="21"/>
      <c r="E863" s="8"/>
      <c r="F863" s="8"/>
      <c r="G863" s="8"/>
      <c r="H863" s="18"/>
      <c r="I863" s="38"/>
      <c r="J863" s="18"/>
      <c r="Z863" s="8"/>
    </row>
    <row r="864">
      <c r="A864" s="8" t="b">
        <v>0</v>
      </c>
      <c r="B864" s="8"/>
      <c r="C864" s="21"/>
      <c r="D864" s="21"/>
      <c r="E864" s="8"/>
      <c r="F864" s="8"/>
      <c r="G864" s="8"/>
      <c r="H864" s="18"/>
      <c r="I864" s="38"/>
      <c r="J864" s="18"/>
      <c r="Z864" s="8"/>
    </row>
    <row r="865">
      <c r="A865" s="8" t="b">
        <v>0</v>
      </c>
      <c r="B865" s="8"/>
      <c r="C865" s="21"/>
      <c r="D865" s="21"/>
      <c r="E865" s="8"/>
      <c r="F865" s="8"/>
      <c r="G865" s="8"/>
      <c r="H865" s="18"/>
      <c r="I865" s="38"/>
      <c r="J865" s="18"/>
      <c r="Z865" s="8"/>
    </row>
    <row r="866">
      <c r="A866" s="8" t="b">
        <v>0</v>
      </c>
      <c r="B866" s="8"/>
      <c r="C866" s="21"/>
      <c r="D866" s="21"/>
      <c r="E866" s="8"/>
      <c r="F866" s="8"/>
      <c r="G866" s="8"/>
      <c r="H866" s="18"/>
      <c r="I866" s="38"/>
      <c r="J866" s="18"/>
      <c r="Z866" s="8"/>
    </row>
    <row r="867">
      <c r="A867" s="8" t="b">
        <v>0</v>
      </c>
      <c r="B867" s="8"/>
      <c r="C867" s="21"/>
      <c r="D867" s="21"/>
      <c r="E867" s="8"/>
      <c r="F867" s="8"/>
      <c r="G867" s="8"/>
      <c r="H867" s="18"/>
      <c r="I867" s="38"/>
      <c r="J867" s="18"/>
      <c r="Z867" s="8"/>
    </row>
    <row r="868">
      <c r="A868" s="8" t="b">
        <v>0</v>
      </c>
      <c r="B868" s="8"/>
      <c r="C868" s="21"/>
      <c r="D868" s="21"/>
      <c r="E868" s="8"/>
      <c r="F868" s="8"/>
      <c r="G868" s="8"/>
      <c r="H868" s="18"/>
      <c r="I868" s="38"/>
      <c r="J868" s="18"/>
      <c r="Z868" s="8"/>
    </row>
    <row r="869">
      <c r="A869" s="8" t="b">
        <v>0</v>
      </c>
      <c r="B869" s="8"/>
      <c r="C869" s="21"/>
      <c r="D869" s="21"/>
      <c r="E869" s="8"/>
      <c r="F869" s="8"/>
      <c r="G869" s="8"/>
      <c r="H869" s="18"/>
      <c r="I869" s="38"/>
      <c r="J869" s="18"/>
      <c r="Z869" s="8"/>
    </row>
    <row r="870">
      <c r="A870" s="8" t="b">
        <v>0</v>
      </c>
      <c r="B870" s="8"/>
      <c r="C870" s="21"/>
      <c r="D870" s="21"/>
      <c r="E870" s="8"/>
      <c r="F870" s="8"/>
      <c r="G870" s="8"/>
      <c r="H870" s="18"/>
      <c r="I870" s="38"/>
      <c r="J870" s="18"/>
      <c r="Z870" s="8"/>
    </row>
    <row r="871">
      <c r="A871" s="8" t="b">
        <v>0</v>
      </c>
      <c r="B871" s="8"/>
      <c r="C871" s="21"/>
      <c r="D871" s="21"/>
      <c r="E871" s="8"/>
      <c r="F871" s="8"/>
      <c r="G871" s="8"/>
      <c r="H871" s="18"/>
      <c r="I871" s="38"/>
      <c r="J871" s="18"/>
      <c r="Z871" s="8"/>
    </row>
    <row r="872">
      <c r="A872" s="8" t="b">
        <v>0</v>
      </c>
      <c r="B872" s="8"/>
      <c r="C872" s="21"/>
      <c r="D872" s="21"/>
      <c r="E872" s="8"/>
      <c r="F872" s="8"/>
      <c r="G872" s="8"/>
      <c r="H872" s="18"/>
      <c r="I872" s="38"/>
      <c r="J872" s="18"/>
      <c r="Z872" s="8"/>
    </row>
    <row r="873">
      <c r="A873" s="8" t="b">
        <v>0</v>
      </c>
      <c r="B873" s="8"/>
      <c r="C873" s="21"/>
      <c r="D873" s="21"/>
      <c r="E873" s="8"/>
      <c r="F873" s="8"/>
      <c r="G873" s="8"/>
      <c r="H873" s="18"/>
      <c r="I873" s="38"/>
      <c r="J873" s="18"/>
      <c r="Z873" s="8"/>
    </row>
    <row r="874">
      <c r="A874" s="8" t="b">
        <v>0</v>
      </c>
      <c r="B874" s="8"/>
      <c r="C874" s="21"/>
      <c r="D874" s="21"/>
      <c r="E874" s="8"/>
      <c r="F874" s="8"/>
      <c r="G874" s="8"/>
      <c r="H874" s="18"/>
      <c r="I874" s="38"/>
      <c r="J874" s="18"/>
      <c r="Z874" s="8"/>
    </row>
    <row r="875">
      <c r="A875" s="8" t="b">
        <v>0</v>
      </c>
      <c r="B875" s="8"/>
      <c r="C875" s="21"/>
      <c r="D875" s="21"/>
      <c r="E875" s="8"/>
      <c r="F875" s="8"/>
      <c r="G875" s="8"/>
      <c r="H875" s="18"/>
      <c r="I875" s="38"/>
      <c r="J875" s="18"/>
      <c r="Z875" s="8"/>
    </row>
    <row r="876">
      <c r="A876" s="8" t="b">
        <v>0</v>
      </c>
      <c r="B876" s="8"/>
      <c r="C876" s="21"/>
      <c r="D876" s="21"/>
      <c r="E876" s="8"/>
      <c r="F876" s="8"/>
      <c r="G876" s="8"/>
      <c r="H876" s="18"/>
      <c r="I876" s="38"/>
      <c r="J876" s="18"/>
      <c r="Z876" s="8"/>
    </row>
    <row r="877">
      <c r="A877" s="8" t="b">
        <v>0</v>
      </c>
      <c r="B877" s="8"/>
      <c r="C877" s="21"/>
      <c r="D877" s="21"/>
      <c r="E877" s="8"/>
      <c r="F877" s="8"/>
      <c r="G877" s="8"/>
      <c r="H877" s="18"/>
      <c r="I877" s="38"/>
      <c r="J877" s="18"/>
      <c r="Z877" s="8"/>
    </row>
    <row r="878">
      <c r="A878" s="8" t="b">
        <v>0</v>
      </c>
      <c r="B878" s="8"/>
      <c r="C878" s="21"/>
      <c r="D878" s="21"/>
      <c r="E878" s="8"/>
      <c r="F878" s="8"/>
      <c r="G878" s="8"/>
      <c r="H878" s="18"/>
      <c r="I878" s="38"/>
      <c r="J878" s="18"/>
      <c r="Z878" s="8"/>
    </row>
    <row r="879">
      <c r="A879" s="8" t="b">
        <v>0</v>
      </c>
      <c r="B879" s="8"/>
      <c r="C879" s="21"/>
      <c r="D879" s="21"/>
      <c r="E879" s="8"/>
      <c r="F879" s="8"/>
      <c r="G879" s="8"/>
      <c r="H879" s="18"/>
      <c r="I879" s="38"/>
      <c r="J879" s="18"/>
      <c r="Z879" s="8"/>
    </row>
    <row r="880">
      <c r="A880" s="8" t="b">
        <v>0</v>
      </c>
      <c r="B880" s="8"/>
      <c r="C880" s="21"/>
      <c r="D880" s="21"/>
      <c r="E880" s="8"/>
      <c r="F880" s="8"/>
      <c r="G880" s="8"/>
      <c r="H880" s="18"/>
      <c r="I880" s="38"/>
      <c r="J880" s="18"/>
      <c r="Z880" s="8"/>
    </row>
    <row r="881">
      <c r="A881" s="8" t="b">
        <v>0</v>
      </c>
      <c r="B881" s="8"/>
      <c r="C881" s="21"/>
      <c r="D881" s="21"/>
      <c r="E881" s="8"/>
      <c r="F881" s="8"/>
      <c r="G881" s="8"/>
      <c r="H881" s="18"/>
      <c r="I881" s="38"/>
      <c r="J881" s="18"/>
      <c r="Z881" s="8"/>
    </row>
    <row r="882">
      <c r="A882" s="8" t="b">
        <v>0</v>
      </c>
      <c r="B882" s="8"/>
      <c r="C882" s="21"/>
      <c r="D882" s="21"/>
      <c r="E882" s="8"/>
      <c r="F882" s="8"/>
      <c r="G882" s="8"/>
      <c r="H882" s="18"/>
      <c r="I882" s="38"/>
      <c r="J882" s="18"/>
      <c r="Z882" s="8"/>
    </row>
    <row r="883">
      <c r="A883" s="8" t="b">
        <v>0</v>
      </c>
      <c r="B883" s="8"/>
      <c r="C883" s="21"/>
      <c r="D883" s="21"/>
      <c r="E883" s="8"/>
      <c r="F883" s="8"/>
      <c r="G883" s="8"/>
      <c r="H883" s="18"/>
      <c r="I883" s="38"/>
      <c r="J883" s="18"/>
      <c r="Z883" s="8"/>
    </row>
    <row r="884">
      <c r="A884" s="8" t="b">
        <v>0</v>
      </c>
      <c r="B884" s="8"/>
      <c r="C884" s="21"/>
      <c r="D884" s="21"/>
      <c r="E884" s="8"/>
      <c r="F884" s="8"/>
      <c r="G884" s="8"/>
      <c r="H884" s="18"/>
      <c r="I884" s="38"/>
      <c r="J884" s="18"/>
      <c r="Z884" s="8"/>
    </row>
    <row r="885">
      <c r="A885" s="8" t="b">
        <v>0</v>
      </c>
      <c r="B885" s="8"/>
      <c r="C885" s="21"/>
      <c r="D885" s="21"/>
      <c r="E885" s="8"/>
      <c r="F885" s="8"/>
      <c r="G885" s="8"/>
      <c r="H885" s="18"/>
      <c r="I885" s="38"/>
      <c r="J885" s="18"/>
      <c r="Z885" s="8"/>
    </row>
    <row r="886">
      <c r="A886" s="8" t="b">
        <v>0</v>
      </c>
      <c r="B886" s="8"/>
      <c r="C886" s="21"/>
      <c r="D886" s="21"/>
      <c r="E886" s="8"/>
      <c r="F886" s="8"/>
      <c r="G886" s="8"/>
      <c r="H886" s="18"/>
      <c r="I886" s="38"/>
      <c r="J886" s="18"/>
      <c r="Z886" s="8"/>
    </row>
    <row r="887">
      <c r="A887" s="8" t="b">
        <v>0</v>
      </c>
      <c r="B887" s="8"/>
      <c r="C887" s="21"/>
      <c r="D887" s="21"/>
      <c r="E887" s="8"/>
      <c r="F887" s="8"/>
      <c r="G887" s="8"/>
      <c r="H887" s="18"/>
      <c r="I887" s="38"/>
      <c r="J887" s="18"/>
      <c r="Z887" s="8"/>
    </row>
    <row r="888">
      <c r="A888" s="8" t="b">
        <v>0</v>
      </c>
      <c r="B888" s="8"/>
      <c r="C888" s="21"/>
      <c r="D888" s="21"/>
      <c r="E888" s="8"/>
      <c r="F888" s="8"/>
      <c r="G888" s="8"/>
      <c r="H888" s="18"/>
      <c r="I888" s="38"/>
      <c r="J888" s="18"/>
      <c r="Z888" s="8"/>
    </row>
    <row r="889">
      <c r="A889" s="8" t="b">
        <v>0</v>
      </c>
      <c r="B889" s="8"/>
      <c r="C889" s="21"/>
      <c r="D889" s="21"/>
      <c r="E889" s="8"/>
      <c r="F889" s="8"/>
      <c r="G889" s="8"/>
      <c r="H889" s="18"/>
      <c r="I889" s="38"/>
      <c r="J889" s="18"/>
      <c r="Z889" s="8"/>
    </row>
    <row r="890">
      <c r="A890" s="8" t="b">
        <v>0</v>
      </c>
      <c r="B890" s="8"/>
      <c r="C890" s="21"/>
      <c r="D890" s="21"/>
      <c r="E890" s="8"/>
      <c r="F890" s="8"/>
      <c r="G890" s="8"/>
      <c r="H890" s="18"/>
      <c r="I890" s="38"/>
      <c r="J890" s="18"/>
      <c r="Z890" s="8"/>
    </row>
    <row r="891">
      <c r="A891" s="8" t="b">
        <v>0</v>
      </c>
      <c r="B891" s="8"/>
      <c r="C891" s="21"/>
      <c r="D891" s="21"/>
      <c r="E891" s="8"/>
      <c r="F891" s="8"/>
      <c r="G891" s="8"/>
      <c r="H891" s="18"/>
      <c r="I891" s="38"/>
      <c r="J891" s="18"/>
      <c r="Z891" s="8"/>
    </row>
    <row r="892">
      <c r="A892" s="8" t="b">
        <v>0</v>
      </c>
      <c r="B892" s="8"/>
      <c r="C892" s="21"/>
      <c r="D892" s="21"/>
      <c r="E892" s="8"/>
      <c r="F892" s="8"/>
      <c r="G892" s="8"/>
      <c r="H892" s="18"/>
      <c r="I892" s="38"/>
      <c r="J892" s="18"/>
      <c r="Z892" s="8"/>
    </row>
    <row r="893">
      <c r="A893" s="8" t="b">
        <v>0</v>
      </c>
      <c r="B893" s="8"/>
      <c r="C893" s="21"/>
      <c r="D893" s="21"/>
      <c r="E893" s="8"/>
      <c r="F893" s="8"/>
      <c r="G893" s="8"/>
      <c r="H893" s="18"/>
      <c r="I893" s="38"/>
      <c r="J893" s="18"/>
      <c r="Z893" s="8"/>
    </row>
    <row r="894">
      <c r="A894" s="8" t="b">
        <v>0</v>
      </c>
      <c r="B894" s="8"/>
      <c r="C894" s="21"/>
      <c r="D894" s="21"/>
      <c r="E894" s="8"/>
      <c r="F894" s="8"/>
      <c r="G894" s="8"/>
      <c r="H894" s="18"/>
      <c r="I894" s="38"/>
      <c r="J894" s="18"/>
      <c r="Z894" s="8"/>
    </row>
    <row r="895">
      <c r="A895" s="8" t="b">
        <v>0</v>
      </c>
      <c r="B895" s="8"/>
      <c r="C895" s="21"/>
      <c r="D895" s="21"/>
      <c r="E895" s="8"/>
      <c r="F895" s="8"/>
      <c r="G895" s="8"/>
      <c r="H895" s="18"/>
      <c r="I895" s="38"/>
      <c r="J895" s="18"/>
      <c r="Z895" s="8"/>
    </row>
    <row r="896">
      <c r="A896" s="8" t="b">
        <v>0</v>
      </c>
      <c r="B896" s="8"/>
      <c r="C896" s="21"/>
      <c r="D896" s="21"/>
      <c r="E896" s="8"/>
      <c r="F896" s="8"/>
      <c r="G896" s="8"/>
      <c r="H896" s="18"/>
      <c r="I896" s="38"/>
      <c r="J896" s="18"/>
      <c r="Z896" s="8"/>
    </row>
    <row r="897">
      <c r="A897" s="8" t="b">
        <v>0</v>
      </c>
      <c r="B897" s="8"/>
      <c r="C897" s="21"/>
      <c r="D897" s="21"/>
      <c r="E897" s="8"/>
      <c r="F897" s="8"/>
      <c r="G897" s="8"/>
      <c r="H897" s="18"/>
      <c r="I897" s="38"/>
      <c r="J897" s="18"/>
      <c r="Z897" s="8"/>
    </row>
    <row r="898">
      <c r="A898" s="8" t="b">
        <v>0</v>
      </c>
      <c r="B898" s="8"/>
      <c r="C898" s="21"/>
      <c r="D898" s="21"/>
      <c r="E898" s="8"/>
      <c r="F898" s="8"/>
      <c r="G898" s="8"/>
      <c r="H898" s="18"/>
      <c r="I898" s="38"/>
      <c r="J898" s="18"/>
      <c r="Z898" s="8"/>
    </row>
    <row r="899">
      <c r="A899" s="8" t="b">
        <v>0</v>
      </c>
      <c r="B899" s="8"/>
      <c r="C899" s="21"/>
      <c r="D899" s="21"/>
      <c r="E899" s="8"/>
      <c r="F899" s="8"/>
      <c r="G899" s="8"/>
      <c r="H899" s="18"/>
      <c r="I899" s="38"/>
      <c r="J899" s="18"/>
      <c r="Z899" s="8"/>
    </row>
    <row r="900">
      <c r="A900" s="8" t="b">
        <v>0</v>
      </c>
      <c r="B900" s="8"/>
      <c r="C900" s="21"/>
      <c r="D900" s="21"/>
      <c r="E900" s="8"/>
      <c r="F900" s="8"/>
      <c r="G900" s="8"/>
      <c r="H900" s="18"/>
      <c r="I900" s="38"/>
      <c r="J900" s="18"/>
      <c r="Z900" s="8"/>
    </row>
    <row r="901">
      <c r="A901" s="8" t="b">
        <v>0</v>
      </c>
      <c r="B901" s="8"/>
      <c r="C901" s="21"/>
      <c r="D901" s="21"/>
      <c r="E901" s="8"/>
      <c r="F901" s="8"/>
      <c r="G901" s="8"/>
      <c r="H901" s="18"/>
      <c r="I901" s="38"/>
      <c r="J901" s="18"/>
      <c r="Z901" s="8"/>
    </row>
    <row r="902">
      <c r="A902" s="8" t="b">
        <v>0</v>
      </c>
      <c r="B902" s="8"/>
      <c r="C902" s="21"/>
      <c r="D902" s="21"/>
      <c r="E902" s="8"/>
      <c r="F902" s="8"/>
      <c r="G902" s="8"/>
      <c r="H902" s="18"/>
      <c r="I902" s="38"/>
      <c r="J902" s="18"/>
      <c r="Z902" s="8"/>
    </row>
    <row r="903">
      <c r="A903" s="8" t="b">
        <v>0</v>
      </c>
      <c r="B903" s="8"/>
      <c r="C903" s="21"/>
      <c r="D903" s="21"/>
      <c r="E903" s="8"/>
      <c r="F903" s="8"/>
      <c r="G903" s="8"/>
      <c r="H903" s="18"/>
      <c r="I903" s="38"/>
      <c r="J903" s="18"/>
      <c r="Z903" s="8"/>
    </row>
    <row r="904">
      <c r="A904" s="8" t="b">
        <v>0</v>
      </c>
      <c r="B904" s="8"/>
      <c r="C904" s="21"/>
      <c r="D904" s="21"/>
      <c r="E904" s="8"/>
      <c r="F904" s="8"/>
      <c r="G904" s="8"/>
      <c r="H904" s="18"/>
      <c r="I904" s="38"/>
      <c r="J904" s="18"/>
      <c r="Z904" s="8"/>
    </row>
    <row r="905">
      <c r="A905" s="8" t="b">
        <v>0</v>
      </c>
      <c r="B905" s="8"/>
      <c r="C905" s="21"/>
      <c r="D905" s="21"/>
      <c r="E905" s="8"/>
      <c r="F905" s="8"/>
      <c r="G905" s="8"/>
      <c r="H905" s="18"/>
      <c r="I905" s="38"/>
      <c r="J905" s="18"/>
      <c r="Z905" s="8"/>
    </row>
    <row r="906">
      <c r="A906" s="8" t="b">
        <v>0</v>
      </c>
      <c r="B906" s="8"/>
      <c r="C906" s="21"/>
      <c r="D906" s="21"/>
      <c r="E906" s="8"/>
      <c r="F906" s="8"/>
      <c r="G906" s="8"/>
      <c r="H906" s="18"/>
      <c r="I906" s="38"/>
      <c r="J906" s="18"/>
      <c r="Z906" s="8"/>
    </row>
    <row r="907">
      <c r="A907" s="8" t="b">
        <v>0</v>
      </c>
      <c r="B907" s="8"/>
      <c r="C907" s="21"/>
      <c r="D907" s="21"/>
      <c r="E907" s="8"/>
      <c r="F907" s="8"/>
      <c r="G907" s="8"/>
      <c r="H907" s="18"/>
      <c r="I907" s="38"/>
      <c r="J907" s="18"/>
      <c r="Z907" s="8"/>
    </row>
    <row r="908">
      <c r="A908" s="8" t="b">
        <v>0</v>
      </c>
      <c r="B908" s="8"/>
      <c r="C908" s="21"/>
      <c r="D908" s="21"/>
      <c r="E908" s="8"/>
      <c r="F908" s="8"/>
      <c r="G908" s="8"/>
      <c r="H908" s="18"/>
      <c r="I908" s="38"/>
      <c r="J908" s="18"/>
      <c r="Z908" s="8"/>
    </row>
    <row r="909">
      <c r="A909" s="8" t="b">
        <v>0</v>
      </c>
      <c r="B909" s="8"/>
      <c r="C909" s="21"/>
      <c r="D909" s="21"/>
      <c r="E909" s="8"/>
      <c r="F909" s="8"/>
      <c r="G909" s="8"/>
      <c r="H909" s="18"/>
      <c r="I909" s="38"/>
      <c r="J909" s="18"/>
      <c r="Z909" s="8"/>
    </row>
    <row r="910">
      <c r="A910" s="8" t="b">
        <v>0</v>
      </c>
      <c r="B910" s="8"/>
      <c r="C910" s="21"/>
      <c r="D910" s="21"/>
      <c r="E910" s="8"/>
      <c r="F910" s="8"/>
      <c r="G910" s="8"/>
      <c r="H910" s="18"/>
      <c r="I910" s="38"/>
      <c r="J910" s="18"/>
      <c r="Z910" s="8"/>
    </row>
    <row r="911">
      <c r="A911" s="8" t="b">
        <v>0</v>
      </c>
      <c r="B911" s="8"/>
      <c r="C911" s="21"/>
      <c r="D911" s="21"/>
      <c r="E911" s="8"/>
      <c r="F911" s="8"/>
      <c r="G911" s="8"/>
      <c r="H911" s="18"/>
      <c r="I911" s="38"/>
      <c r="J911" s="18"/>
      <c r="Z911" s="8"/>
    </row>
    <row r="912">
      <c r="A912" s="8" t="b">
        <v>0</v>
      </c>
      <c r="B912" s="8"/>
      <c r="C912" s="21"/>
      <c r="D912" s="21"/>
      <c r="E912" s="8"/>
      <c r="F912" s="8"/>
      <c r="G912" s="8"/>
      <c r="H912" s="18"/>
      <c r="I912" s="38"/>
      <c r="J912" s="18"/>
      <c r="Z912" s="8"/>
    </row>
    <row r="913">
      <c r="A913" s="8" t="b">
        <v>0</v>
      </c>
      <c r="B913" s="8"/>
      <c r="C913" s="21"/>
      <c r="D913" s="21"/>
      <c r="E913" s="8"/>
      <c r="F913" s="8"/>
      <c r="G913" s="8"/>
      <c r="H913" s="18"/>
      <c r="I913" s="38"/>
      <c r="J913" s="18"/>
      <c r="Z913" s="8"/>
    </row>
    <row r="914">
      <c r="A914" s="8" t="b">
        <v>0</v>
      </c>
      <c r="B914" s="8"/>
      <c r="C914" s="21"/>
      <c r="D914" s="21"/>
      <c r="E914" s="8"/>
      <c r="F914" s="8"/>
      <c r="G914" s="8"/>
      <c r="H914" s="18"/>
      <c r="I914" s="38"/>
      <c r="J914" s="18"/>
      <c r="Z914" s="8"/>
    </row>
    <row r="915">
      <c r="A915" s="8" t="b">
        <v>0</v>
      </c>
      <c r="B915" s="8"/>
      <c r="C915" s="21"/>
      <c r="D915" s="21"/>
      <c r="E915" s="8"/>
      <c r="F915" s="8"/>
      <c r="G915" s="8"/>
      <c r="H915" s="18"/>
      <c r="I915" s="38"/>
      <c r="J915" s="18"/>
      <c r="Z915" s="8"/>
    </row>
    <row r="916">
      <c r="A916" s="8" t="b">
        <v>0</v>
      </c>
      <c r="B916" s="8"/>
      <c r="C916" s="21"/>
      <c r="D916" s="21"/>
      <c r="E916" s="8"/>
      <c r="F916" s="8"/>
      <c r="G916" s="8"/>
      <c r="H916" s="18"/>
      <c r="I916" s="38"/>
      <c r="J916" s="18"/>
      <c r="Z916" s="8"/>
    </row>
    <row r="917">
      <c r="A917" s="8" t="b">
        <v>0</v>
      </c>
      <c r="B917" s="8"/>
      <c r="C917" s="21"/>
      <c r="D917" s="21"/>
      <c r="E917" s="8"/>
      <c r="F917" s="8"/>
      <c r="G917" s="8"/>
      <c r="H917" s="18"/>
      <c r="I917" s="38"/>
      <c r="J917" s="18"/>
      <c r="Z917" s="8"/>
    </row>
    <row r="918">
      <c r="A918" s="8" t="b">
        <v>0</v>
      </c>
      <c r="B918" s="8"/>
      <c r="C918" s="21"/>
      <c r="D918" s="21"/>
      <c r="E918" s="8"/>
      <c r="F918" s="8"/>
      <c r="G918" s="8"/>
      <c r="H918" s="18"/>
      <c r="I918" s="38"/>
      <c r="J918" s="18"/>
      <c r="Z918" s="8"/>
    </row>
    <row r="919">
      <c r="A919" s="8" t="b">
        <v>0</v>
      </c>
      <c r="B919" s="8"/>
      <c r="C919" s="21"/>
      <c r="D919" s="21"/>
      <c r="E919" s="8"/>
      <c r="F919" s="8"/>
      <c r="G919" s="8"/>
      <c r="H919" s="18"/>
      <c r="I919" s="38"/>
      <c r="J919" s="18"/>
      <c r="Z919" s="8"/>
    </row>
    <row r="920">
      <c r="A920" s="8" t="b">
        <v>0</v>
      </c>
      <c r="B920" s="8"/>
      <c r="C920" s="21"/>
      <c r="D920" s="21"/>
      <c r="E920" s="8"/>
      <c r="F920" s="8"/>
      <c r="G920" s="8"/>
      <c r="H920" s="18"/>
      <c r="I920" s="38"/>
      <c r="J920" s="18"/>
      <c r="Z920" s="8"/>
    </row>
    <row r="921">
      <c r="A921" s="8" t="b">
        <v>0</v>
      </c>
      <c r="B921" s="8"/>
      <c r="C921" s="21"/>
      <c r="D921" s="21"/>
      <c r="E921" s="8"/>
      <c r="F921" s="8"/>
      <c r="G921" s="8"/>
      <c r="H921" s="18"/>
      <c r="I921" s="38"/>
      <c r="J921" s="18"/>
      <c r="Z921" s="8"/>
    </row>
    <row r="922">
      <c r="A922" s="8" t="b">
        <v>0</v>
      </c>
      <c r="B922" s="8"/>
      <c r="C922" s="21"/>
      <c r="D922" s="21"/>
      <c r="E922" s="8"/>
      <c r="F922" s="8"/>
      <c r="G922" s="8"/>
      <c r="H922" s="18"/>
      <c r="I922" s="38"/>
      <c r="J922" s="18"/>
      <c r="Z922" s="8"/>
    </row>
    <row r="923">
      <c r="A923" s="8" t="b">
        <v>0</v>
      </c>
      <c r="B923" s="8"/>
      <c r="C923" s="21"/>
      <c r="D923" s="21"/>
      <c r="E923" s="8"/>
      <c r="F923" s="8"/>
      <c r="G923" s="8"/>
      <c r="H923" s="18"/>
      <c r="I923" s="38"/>
      <c r="J923" s="18"/>
      <c r="Z923" s="8"/>
    </row>
    <row r="924">
      <c r="A924" s="8" t="b">
        <v>0</v>
      </c>
      <c r="B924" s="8"/>
      <c r="C924" s="21"/>
      <c r="D924" s="21"/>
      <c r="E924" s="8"/>
      <c r="F924" s="8"/>
      <c r="G924" s="8"/>
      <c r="H924" s="18"/>
      <c r="I924" s="38"/>
      <c r="J924" s="18"/>
      <c r="Z924" s="8"/>
    </row>
    <row r="925">
      <c r="A925" s="8" t="b">
        <v>0</v>
      </c>
      <c r="B925" s="8"/>
      <c r="C925" s="21"/>
      <c r="D925" s="21"/>
      <c r="E925" s="8"/>
      <c r="F925" s="8"/>
      <c r="G925" s="8"/>
      <c r="H925" s="18"/>
      <c r="I925" s="38"/>
      <c r="J925" s="18"/>
      <c r="Z925" s="8"/>
    </row>
    <row r="926">
      <c r="A926" s="8" t="b">
        <v>0</v>
      </c>
      <c r="B926" s="8"/>
      <c r="C926" s="21"/>
      <c r="D926" s="21"/>
      <c r="E926" s="8"/>
      <c r="F926" s="8"/>
      <c r="G926" s="8"/>
      <c r="H926" s="18"/>
      <c r="I926" s="38"/>
      <c r="J926" s="18"/>
      <c r="Z926" s="8"/>
    </row>
    <row r="927">
      <c r="A927" s="8" t="b">
        <v>0</v>
      </c>
      <c r="B927" s="8"/>
      <c r="C927" s="21"/>
      <c r="D927" s="21"/>
      <c r="E927" s="8"/>
      <c r="F927" s="8"/>
      <c r="G927" s="8"/>
      <c r="H927" s="18"/>
      <c r="I927" s="38"/>
      <c r="J927" s="18"/>
      <c r="Z927" s="8"/>
    </row>
    <row r="928">
      <c r="A928" s="8" t="b">
        <v>0</v>
      </c>
      <c r="B928" s="8"/>
      <c r="C928" s="21"/>
      <c r="D928" s="21"/>
      <c r="E928" s="8"/>
      <c r="F928" s="8"/>
      <c r="G928" s="8"/>
      <c r="H928" s="18"/>
      <c r="I928" s="38"/>
      <c r="J928" s="18"/>
      <c r="Z928" s="8"/>
    </row>
    <row r="929">
      <c r="A929" s="8" t="b">
        <v>0</v>
      </c>
      <c r="B929" s="8"/>
      <c r="C929" s="21"/>
      <c r="D929" s="21"/>
      <c r="E929" s="8"/>
      <c r="F929" s="8"/>
      <c r="G929" s="8"/>
      <c r="H929" s="18"/>
      <c r="I929" s="38"/>
      <c r="J929" s="18"/>
      <c r="Z929" s="8"/>
    </row>
    <row r="930">
      <c r="A930" s="8" t="b">
        <v>0</v>
      </c>
      <c r="B930" s="8"/>
      <c r="C930" s="21"/>
      <c r="D930" s="21"/>
      <c r="E930" s="8"/>
      <c r="F930" s="8"/>
      <c r="G930" s="8"/>
      <c r="H930" s="18"/>
      <c r="I930" s="38"/>
      <c r="J930" s="18"/>
      <c r="Z930" s="8"/>
    </row>
    <row r="931">
      <c r="A931" s="8" t="b">
        <v>0</v>
      </c>
      <c r="B931" s="8"/>
      <c r="C931" s="21"/>
      <c r="D931" s="21"/>
      <c r="E931" s="8"/>
      <c r="F931" s="8"/>
      <c r="G931" s="8"/>
      <c r="H931" s="18"/>
      <c r="I931" s="38"/>
      <c r="J931" s="18"/>
      <c r="Z931" s="8"/>
    </row>
    <row r="932">
      <c r="A932" s="8" t="b">
        <v>0</v>
      </c>
      <c r="B932" s="8"/>
      <c r="C932" s="21"/>
      <c r="D932" s="21"/>
      <c r="E932" s="8"/>
      <c r="F932" s="8"/>
      <c r="G932" s="8"/>
      <c r="H932" s="18"/>
      <c r="I932" s="38"/>
      <c r="J932" s="18"/>
      <c r="Z932" s="8"/>
    </row>
    <row r="933">
      <c r="A933" s="8" t="b">
        <v>0</v>
      </c>
      <c r="B933" s="8"/>
      <c r="C933" s="21"/>
      <c r="D933" s="21"/>
      <c r="E933" s="8"/>
      <c r="F933" s="8"/>
      <c r="G933" s="8"/>
      <c r="H933" s="18"/>
      <c r="I933" s="38"/>
      <c r="J933" s="18"/>
      <c r="Z933" s="8"/>
    </row>
    <row r="934">
      <c r="A934" s="8" t="b">
        <v>0</v>
      </c>
      <c r="B934" s="8"/>
      <c r="C934" s="21"/>
      <c r="D934" s="21"/>
      <c r="E934" s="8"/>
      <c r="F934" s="8"/>
      <c r="G934" s="8"/>
      <c r="H934" s="18"/>
      <c r="I934" s="38"/>
      <c r="J934" s="18"/>
      <c r="Z934" s="8"/>
    </row>
    <row r="935">
      <c r="A935" s="8" t="b">
        <v>0</v>
      </c>
      <c r="B935" s="8"/>
      <c r="C935" s="21"/>
      <c r="D935" s="21"/>
      <c r="E935" s="8"/>
      <c r="F935" s="8"/>
      <c r="G935" s="8"/>
      <c r="H935" s="18"/>
      <c r="I935" s="38"/>
      <c r="J935" s="18"/>
      <c r="Z935" s="8"/>
    </row>
    <row r="936">
      <c r="A936" s="8" t="b">
        <v>0</v>
      </c>
      <c r="B936" s="8"/>
      <c r="C936" s="21"/>
      <c r="D936" s="21"/>
      <c r="E936" s="8"/>
      <c r="F936" s="8"/>
      <c r="G936" s="8"/>
      <c r="H936" s="18"/>
      <c r="I936" s="38"/>
      <c r="J936" s="18"/>
      <c r="Z936" s="8"/>
    </row>
    <row r="937">
      <c r="A937" s="8" t="b">
        <v>0</v>
      </c>
      <c r="B937" s="8"/>
      <c r="C937" s="21"/>
      <c r="D937" s="21"/>
      <c r="E937" s="8"/>
      <c r="F937" s="8"/>
      <c r="G937" s="8"/>
      <c r="H937" s="18"/>
      <c r="I937" s="38"/>
      <c r="J937" s="18"/>
      <c r="Z937" s="8"/>
    </row>
    <row r="938">
      <c r="A938" s="8" t="b">
        <v>0</v>
      </c>
      <c r="B938" s="8"/>
      <c r="C938" s="21"/>
      <c r="D938" s="21"/>
      <c r="E938" s="8"/>
      <c r="F938" s="8"/>
      <c r="G938" s="8"/>
      <c r="H938" s="18"/>
      <c r="I938" s="38"/>
      <c r="J938" s="18"/>
      <c r="Z938" s="8"/>
    </row>
    <row r="939">
      <c r="A939" s="8" t="b">
        <v>0</v>
      </c>
      <c r="B939" s="8"/>
      <c r="C939" s="21"/>
      <c r="D939" s="21"/>
      <c r="E939" s="8"/>
      <c r="F939" s="8"/>
      <c r="G939" s="8"/>
      <c r="H939" s="18"/>
      <c r="I939" s="38"/>
      <c r="J939" s="18"/>
      <c r="Z939" s="8"/>
    </row>
    <row r="940">
      <c r="A940" s="8" t="b">
        <v>0</v>
      </c>
      <c r="B940" s="8"/>
      <c r="C940" s="21"/>
      <c r="D940" s="21"/>
      <c r="E940" s="8"/>
      <c r="F940" s="8"/>
      <c r="G940" s="8"/>
      <c r="H940" s="18"/>
      <c r="I940" s="38"/>
      <c r="J940" s="18"/>
      <c r="Z940" s="8"/>
    </row>
    <row r="941">
      <c r="A941" s="8" t="b">
        <v>0</v>
      </c>
      <c r="B941" s="8"/>
      <c r="C941" s="21"/>
      <c r="D941" s="21"/>
      <c r="E941" s="8"/>
      <c r="F941" s="8"/>
      <c r="G941" s="8"/>
      <c r="H941" s="18"/>
      <c r="I941" s="38"/>
      <c r="J941" s="18"/>
      <c r="Z941" s="8"/>
    </row>
    <row r="942">
      <c r="A942" s="8" t="b">
        <v>0</v>
      </c>
      <c r="B942" s="8"/>
      <c r="C942" s="21"/>
      <c r="D942" s="21"/>
      <c r="E942" s="8"/>
      <c r="F942" s="8"/>
      <c r="G942" s="8"/>
      <c r="H942" s="18"/>
      <c r="I942" s="38"/>
      <c r="J942" s="18"/>
      <c r="Z942" s="8"/>
    </row>
    <row r="943">
      <c r="A943" s="8" t="b">
        <v>0</v>
      </c>
      <c r="B943" s="8"/>
      <c r="C943" s="21"/>
      <c r="D943" s="21"/>
      <c r="E943" s="8"/>
      <c r="F943" s="8"/>
      <c r="G943" s="8"/>
      <c r="H943" s="18"/>
      <c r="I943" s="38"/>
      <c r="J943" s="18"/>
      <c r="Z943" s="8"/>
    </row>
    <row r="944">
      <c r="A944" s="8" t="b">
        <v>0</v>
      </c>
      <c r="B944" s="8"/>
      <c r="C944" s="21"/>
      <c r="D944" s="21"/>
      <c r="E944" s="8"/>
      <c r="F944" s="8"/>
      <c r="G944" s="8"/>
      <c r="H944" s="18"/>
      <c r="I944" s="38"/>
      <c r="J944" s="18"/>
      <c r="Z944" s="8"/>
    </row>
    <row r="945">
      <c r="A945" s="8" t="b">
        <v>0</v>
      </c>
      <c r="B945" s="8"/>
      <c r="C945" s="21"/>
      <c r="D945" s="21"/>
      <c r="E945" s="8"/>
      <c r="F945" s="8"/>
      <c r="G945" s="8"/>
      <c r="H945" s="18"/>
      <c r="I945" s="38"/>
      <c r="J945" s="18"/>
      <c r="Z945" s="8"/>
    </row>
    <row r="946">
      <c r="A946" s="8" t="b">
        <v>0</v>
      </c>
      <c r="B946" s="8"/>
      <c r="C946" s="21"/>
      <c r="D946" s="21"/>
      <c r="E946" s="8"/>
      <c r="F946" s="8"/>
      <c r="G946" s="8"/>
      <c r="H946" s="18"/>
      <c r="I946" s="38"/>
      <c r="J946" s="18"/>
      <c r="Z946" s="8"/>
    </row>
    <row r="947">
      <c r="A947" s="8" t="b">
        <v>0</v>
      </c>
      <c r="B947" s="8"/>
      <c r="C947" s="21"/>
      <c r="D947" s="21"/>
      <c r="E947" s="8"/>
      <c r="F947" s="8"/>
      <c r="G947" s="8"/>
      <c r="H947" s="18"/>
      <c r="I947" s="38"/>
      <c r="J947" s="18"/>
      <c r="Z947" s="8"/>
    </row>
    <row r="948">
      <c r="A948" s="8" t="b">
        <v>0</v>
      </c>
      <c r="B948" s="8"/>
      <c r="C948" s="21"/>
      <c r="D948" s="21"/>
      <c r="E948" s="8"/>
      <c r="F948" s="8"/>
      <c r="G948" s="8"/>
      <c r="H948" s="18"/>
      <c r="I948" s="38"/>
      <c r="J948" s="18"/>
      <c r="Z948" s="8"/>
    </row>
    <row r="949">
      <c r="A949" s="8" t="b">
        <v>0</v>
      </c>
      <c r="B949" s="8"/>
      <c r="C949" s="21"/>
      <c r="D949" s="21"/>
      <c r="E949" s="8"/>
      <c r="F949" s="8"/>
      <c r="G949" s="8"/>
      <c r="H949" s="18"/>
      <c r="I949" s="38"/>
      <c r="J949" s="18"/>
      <c r="Z949" s="8"/>
    </row>
    <row r="950">
      <c r="A950" s="8" t="b">
        <v>0</v>
      </c>
      <c r="B950" s="8"/>
      <c r="C950" s="21"/>
      <c r="D950" s="21"/>
      <c r="E950" s="8"/>
      <c r="F950" s="8"/>
      <c r="G950" s="8"/>
      <c r="H950" s="18"/>
      <c r="I950" s="38"/>
      <c r="J950" s="18"/>
      <c r="Z950" s="8"/>
    </row>
    <row r="951">
      <c r="A951" s="8" t="b">
        <v>0</v>
      </c>
      <c r="B951" s="8"/>
      <c r="C951" s="21"/>
      <c r="D951" s="21"/>
      <c r="E951" s="8"/>
      <c r="F951" s="8"/>
      <c r="G951" s="8"/>
      <c r="H951" s="18"/>
      <c r="I951" s="38"/>
      <c r="J951" s="18"/>
      <c r="Z951" s="8"/>
    </row>
    <row r="952">
      <c r="A952" s="8" t="b">
        <v>0</v>
      </c>
      <c r="B952" s="8"/>
      <c r="C952" s="21"/>
      <c r="D952" s="21"/>
      <c r="E952" s="8"/>
      <c r="F952" s="8"/>
      <c r="G952" s="8"/>
      <c r="H952" s="18"/>
      <c r="I952" s="38"/>
      <c r="J952" s="18"/>
      <c r="Z952" s="8"/>
    </row>
    <row r="953">
      <c r="A953" s="8" t="b">
        <v>0</v>
      </c>
      <c r="B953" s="8"/>
      <c r="C953" s="21"/>
      <c r="D953" s="21"/>
      <c r="E953" s="8"/>
      <c r="F953" s="8"/>
      <c r="G953" s="8"/>
      <c r="H953" s="18"/>
      <c r="I953" s="38"/>
      <c r="J953" s="18"/>
      <c r="Z953" s="8"/>
    </row>
    <row r="954">
      <c r="A954" s="8" t="b">
        <v>0</v>
      </c>
      <c r="B954" s="8"/>
      <c r="C954" s="21"/>
      <c r="D954" s="21"/>
      <c r="E954" s="8"/>
      <c r="F954" s="8"/>
      <c r="G954" s="8"/>
      <c r="H954" s="18"/>
      <c r="I954" s="38"/>
      <c r="J954" s="18"/>
      <c r="Z954" s="8"/>
    </row>
    <row r="955">
      <c r="A955" s="8" t="b">
        <v>0</v>
      </c>
      <c r="B955" s="8"/>
      <c r="C955" s="21"/>
      <c r="D955" s="21"/>
      <c r="E955" s="8"/>
      <c r="F955" s="8"/>
      <c r="G955" s="8"/>
      <c r="H955" s="18"/>
      <c r="I955" s="38"/>
      <c r="J955" s="18"/>
      <c r="Z955" s="8"/>
    </row>
    <row r="956">
      <c r="A956" s="8" t="b">
        <v>0</v>
      </c>
      <c r="B956" s="8"/>
      <c r="C956" s="21"/>
      <c r="D956" s="21"/>
      <c r="E956" s="8"/>
      <c r="F956" s="8"/>
      <c r="G956" s="8"/>
      <c r="H956" s="18"/>
      <c r="I956" s="38"/>
      <c r="J956" s="18"/>
      <c r="Z956" s="8"/>
    </row>
    <row r="957">
      <c r="A957" s="8" t="b">
        <v>0</v>
      </c>
      <c r="B957" s="8"/>
      <c r="C957" s="21"/>
      <c r="D957" s="21"/>
      <c r="E957" s="8"/>
      <c r="F957" s="8"/>
      <c r="G957" s="8"/>
      <c r="H957" s="18"/>
      <c r="I957" s="38"/>
      <c r="J957" s="18"/>
      <c r="Z957" s="8"/>
    </row>
    <row r="958">
      <c r="A958" s="8" t="b">
        <v>0</v>
      </c>
      <c r="B958" s="8"/>
      <c r="C958" s="21"/>
      <c r="D958" s="21"/>
      <c r="E958" s="8"/>
      <c r="F958" s="8"/>
      <c r="G958" s="8"/>
      <c r="H958" s="18"/>
      <c r="I958" s="38"/>
      <c r="J958" s="18"/>
      <c r="Z958" s="8"/>
    </row>
    <row r="959">
      <c r="A959" s="8" t="b">
        <v>0</v>
      </c>
      <c r="B959" s="8"/>
      <c r="C959" s="21"/>
      <c r="D959" s="21"/>
      <c r="E959" s="8"/>
      <c r="F959" s="8"/>
      <c r="G959" s="8"/>
      <c r="H959" s="18"/>
      <c r="I959" s="38"/>
      <c r="J959" s="18"/>
      <c r="Z959" s="8"/>
    </row>
    <row r="960">
      <c r="A960" s="8" t="b">
        <v>0</v>
      </c>
      <c r="B960" s="8"/>
      <c r="C960" s="21"/>
      <c r="D960" s="21"/>
      <c r="E960" s="8"/>
      <c r="F960" s="8"/>
      <c r="G960" s="8"/>
      <c r="H960" s="18"/>
      <c r="I960" s="38"/>
      <c r="J960" s="18"/>
      <c r="Z960" s="8"/>
    </row>
    <row r="961">
      <c r="A961" s="8" t="b">
        <v>0</v>
      </c>
      <c r="B961" s="8"/>
      <c r="C961" s="21"/>
      <c r="D961" s="21"/>
      <c r="E961" s="8"/>
      <c r="F961" s="8"/>
      <c r="G961" s="8"/>
      <c r="H961" s="18"/>
      <c r="I961" s="38"/>
      <c r="J961" s="18"/>
      <c r="Z961" s="8"/>
    </row>
    <row r="962">
      <c r="A962" s="8" t="b">
        <v>0</v>
      </c>
      <c r="B962" s="8"/>
      <c r="C962" s="21"/>
      <c r="D962" s="21"/>
      <c r="E962" s="8"/>
      <c r="F962" s="8"/>
      <c r="G962" s="8"/>
      <c r="H962" s="18"/>
      <c r="I962" s="38"/>
      <c r="J962" s="18"/>
      <c r="Z962" s="8"/>
    </row>
    <row r="963">
      <c r="A963" s="8" t="b">
        <v>0</v>
      </c>
      <c r="B963" s="8"/>
      <c r="C963" s="21"/>
      <c r="D963" s="21"/>
      <c r="E963" s="8"/>
      <c r="F963" s="8"/>
      <c r="G963" s="8"/>
      <c r="H963" s="18"/>
      <c r="I963" s="38"/>
      <c r="J963" s="18"/>
      <c r="Z963" s="8"/>
    </row>
    <row r="964">
      <c r="A964" s="8" t="b">
        <v>0</v>
      </c>
      <c r="B964" s="8"/>
      <c r="C964" s="21"/>
      <c r="D964" s="21"/>
      <c r="E964" s="8"/>
      <c r="F964" s="8"/>
      <c r="G964" s="8"/>
      <c r="H964" s="18"/>
      <c r="I964" s="38"/>
      <c r="J964" s="18"/>
      <c r="Z964" s="8"/>
    </row>
    <row r="965">
      <c r="A965" s="8" t="b">
        <v>0</v>
      </c>
      <c r="B965" s="8"/>
      <c r="C965" s="21"/>
      <c r="D965" s="21"/>
      <c r="E965" s="8"/>
      <c r="F965" s="8"/>
      <c r="G965" s="8"/>
      <c r="H965" s="18"/>
      <c r="I965" s="38"/>
      <c r="J965" s="18"/>
      <c r="Z965" s="8"/>
    </row>
    <row r="966">
      <c r="A966" s="8" t="b">
        <v>0</v>
      </c>
      <c r="B966" s="8"/>
      <c r="C966" s="21"/>
      <c r="D966" s="21"/>
      <c r="E966" s="8"/>
      <c r="F966" s="8"/>
      <c r="G966" s="8"/>
      <c r="H966" s="18"/>
      <c r="I966" s="38"/>
      <c r="J966" s="18"/>
      <c r="Z966" s="8"/>
    </row>
    <row r="967">
      <c r="A967" s="8" t="b">
        <v>0</v>
      </c>
      <c r="B967" s="8"/>
      <c r="C967" s="21"/>
      <c r="D967" s="21"/>
      <c r="E967" s="8"/>
      <c r="F967" s="8"/>
      <c r="G967" s="8"/>
      <c r="H967" s="18"/>
      <c r="I967" s="38"/>
      <c r="J967" s="18"/>
      <c r="Z967" s="8"/>
    </row>
    <row r="968">
      <c r="A968" s="8" t="b">
        <v>0</v>
      </c>
      <c r="B968" s="8"/>
      <c r="C968" s="21"/>
      <c r="D968" s="21"/>
      <c r="E968" s="8"/>
      <c r="F968" s="8"/>
      <c r="G968" s="8"/>
      <c r="H968" s="18"/>
      <c r="I968" s="38"/>
      <c r="J968" s="18"/>
      <c r="Z968" s="8"/>
    </row>
    <row r="969">
      <c r="A969" s="8" t="b">
        <v>0</v>
      </c>
      <c r="B969" s="8"/>
      <c r="C969" s="21"/>
      <c r="D969" s="21"/>
      <c r="E969" s="8"/>
      <c r="F969" s="8"/>
      <c r="G969" s="8"/>
      <c r="H969" s="18"/>
      <c r="I969" s="38"/>
      <c r="J969" s="18"/>
      <c r="Z969" s="8"/>
    </row>
    <row r="970">
      <c r="A970" s="8" t="b">
        <v>0</v>
      </c>
      <c r="B970" s="8"/>
      <c r="C970" s="21"/>
      <c r="D970" s="21"/>
      <c r="E970" s="8"/>
      <c r="F970" s="8"/>
      <c r="G970" s="8"/>
      <c r="H970" s="18"/>
      <c r="I970" s="38"/>
      <c r="J970" s="18"/>
      <c r="Z970" s="8"/>
    </row>
    <row r="971">
      <c r="A971" s="8" t="b">
        <v>0</v>
      </c>
      <c r="B971" s="8"/>
      <c r="C971" s="21"/>
      <c r="D971" s="21"/>
      <c r="E971" s="8"/>
      <c r="F971" s="8"/>
      <c r="G971" s="8"/>
      <c r="H971" s="18"/>
      <c r="I971" s="38"/>
      <c r="J971" s="18"/>
      <c r="Z971" s="8"/>
    </row>
    <row r="972">
      <c r="A972" s="8" t="b">
        <v>0</v>
      </c>
      <c r="B972" s="8"/>
      <c r="C972" s="21"/>
      <c r="D972" s="21"/>
      <c r="E972" s="8"/>
      <c r="F972" s="8"/>
      <c r="G972" s="8"/>
      <c r="H972" s="18"/>
      <c r="I972" s="38"/>
      <c r="J972" s="18"/>
      <c r="Z972" s="8"/>
    </row>
    <row r="973">
      <c r="A973" s="8" t="b">
        <v>0</v>
      </c>
      <c r="B973" s="8"/>
      <c r="C973" s="21"/>
      <c r="D973" s="21"/>
      <c r="E973" s="8"/>
      <c r="F973" s="8"/>
      <c r="G973" s="8"/>
      <c r="H973" s="18"/>
      <c r="I973" s="38"/>
      <c r="J973" s="18"/>
      <c r="Z973" s="8"/>
    </row>
    <row r="974">
      <c r="A974" s="8" t="b">
        <v>0</v>
      </c>
      <c r="B974" s="8"/>
      <c r="C974" s="21"/>
      <c r="D974" s="21"/>
      <c r="E974" s="8"/>
      <c r="F974" s="8"/>
      <c r="G974" s="8"/>
      <c r="H974" s="18"/>
      <c r="I974" s="38"/>
      <c r="J974" s="18"/>
      <c r="Z974" s="8"/>
    </row>
    <row r="975">
      <c r="A975" s="8" t="b">
        <v>0</v>
      </c>
      <c r="B975" s="8"/>
      <c r="C975" s="21"/>
      <c r="D975" s="21"/>
      <c r="E975" s="8"/>
      <c r="F975" s="8"/>
      <c r="G975" s="8"/>
      <c r="H975" s="18"/>
      <c r="I975" s="38"/>
      <c r="J975" s="18"/>
      <c r="Z975" s="8"/>
    </row>
    <row r="976">
      <c r="A976" s="8" t="b">
        <v>0</v>
      </c>
      <c r="B976" s="8"/>
      <c r="C976" s="21"/>
      <c r="D976" s="21"/>
      <c r="E976" s="8"/>
      <c r="F976" s="8"/>
      <c r="G976" s="8"/>
      <c r="H976" s="18"/>
      <c r="I976" s="38"/>
      <c r="J976" s="18"/>
      <c r="Z976" s="8"/>
    </row>
    <row r="977">
      <c r="A977" s="8" t="b">
        <v>0</v>
      </c>
      <c r="B977" s="8"/>
      <c r="C977" s="21"/>
      <c r="D977" s="21"/>
      <c r="E977" s="8"/>
      <c r="F977" s="8"/>
      <c r="G977" s="8"/>
      <c r="H977" s="18"/>
      <c r="I977" s="38"/>
      <c r="J977" s="18"/>
      <c r="Z977" s="8"/>
    </row>
    <row r="978">
      <c r="A978" s="8" t="b">
        <v>0</v>
      </c>
      <c r="B978" s="8"/>
      <c r="C978" s="21"/>
      <c r="D978" s="21"/>
      <c r="E978" s="8"/>
      <c r="F978" s="8"/>
      <c r="G978" s="8"/>
      <c r="H978" s="18"/>
      <c r="I978" s="38"/>
      <c r="J978" s="18"/>
      <c r="Z978" s="8"/>
    </row>
    <row r="979">
      <c r="A979" s="8" t="b">
        <v>0</v>
      </c>
      <c r="B979" s="8"/>
      <c r="C979" s="21"/>
      <c r="D979" s="21"/>
      <c r="E979" s="8"/>
      <c r="F979" s="8"/>
      <c r="G979" s="8"/>
      <c r="H979" s="18"/>
      <c r="I979" s="38"/>
      <c r="J979" s="18"/>
      <c r="Z979" s="8"/>
    </row>
    <row r="980">
      <c r="A980" s="8" t="b">
        <v>0</v>
      </c>
      <c r="B980" s="8"/>
      <c r="C980" s="21"/>
      <c r="D980" s="21"/>
      <c r="E980" s="8"/>
      <c r="F980" s="8"/>
      <c r="G980" s="8"/>
      <c r="H980" s="18"/>
      <c r="I980" s="38"/>
      <c r="J980" s="18"/>
      <c r="Z980" s="8"/>
    </row>
    <row r="981">
      <c r="A981" s="8" t="b">
        <v>0</v>
      </c>
      <c r="B981" s="8"/>
      <c r="C981" s="21"/>
      <c r="D981" s="21"/>
      <c r="E981" s="8"/>
      <c r="F981" s="8"/>
      <c r="G981" s="8"/>
      <c r="H981" s="18"/>
      <c r="I981" s="38"/>
      <c r="J981" s="18"/>
      <c r="Z981" s="8"/>
    </row>
    <row r="982">
      <c r="A982" s="8" t="b">
        <v>0</v>
      </c>
      <c r="B982" s="8"/>
      <c r="C982" s="21"/>
      <c r="D982" s="21"/>
      <c r="E982" s="8"/>
      <c r="F982" s="8"/>
      <c r="G982" s="8"/>
      <c r="H982" s="18"/>
      <c r="I982" s="38"/>
      <c r="J982" s="18"/>
      <c r="Z982" s="8"/>
    </row>
    <row r="983">
      <c r="A983" s="8" t="b">
        <v>0</v>
      </c>
      <c r="B983" s="8"/>
      <c r="C983" s="21"/>
      <c r="D983" s="21"/>
      <c r="E983" s="8"/>
      <c r="F983" s="8"/>
      <c r="G983" s="8"/>
      <c r="H983" s="18"/>
      <c r="I983" s="38"/>
      <c r="J983" s="18"/>
      <c r="Z983" s="8"/>
    </row>
    <row r="984">
      <c r="A984" s="8" t="b">
        <v>0</v>
      </c>
      <c r="B984" s="8"/>
      <c r="C984" s="21"/>
      <c r="D984" s="21"/>
      <c r="E984" s="8"/>
      <c r="F984" s="8"/>
      <c r="G984" s="8"/>
      <c r="H984" s="18"/>
      <c r="I984" s="38"/>
      <c r="J984" s="18"/>
      <c r="Z984" s="8"/>
    </row>
    <row r="985">
      <c r="A985" s="8" t="b">
        <v>0</v>
      </c>
      <c r="B985" s="8"/>
      <c r="C985" s="21"/>
      <c r="D985" s="21"/>
      <c r="E985" s="8"/>
      <c r="F985" s="8"/>
      <c r="G985" s="8"/>
      <c r="H985" s="18"/>
      <c r="I985" s="38"/>
      <c r="J985" s="18"/>
      <c r="Z985" s="8"/>
    </row>
    <row r="986">
      <c r="A986" s="8" t="b">
        <v>0</v>
      </c>
      <c r="B986" s="8"/>
      <c r="C986" s="21"/>
      <c r="D986" s="21"/>
      <c r="E986" s="8"/>
      <c r="F986" s="8"/>
      <c r="G986" s="8"/>
      <c r="H986" s="18"/>
      <c r="I986" s="38"/>
      <c r="J986" s="18"/>
      <c r="Z986" s="8"/>
    </row>
    <row r="987">
      <c r="A987" s="8" t="b">
        <v>0</v>
      </c>
      <c r="B987" s="8"/>
      <c r="C987" s="21"/>
      <c r="D987" s="21"/>
      <c r="E987" s="8"/>
      <c r="F987" s="8"/>
      <c r="G987" s="8"/>
      <c r="H987" s="18"/>
      <c r="I987" s="38"/>
      <c r="J987" s="18"/>
      <c r="Z987" s="8"/>
    </row>
    <row r="988">
      <c r="A988" s="8" t="b">
        <v>0</v>
      </c>
      <c r="B988" s="8"/>
      <c r="C988" s="21"/>
      <c r="D988" s="21"/>
      <c r="E988" s="8"/>
      <c r="F988" s="8"/>
      <c r="G988" s="8"/>
      <c r="H988" s="18"/>
      <c r="I988" s="38"/>
      <c r="J988" s="18"/>
      <c r="Z988" s="8"/>
    </row>
  </sheetData>
  <conditionalFormatting sqref="A2:C988 D2:D42 E2:AB988 D44:D988">
    <cfRule type="cellIs" dxfId="3" priority="1" operator="equal">
      <formula>"VRAI"</formula>
    </cfRule>
  </conditionalFormatting>
  <dataValidations>
    <dataValidation type="list" allowBlank="1" showErrorMessage="1" sqref="E2:E988">
      <formula1>'Données'!$G$2:$G988</formula1>
    </dataValidation>
    <dataValidation type="list" allowBlank="1" showErrorMessage="1" sqref="B2:B988">
      <formula1>'Données'!$A$2:$A988</formula1>
    </dataValidation>
    <dataValidation type="list" allowBlank="1" showErrorMessage="1" sqref="H2:H988">
      <formula1>'Données'!$K$2:$K$8</formula1>
    </dataValidation>
    <dataValidation type="list" allowBlank="1" showErrorMessage="1" sqref="G2:G988">
      <formula1>'Données'!$I$2:$I$7</formula1>
    </dataValidation>
    <dataValidation type="list" allowBlank="1" showErrorMessage="1" sqref="F2:F988">
      <formula1>'Données'!$E$2:$E988</formula1>
    </dataValidation>
    <dataValidation type="custom" allowBlank="1" showDropDown="1" sqref="I2:I70 I72:I988">
      <formula1>OR(NOT(ISERROR(DATEVALUE(I2))), AND(ISNUMBER(I2), LEFT(CELL("format", I2))="D"))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2.63"/>
    <col customWidth="1" min="3" max="4" width="18.88"/>
    <col customWidth="1" min="5" max="5" width="21.38"/>
    <col customWidth="1" min="6" max="12" width="7.0"/>
    <col customWidth="1" min="13" max="13" width="13.25"/>
    <col customWidth="1" min="14" max="14" width="13.88"/>
    <col customWidth="1" min="15" max="15" width="8.88"/>
    <col customWidth="1" min="16" max="16" width="6.25"/>
    <col customWidth="1" min="17" max="17" width="43.63"/>
    <col customWidth="1" min="18" max="18" width="21.63"/>
  </cols>
  <sheetData>
    <row r="1" ht="15.75" customHeight="1">
      <c r="A1" s="1" t="s">
        <v>13</v>
      </c>
      <c r="B1" s="6" t="s">
        <v>14</v>
      </c>
      <c r="C1" s="6" t="s">
        <v>1</v>
      </c>
      <c r="D1" s="6" t="s">
        <v>2</v>
      </c>
      <c r="E1" s="6" t="s">
        <v>3</v>
      </c>
      <c r="F1" s="1" t="s">
        <v>20</v>
      </c>
      <c r="G1" s="1" t="s">
        <v>22</v>
      </c>
      <c r="H1" s="1" t="s">
        <v>23</v>
      </c>
      <c r="I1" s="1" t="s">
        <v>24</v>
      </c>
      <c r="J1" s="1" t="s">
        <v>25</v>
      </c>
      <c r="K1" s="1" t="s">
        <v>26</v>
      </c>
      <c r="L1" s="1" t="s">
        <v>27</v>
      </c>
      <c r="M1" s="1" t="s">
        <v>28</v>
      </c>
      <c r="N1" s="9" t="s">
        <v>29</v>
      </c>
      <c r="O1" s="1" t="s">
        <v>30</v>
      </c>
    </row>
    <row r="2">
      <c r="A2" s="10">
        <v>35.0</v>
      </c>
      <c r="B2" s="11" t="s">
        <v>32</v>
      </c>
      <c r="C2" s="11" t="s">
        <v>34</v>
      </c>
      <c r="D2" s="11" t="s">
        <v>35</v>
      </c>
      <c r="E2" s="13"/>
      <c r="F2" s="14" t="b">
        <v>0</v>
      </c>
      <c r="G2" s="14" t="b">
        <v>0</v>
      </c>
      <c r="H2" s="14" t="b">
        <v>0</v>
      </c>
      <c r="I2" s="14" t="b">
        <v>0</v>
      </c>
      <c r="J2" s="14" t="b">
        <v>0</v>
      </c>
      <c r="K2" s="14" t="b">
        <v>0</v>
      </c>
      <c r="L2" s="14" t="b">
        <v>0</v>
      </c>
      <c r="M2" s="17">
        <f t="shared" ref="M2:M107" si="1">COUNTIF(F2:L2,TRUE)</f>
        <v>0</v>
      </c>
      <c r="N2" s="19">
        <f>IF(OR(B2="Hird du Jarl",C2="Recrue"),0,IF(C2="Aspirant-Garde",M2*'Vue globale'!$L$2/2,M2*'Vue globale'!$L$2))</f>
        <v>0</v>
      </c>
      <c r="O2" s="14" t="b">
        <v>0</v>
      </c>
      <c r="P2" s="20"/>
      <c r="Q2" s="20"/>
      <c r="R2" s="20"/>
      <c r="S2" s="20"/>
      <c r="T2" s="20"/>
      <c r="U2" s="20"/>
      <c r="V2" s="20"/>
      <c r="W2" s="20"/>
      <c r="X2" s="20"/>
      <c r="Y2" s="20"/>
      <c r="Z2" s="20"/>
    </row>
    <row r="3">
      <c r="A3" s="10">
        <v>35.0</v>
      </c>
      <c r="B3" s="11" t="s">
        <v>32</v>
      </c>
      <c r="C3" s="11" t="s">
        <v>34</v>
      </c>
      <c r="D3" s="11" t="s">
        <v>37</v>
      </c>
      <c r="E3" s="11" t="s">
        <v>38</v>
      </c>
      <c r="F3" s="14" t="b">
        <v>0</v>
      </c>
      <c r="G3" s="14" t="b">
        <v>0</v>
      </c>
      <c r="H3" s="14" t="b">
        <v>0</v>
      </c>
      <c r="I3" s="14" t="b">
        <v>0</v>
      </c>
      <c r="J3" s="14" t="b">
        <v>0</v>
      </c>
      <c r="K3" s="14" t="b">
        <v>0</v>
      </c>
      <c r="L3" s="14" t="b">
        <v>0</v>
      </c>
      <c r="M3" s="17">
        <f t="shared" si="1"/>
        <v>0</v>
      </c>
      <c r="N3" s="19">
        <f>IF(OR(B3="Hird du Jarl",C3="Recrue"),0,IF(C3="Aspirant-Garde",M3*'Vue globale'!$L$2/2,M3*'Vue globale'!$L$2))</f>
        <v>0</v>
      </c>
      <c r="O3" s="14" t="b">
        <v>0</v>
      </c>
      <c r="P3" s="20"/>
      <c r="Q3" s="20"/>
      <c r="R3" s="20"/>
      <c r="S3" s="20"/>
      <c r="T3" s="20"/>
      <c r="U3" s="20"/>
      <c r="V3" s="20"/>
      <c r="W3" s="20"/>
      <c r="X3" s="20"/>
      <c r="Y3" s="20"/>
      <c r="Z3" s="20"/>
    </row>
    <row r="4">
      <c r="A4" s="10">
        <v>35.0</v>
      </c>
      <c r="B4" s="11" t="s">
        <v>32</v>
      </c>
      <c r="C4" s="11" t="s">
        <v>34</v>
      </c>
      <c r="D4" s="11" t="s">
        <v>39</v>
      </c>
      <c r="E4" s="11" t="s">
        <v>40</v>
      </c>
      <c r="F4" s="14" t="b">
        <v>0</v>
      </c>
      <c r="G4" s="14" t="b">
        <v>0</v>
      </c>
      <c r="H4" s="14" t="b">
        <v>0</v>
      </c>
      <c r="I4" s="14" t="b">
        <v>0</v>
      </c>
      <c r="J4" s="14" t="b">
        <v>0</v>
      </c>
      <c r="K4" s="14" t="b">
        <v>0</v>
      </c>
      <c r="L4" s="14" t="b">
        <v>0</v>
      </c>
      <c r="M4" s="17">
        <f t="shared" si="1"/>
        <v>0</v>
      </c>
      <c r="N4" s="19">
        <f>IF(OR(B4="Hird du Jarl",C4="Recrue"),0,IF(C4="Aspirant-Garde",M4*'Vue globale'!$L$2/2,M4*'Vue globale'!$L$2))</f>
        <v>0</v>
      </c>
      <c r="O4" s="14" t="b">
        <v>0</v>
      </c>
      <c r="P4" s="20"/>
      <c r="Q4" s="22" t="s">
        <v>43</v>
      </c>
      <c r="U4" s="20"/>
      <c r="V4" s="20"/>
      <c r="W4" s="20"/>
      <c r="X4" s="20"/>
      <c r="Y4" s="20"/>
      <c r="Z4" s="20"/>
    </row>
    <row r="5">
      <c r="A5" s="10">
        <v>35.0</v>
      </c>
      <c r="B5" s="11" t="s">
        <v>32</v>
      </c>
      <c r="C5" s="11" t="s">
        <v>44</v>
      </c>
      <c r="D5" s="11" t="s">
        <v>45</v>
      </c>
      <c r="E5" s="11"/>
      <c r="F5" s="14" t="b">
        <v>0</v>
      </c>
      <c r="G5" s="14" t="b">
        <v>0</v>
      </c>
      <c r="H5" s="14" t="b">
        <v>0</v>
      </c>
      <c r="I5" s="14" t="b">
        <v>0</v>
      </c>
      <c r="J5" s="14" t="b">
        <v>0</v>
      </c>
      <c r="K5" s="14" t="b">
        <v>0</v>
      </c>
      <c r="L5" s="14" t="b">
        <v>0</v>
      </c>
      <c r="M5" s="17">
        <f t="shared" si="1"/>
        <v>0</v>
      </c>
      <c r="N5" s="19">
        <f>IF(OR(B5="Hird du Jarl",C5="Recrue"),0,IF(C5="Aspirant-Garde",M5*'Vue globale'!$L$2/2,M5*'Vue globale'!$L$2))</f>
        <v>0</v>
      </c>
      <c r="O5" s="14" t="b">
        <v>0</v>
      </c>
      <c r="P5" s="20"/>
      <c r="U5" s="20"/>
      <c r="V5" s="20"/>
      <c r="W5" s="20"/>
      <c r="X5" s="20"/>
      <c r="Y5" s="20"/>
      <c r="Z5" s="20"/>
    </row>
    <row r="6">
      <c r="A6" s="10">
        <v>35.0</v>
      </c>
      <c r="B6" s="11" t="s">
        <v>32</v>
      </c>
      <c r="C6" s="11" t="s">
        <v>34</v>
      </c>
      <c r="D6" s="11" t="s">
        <v>46</v>
      </c>
      <c r="E6" s="11" t="s">
        <v>47</v>
      </c>
      <c r="F6" s="14" t="b">
        <v>0</v>
      </c>
      <c r="G6" s="14" t="b">
        <v>0</v>
      </c>
      <c r="H6" s="14" t="b">
        <v>0</v>
      </c>
      <c r="I6" s="14" t="b">
        <v>0</v>
      </c>
      <c r="J6" s="14" t="b">
        <v>0</v>
      </c>
      <c r="K6" s="14" t="b">
        <v>0</v>
      </c>
      <c r="L6" s="14" t="b">
        <v>0</v>
      </c>
      <c r="M6" s="17">
        <f t="shared" si="1"/>
        <v>0</v>
      </c>
      <c r="N6" s="19">
        <f>IF(OR(B6="Hird du Jarl",C6="Recrue"),0,IF(C6="Aspirant-Garde",M6*'Vue globale'!$L$2/2,M6*'Vue globale'!$L$2))</f>
        <v>0</v>
      </c>
      <c r="O6" s="14" t="b">
        <v>0</v>
      </c>
      <c r="P6" s="20"/>
      <c r="U6" s="20"/>
      <c r="V6" s="20"/>
      <c r="W6" s="20"/>
      <c r="X6" s="20"/>
      <c r="Y6" s="20"/>
      <c r="Z6" s="20"/>
    </row>
    <row r="7">
      <c r="A7" s="10">
        <v>35.0</v>
      </c>
      <c r="B7" s="11" t="s">
        <v>32</v>
      </c>
      <c r="C7" s="11" t="s">
        <v>48</v>
      </c>
      <c r="D7" s="11" t="s">
        <v>49</v>
      </c>
      <c r="E7" s="11" t="s">
        <v>50</v>
      </c>
      <c r="F7" s="14" t="b">
        <v>0</v>
      </c>
      <c r="G7" s="14" t="b">
        <v>0</v>
      </c>
      <c r="H7" s="14" t="b">
        <v>0</v>
      </c>
      <c r="I7" s="14" t="b">
        <v>0</v>
      </c>
      <c r="J7" s="14" t="b">
        <v>0</v>
      </c>
      <c r="K7" s="14" t="b">
        <v>0</v>
      </c>
      <c r="L7" s="14" t="b">
        <v>0</v>
      </c>
      <c r="M7" s="17">
        <f t="shared" si="1"/>
        <v>0</v>
      </c>
      <c r="N7" s="19">
        <f>IF(OR(B7="Hird du Jarl",C7="Recrue"),0,IF(C7="Aspirant-Garde",M7*'Vue globale'!$L$2/2,M7*'Vue globale'!$L$2))</f>
        <v>0</v>
      </c>
      <c r="O7" s="14" t="b">
        <v>0</v>
      </c>
      <c r="P7" s="20"/>
      <c r="U7" s="20"/>
      <c r="V7" s="20"/>
      <c r="W7" s="20"/>
      <c r="X7" s="20"/>
      <c r="Y7" s="20"/>
      <c r="Z7" s="20"/>
    </row>
    <row r="8">
      <c r="A8" s="10">
        <v>35.0</v>
      </c>
      <c r="B8" s="11" t="s">
        <v>32</v>
      </c>
      <c r="C8" s="11" t="s">
        <v>34</v>
      </c>
      <c r="D8" s="11" t="s">
        <v>55</v>
      </c>
      <c r="E8" s="11" t="s">
        <v>56</v>
      </c>
      <c r="F8" s="14" t="b">
        <v>0</v>
      </c>
      <c r="G8" s="14" t="b">
        <v>0</v>
      </c>
      <c r="H8" s="14" t="b">
        <v>0</v>
      </c>
      <c r="I8" s="14" t="b">
        <v>0</v>
      </c>
      <c r="J8" s="14" t="b">
        <v>0</v>
      </c>
      <c r="K8" s="14" t="b">
        <v>0</v>
      </c>
      <c r="L8" s="14" t="b">
        <v>0</v>
      </c>
      <c r="M8" s="17">
        <f t="shared" si="1"/>
        <v>0</v>
      </c>
      <c r="N8" s="19">
        <f>IF(OR(B8="Hird du Jarl",C8="Recrue"),0,IF(C8="Aspirant-Garde",M8*'Vue globale'!$L$2/2,M8*'Vue globale'!$L$2))</f>
        <v>0</v>
      </c>
      <c r="O8" s="14" t="b">
        <v>0</v>
      </c>
      <c r="P8" s="20"/>
      <c r="U8" s="20"/>
      <c r="V8" s="20"/>
      <c r="W8" s="20"/>
      <c r="X8" s="20"/>
      <c r="Y8" s="20"/>
      <c r="Z8" s="20"/>
    </row>
    <row r="9">
      <c r="A9" s="23">
        <v>35.0</v>
      </c>
      <c r="B9" s="24" t="s">
        <v>32</v>
      </c>
      <c r="C9" s="24" t="s">
        <v>34</v>
      </c>
      <c r="D9" s="24" t="s">
        <v>59</v>
      </c>
      <c r="E9" s="24" t="s">
        <v>56</v>
      </c>
      <c r="F9" s="25" t="b">
        <v>0</v>
      </c>
      <c r="G9" s="25" t="b">
        <v>0</v>
      </c>
      <c r="H9" s="25" t="b">
        <v>0</v>
      </c>
      <c r="I9" s="25" t="b">
        <v>0</v>
      </c>
      <c r="J9" s="25" t="b">
        <v>0</v>
      </c>
      <c r="K9" s="25" t="b">
        <v>0</v>
      </c>
      <c r="L9" s="25" t="b">
        <v>0</v>
      </c>
      <c r="M9" s="26">
        <f t="shared" si="1"/>
        <v>0</v>
      </c>
      <c r="N9" s="27">
        <f>IF(OR(B9="Hird du Jarl",C9="Recrue"),0,IF(C9="Aspirant-Garde",M9*'Vue globale'!$L$2/2,M9*'Vue globale'!$L$2))</f>
        <v>0</v>
      </c>
      <c r="O9" s="25" t="b">
        <v>0</v>
      </c>
      <c r="P9" s="20"/>
      <c r="Q9" s="20"/>
      <c r="R9" s="20"/>
      <c r="S9" s="20"/>
      <c r="T9" s="20"/>
      <c r="U9" s="20"/>
      <c r="V9" s="20"/>
      <c r="W9" s="20"/>
      <c r="X9" s="20"/>
      <c r="Y9" s="20"/>
      <c r="Z9" s="20"/>
    </row>
    <row r="10">
      <c r="A10" s="28">
        <v>35.0</v>
      </c>
      <c r="B10" s="29" t="s">
        <v>60</v>
      </c>
      <c r="C10" s="29" t="s">
        <v>34</v>
      </c>
      <c r="D10" s="29" t="s">
        <v>66</v>
      </c>
      <c r="E10" s="29"/>
      <c r="F10" s="30" t="b">
        <v>1</v>
      </c>
      <c r="G10" s="30" t="b">
        <v>1</v>
      </c>
      <c r="H10" s="30" t="b">
        <v>1</v>
      </c>
      <c r="I10" s="30" t="b">
        <v>1</v>
      </c>
      <c r="J10" s="30" t="b">
        <v>1</v>
      </c>
      <c r="K10" s="30" t="b">
        <v>1</v>
      </c>
      <c r="L10" s="30" t="b">
        <v>1</v>
      </c>
      <c r="M10" s="31">
        <f t="shared" si="1"/>
        <v>7</v>
      </c>
      <c r="N10" s="32">
        <f>IF(OR(B10="Hird du Jarl",C10="Recrue"),0,IF(C10="Aspirant-Garde",M10*'Vue globale'!$L$2/2,M10*'Vue globale'!$L$2))</f>
        <v>350</v>
      </c>
      <c r="O10" s="30" t="b">
        <v>0</v>
      </c>
      <c r="P10" s="20"/>
      <c r="Q10" s="20"/>
      <c r="R10" s="20"/>
      <c r="S10" s="20"/>
      <c r="T10" s="20"/>
      <c r="U10" s="20"/>
      <c r="V10" s="20"/>
      <c r="W10" s="20"/>
      <c r="X10" s="20"/>
      <c r="Y10" s="20"/>
      <c r="Z10" s="20"/>
    </row>
    <row r="11">
      <c r="A11" s="28">
        <v>35.0</v>
      </c>
      <c r="B11" s="29" t="s">
        <v>60</v>
      </c>
      <c r="C11" s="29" t="s">
        <v>70</v>
      </c>
      <c r="D11" s="29" t="s">
        <v>71</v>
      </c>
      <c r="E11" s="29" t="s">
        <v>72</v>
      </c>
      <c r="F11" s="30" t="b">
        <v>0</v>
      </c>
      <c r="G11" s="30" t="b">
        <v>0</v>
      </c>
      <c r="H11" s="30" t="b">
        <v>0</v>
      </c>
      <c r="I11" s="30" t="b">
        <v>0</v>
      </c>
      <c r="J11" s="30" t="b">
        <v>0</v>
      </c>
      <c r="K11" s="30" t="b">
        <v>1</v>
      </c>
      <c r="L11" s="30" t="b">
        <v>0</v>
      </c>
      <c r="M11" s="31">
        <f t="shared" si="1"/>
        <v>1</v>
      </c>
      <c r="N11" s="32">
        <f>IF(OR(B11="Hird du Jarl",C11="Recrue"),0,IF(C11="Aspirant-Garde",M11*'Vue globale'!$L$2/2,M11*'Vue globale'!$L$2))</f>
        <v>0</v>
      </c>
      <c r="O11" s="30" t="b">
        <v>0</v>
      </c>
      <c r="P11" s="20"/>
      <c r="Q11" s="20"/>
      <c r="R11" s="20"/>
      <c r="S11" s="20"/>
      <c r="T11" s="20"/>
      <c r="U11" s="20"/>
      <c r="V11" s="20"/>
      <c r="W11" s="20"/>
      <c r="X11" s="20"/>
      <c r="Y11" s="20"/>
      <c r="Z11" s="20"/>
    </row>
    <row r="12">
      <c r="A12" s="28">
        <v>35.0</v>
      </c>
      <c r="B12" s="29" t="s">
        <v>60</v>
      </c>
      <c r="C12" s="29" t="s">
        <v>34</v>
      </c>
      <c r="D12" s="29" t="s">
        <v>76</v>
      </c>
      <c r="E12" s="29" t="s">
        <v>77</v>
      </c>
      <c r="F12" s="30" t="b">
        <v>0</v>
      </c>
      <c r="G12" s="30" t="b">
        <v>1</v>
      </c>
      <c r="H12" s="30" t="b">
        <v>0</v>
      </c>
      <c r="I12" s="30" t="b">
        <v>0</v>
      </c>
      <c r="J12" s="30" t="b">
        <v>0</v>
      </c>
      <c r="K12" s="30" t="b">
        <v>0</v>
      </c>
      <c r="L12" s="30" t="b">
        <v>0</v>
      </c>
      <c r="M12" s="31">
        <f t="shared" si="1"/>
        <v>1</v>
      </c>
      <c r="N12" s="32">
        <f>IF(OR(B12="Hird du Jarl",C12="Recrue"),0,IF(C12="Aspirant-Garde",M12*'Vue globale'!$L$2/2,M12*'Vue globale'!$L$2))</f>
        <v>50</v>
      </c>
      <c r="O12" s="30" t="b">
        <v>0</v>
      </c>
      <c r="P12" s="20"/>
      <c r="Q12" s="20"/>
      <c r="R12" s="20"/>
      <c r="S12" s="20"/>
      <c r="T12" s="20"/>
      <c r="U12" s="20"/>
      <c r="V12" s="20"/>
      <c r="W12" s="20"/>
      <c r="X12" s="20"/>
      <c r="Y12" s="20"/>
      <c r="Z12" s="20"/>
    </row>
    <row r="13">
      <c r="A13" s="28">
        <v>35.0</v>
      </c>
      <c r="B13" s="29" t="s">
        <v>60</v>
      </c>
      <c r="C13" s="29" t="s">
        <v>44</v>
      </c>
      <c r="D13" s="29" t="s">
        <v>57</v>
      </c>
      <c r="E13" s="29" t="s">
        <v>58</v>
      </c>
      <c r="F13" s="30" t="b">
        <v>1</v>
      </c>
      <c r="G13" s="30" t="b">
        <v>1</v>
      </c>
      <c r="H13" s="30" t="b">
        <v>1</v>
      </c>
      <c r="I13" s="30" t="b">
        <v>0</v>
      </c>
      <c r="J13" s="30" t="b">
        <v>1</v>
      </c>
      <c r="K13" s="30" t="b">
        <v>1</v>
      </c>
      <c r="L13" s="30" t="b">
        <v>1</v>
      </c>
      <c r="M13" s="31">
        <f t="shared" si="1"/>
        <v>6</v>
      </c>
      <c r="N13" s="32">
        <f>IF(OR(B13="Hird du Jarl",C13="Recrue"),0,IF(C13="Aspirant-Garde",M13*'Vue globale'!$L$2/2,M13*'Vue globale'!$L$2))</f>
        <v>300</v>
      </c>
      <c r="O13" s="30" t="b">
        <v>1</v>
      </c>
      <c r="P13" s="20"/>
      <c r="Q13" s="20"/>
      <c r="R13" s="20"/>
      <c r="S13" s="20"/>
      <c r="T13" s="20"/>
      <c r="U13" s="20"/>
      <c r="V13" s="20"/>
      <c r="W13" s="20"/>
      <c r="X13" s="20"/>
      <c r="Y13" s="20"/>
      <c r="Z13" s="20"/>
    </row>
    <row r="14">
      <c r="A14" s="28">
        <v>35.0</v>
      </c>
      <c r="B14" s="29" t="s">
        <v>60</v>
      </c>
      <c r="C14" s="29" t="s">
        <v>34</v>
      </c>
      <c r="D14" s="29" t="s">
        <v>81</v>
      </c>
      <c r="E14" s="29"/>
      <c r="F14" s="30" t="b">
        <v>0</v>
      </c>
      <c r="G14" s="30" t="b">
        <v>1</v>
      </c>
      <c r="H14" s="30" t="b">
        <v>1</v>
      </c>
      <c r="I14" s="30" t="b">
        <v>0</v>
      </c>
      <c r="J14" s="30" t="b">
        <v>0</v>
      </c>
      <c r="K14" s="30" t="b">
        <v>0</v>
      </c>
      <c r="L14" s="30" t="b">
        <v>0</v>
      </c>
      <c r="M14" s="31">
        <f t="shared" si="1"/>
        <v>2</v>
      </c>
      <c r="N14" s="32">
        <f>IF(OR(B14="Hird du Jarl",C14="Recrue"),0,IF(C14="Aspirant-Garde",M14*'Vue globale'!$L$2/2,M14*'Vue globale'!$L$2))</f>
        <v>100</v>
      </c>
      <c r="O14" s="30" t="b">
        <v>1</v>
      </c>
      <c r="P14" s="20"/>
      <c r="Q14" s="20"/>
      <c r="R14" s="20"/>
      <c r="S14" s="20"/>
      <c r="T14" s="20"/>
      <c r="U14" s="20"/>
      <c r="V14" s="20"/>
      <c r="W14" s="20"/>
      <c r="X14" s="20"/>
      <c r="Y14" s="20"/>
      <c r="Z14" s="20"/>
    </row>
    <row r="15">
      <c r="A15" s="10">
        <v>35.0</v>
      </c>
      <c r="B15" s="11" t="s">
        <v>60</v>
      </c>
      <c r="C15" s="11" t="s">
        <v>34</v>
      </c>
      <c r="D15" s="11" t="s">
        <v>85</v>
      </c>
      <c r="E15" s="11" t="s">
        <v>86</v>
      </c>
      <c r="F15" s="14" t="b">
        <v>1</v>
      </c>
      <c r="G15" s="14" t="b">
        <v>1</v>
      </c>
      <c r="H15" s="14" t="b">
        <v>0</v>
      </c>
      <c r="I15" s="14" t="b">
        <v>1</v>
      </c>
      <c r="J15" s="14" t="b">
        <v>0</v>
      </c>
      <c r="K15" s="14" t="b">
        <v>1</v>
      </c>
      <c r="L15" s="14" t="b">
        <v>1</v>
      </c>
      <c r="M15" s="17">
        <f t="shared" si="1"/>
        <v>5</v>
      </c>
      <c r="N15" s="19">
        <f>IF(OR(B15="Hird du Jarl",C15="Recrue"),0,IF(C15="Aspirant-Garde",M15*'Vue globale'!$L$2/2,M15*'Vue globale'!$L$2))</f>
        <v>250</v>
      </c>
      <c r="O15" s="14" t="b">
        <v>1</v>
      </c>
      <c r="P15" s="20"/>
      <c r="Q15" s="20"/>
      <c r="R15" s="20"/>
      <c r="S15" s="20"/>
      <c r="T15" s="20"/>
      <c r="U15" s="20"/>
      <c r="V15" s="20"/>
      <c r="W15" s="20"/>
      <c r="X15" s="20"/>
      <c r="Y15" s="20"/>
      <c r="Z15" s="20"/>
    </row>
    <row r="16">
      <c r="A16" s="28">
        <v>35.0</v>
      </c>
      <c r="B16" s="29" t="s">
        <v>60</v>
      </c>
      <c r="C16" s="29" t="s">
        <v>87</v>
      </c>
      <c r="D16" s="29" t="s">
        <v>88</v>
      </c>
      <c r="E16" s="29"/>
      <c r="F16" s="30" t="b">
        <v>0</v>
      </c>
      <c r="G16" s="30" t="b">
        <v>0</v>
      </c>
      <c r="H16" s="30" t="b">
        <v>0</v>
      </c>
      <c r="I16" s="30" t="b">
        <v>0</v>
      </c>
      <c r="J16" s="30" t="b">
        <v>0</v>
      </c>
      <c r="K16" s="30" t="b">
        <v>0</v>
      </c>
      <c r="L16" s="30" t="b">
        <v>0</v>
      </c>
      <c r="M16" s="31">
        <f t="shared" si="1"/>
        <v>0</v>
      </c>
      <c r="N16" s="32">
        <f>IF(OR(B16="Hird du Jarl",C16="Recrue"),0,IF(C16="Aspirant-Garde",M16*'Vue globale'!$L$2/2,M16*'Vue globale'!$L$2))</f>
        <v>0</v>
      </c>
      <c r="O16" s="30" t="b">
        <v>0</v>
      </c>
      <c r="P16" s="20"/>
      <c r="Q16" s="20"/>
      <c r="R16" s="20"/>
      <c r="S16" s="20"/>
      <c r="T16" s="20"/>
      <c r="U16" s="20"/>
      <c r="V16" s="20"/>
      <c r="W16" s="20"/>
      <c r="X16" s="20"/>
      <c r="Y16" s="20"/>
      <c r="Z16" s="20"/>
    </row>
    <row r="17">
      <c r="A17" s="28">
        <v>35.0</v>
      </c>
      <c r="B17" s="29" t="s">
        <v>60</v>
      </c>
      <c r="C17" s="29" t="s">
        <v>93</v>
      </c>
      <c r="D17" s="29" t="s">
        <v>94</v>
      </c>
      <c r="E17" s="29" t="s">
        <v>95</v>
      </c>
      <c r="F17" s="30" t="b">
        <v>0</v>
      </c>
      <c r="G17" s="30" t="b">
        <v>0</v>
      </c>
      <c r="H17" s="30" t="b">
        <v>0</v>
      </c>
      <c r="I17" s="30" t="b">
        <v>0</v>
      </c>
      <c r="J17" s="30" t="b">
        <v>0</v>
      </c>
      <c r="K17" s="30" t="b">
        <v>0</v>
      </c>
      <c r="L17" s="30" t="b">
        <v>0</v>
      </c>
      <c r="M17" s="31">
        <f t="shared" si="1"/>
        <v>0</v>
      </c>
      <c r="N17" s="32">
        <f>IF(OR(B17="Hird du Jarl",C17="Recrue"),0,IF(C17="Aspirant-Garde",M17*'Vue globale'!$L$2/2,M17*'Vue globale'!$L$2))</f>
        <v>0</v>
      </c>
      <c r="O17" s="30" t="b">
        <v>0</v>
      </c>
      <c r="P17" s="20"/>
      <c r="Q17" s="20"/>
      <c r="R17" s="20"/>
      <c r="S17" s="20"/>
      <c r="T17" s="20"/>
      <c r="U17" s="20"/>
      <c r="V17" s="20"/>
      <c r="W17" s="20"/>
      <c r="X17" s="20"/>
      <c r="Y17" s="20"/>
      <c r="Z17" s="20"/>
    </row>
    <row r="18">
      <c r="A18" s="28">
        <v>35.0</v>
      </c>
      <c r="B18" s="29" t="s">
        <v>60</v>
      </c>
      <c r="C18" s="29" t="s">
        <v>34</v>
      </c>
      <c r="D18" s="29" t="s">
        <v>100</v>
      </c>
      <c r="E18" s="29"/>
      <c r="F18" s="30" t="b">
        <v>0</v>
      </c>
      <c r="G18" s="30" t="b">
        <v>0</v>
      </c>
      <c r="H18" s="30" t="b">
        <v>0</v>
      </c>
      <c r="I18" s="30" t="b">
        <v>0</v>
      </c>
      <c r="J18" s="30" t="b">
        <v>0</v>
      </c>
      <c r="K18" s="30" t="b">
        <v>0</v>
      </c>
      <c r="L18" s="30" t="b">
        <v>0</v>
      </c>
      <c r="M18" s="31">
        <f t="shared" si="1"/>
        <v>0</v>
      </c>
      <c r="N18" s="32">
        <f>IF(OR(B18="Hird du Jarl",C18="Recrue"),0,IF(C18="Aspirant-Garde",M18*'Vue globale'!$L$2/2,M18*'Vue globale'!$L$2))</f>
        <v>0</v>
      </c>
      <c r="O18" s="30" t="b">
        <v>0</v>
      </c>
      <c r="P18" s="20"/>
      <c r="Q18" s="20"/>
      <c r="R18" s="20"/>
      <c r="S18" s="20"/>
      <c r="T18" s="20"/>
      <c r="U18" s="20"/>
      <c r="V18" s="20"/>
      <c r="W18" s="20"/>
      <c r="X18" s="20"/>
      <c r="Y18" s="20"/>
      <c r="Z18" s="20"/>
    </row>
    <row r="19">
      <c r="A19" s="28">
        <v>35.0</v>
      </c>
      <c r="B19" s="29" t="s">
        <v>60</v>
      </c>
      <c r="C19" s="29" t="s">
        <v>87</v>
      </c>
      <c r="D19" s="29" t="s">
        <v>103</v>
      </c>
      <c r="E19" s="29"/>
      <c r="F19" s="30" t="b">
        <v>1</v>
      </c>
      <c r="G19" s="30" t="b">
        <v>1</v>
      </c>
      <c r="H19" s="30" t="b">
        <v>0</v>
      </c>
      <c r="I19" s="30" t="b">
        <v>1</v>
      </c>
      <c r="J19" s="30" t="b">
        <v>0</v>
      </c>
      <c r="K19" s="30" t="b">
        <v>1</v>
      </c>
      <c r="L19" s="30" t="b">
        <v>1</v>
      </c>
      <c r="M19" s="31">
        <f t="shared" si="1"/>
        <v>5</v>
      </c>
      <c r="N19" s="32">
        <f>IF(OR(B19="Hird du Jarl",C19="Recrue"),0,IF(C19="Aspirant-Garde",M19*'Vue globale'!$L$2/2,M19*'Vue globale'!$L$2))</f>
        <v>250</v>
      </c>
      <c r="O19" s="30" t="b">
        <v>1</v>
      </c>
      <c r="P19" s="20"/>
      <c r="Q19" s="20"/>
      <c r="R19" s="20"/>
      <c r="S19" s="20"/>
      <c r="T19" s="20"/>
      <c r="U19" s="20"/>
      <c r="V19" s="20"/>
      <c r="W19" s="20"/>
      <c r="X19" s="20"/>
      <c r="Y19" s="20"/>
      <c r="Z19" s="20"/>
    </row>
    <row r="20">
      <c r="A20" s="28">
        <v>35.0</v>
      </c>
      <c r="B20" s="29" t="s">
        <v>60</v>
      </c>
      <c r="C20" s="29" t="s">
        <v>91</v>
      </c>
      <c r="D20" s="29" t="s">
        <v>101</v>
      </c>
      <c r="E20" s="29" t="s">
        <v>102</v>
      </c>
      <c r="F20" s="30" t="b">
        <v>1</v>
      </c>
      <c r="G20" s="30" t="b">
        <v>1</v>
      </c>
      <c r="H20" s="30" t="b">
        <v>0</v>
      </c>
      <c r="I20" s="30" t="b">
        <v>0</v>
      </c>
      <c r="J20" s="30" t="b">
        <v>1</v>
      </c>
      <c r="K20" s="30" t="b">
        <v>0</v>
      </c>
      <c r="L20" s="30" t="b">
        <v>0</v>
      </c>
      <c r="M20" s="31">
        <f t="shared" si="1"/>
        <v>3</v>
      </c>
      <c r="N20" s="32">
        <f>IF(OR(B20="Hird du Jarl",C20="Recrue"),0,IF(C20="Aspirant-Garde",M20*'Vue globale'!$L$2/2,M20*'Vue globale'!$L$2))</f>
        <v>150</v>
      </c>
      <c r="O20" s="30" t="b">
        <v>0</v>
      </c>
      <c r="P20" s="20"/>
      <c r="Q20" s="20"/>
      <c r="R20" s="20"/>
      <c r="S20" s="20"/>
      <c r="T20" s="20"/>
      <c r="U20" s="20"/>
      <c r="V20" s="20"/>
      <c r="W20" s="20"/>
      <c r="X20" s="20"/>
      <c r="Y20" s="20"/>
      <c r="Z20" s="20"/>
    </row>
    <row r="21">
      <c r="A21" s="28">
        <v>35.0</v>
      </c>
      <c r="B21" s="29" t="s">
        <v>60</v>
      </c>
      <c r="C21" s="29" t="s">
        <v>70</v>
      </c>
      <c r="D21" s="29" t="s">
        <v>107</v>
      </c>
      <c r="E21" s="29"/>
      <c r="F21" s="30" t="b">
        <v>1</v>
      </c>
      <c r="G21" s="30" t="b">
        <v>1</v>
      </c>
      <c r="H21" s="30" t="b">
        <v>1</v>
      </c>
      <c r="I21" s="30" t="b">
        <v>0</v>
      </c>
      <c r="J21" s="30" t="b">
        <v>0</v>
      </c>
      <c r="K21" s="30" t="b">
        <v>0</v>
      </c>
      <c r="L21" s="30" t="b">
        <v>0</v>
      </c>
      <c r="M21" s="31">
        <f t="shared" si="1"/>
        <v>3</v>
      </c>
      <c r="N21" s="32">
        <f>IF(OR(B21="Hird du Jarl",C21="Recrue"),0,IF(C21="Aspirant-Garde",M21*'Vue globale'!$L$2/2,M21*'Vue globale'!$L$2))</f>
        <v>0</v>
      </c>
      <c r="O21" s="30" t="b">
        <v>0</v>
      </c>
      <c r="P21" s="20"/>
      <c r="Q21" s="34" t="s">
        <v>110</v>
      </c>
      <c r="R21" s="35">
        <f>SUMIF('Présences'!A2:A702,ISOWEEKNUM(TODAY()),'Présences'!N2:N702)</f>
        <v>5900</v>
      </c>
      <c r="S21" s="20"/>
      <c r="T21" s="20"/>
      <c r="U21" s="20"/>
      <c r="V21" s="20"/>
      <c r="W21" s="20"/>
      <c r="X21" s="20"/>
      <c r="Y21" s="20"/>
      <c r="Z21" s="20"/>
    </row>
    <row r="22">
      <c r="A22" s="10">
        <v>35.0</v>
      </c>
      <c r="B22" s="11" t="s">
        <v>60</v>
      </c>
      <c r="C22" s="11" t="s">
        <v>108</v>
      </c>
      <c r="D22" s="11" t="s">
        <v>109</v>
      </c>
      <c r="E22" s="11"/>
      <c r="F22" s="14" t="b">
        <v>1</v>
      </c>
      <c r="G22" s="14" t="b">
        <v>1</v>
      </c>
      <c r="H22" s="14" t="b">
        <v>1</v>
      </c>
      <c r="I22" s="14" t="b">
        <v>1</v>
      </c>
      <c r="J22" s="14" t="b">
        <v>1</v>
      </c>
      <c r="K22" s="14" t="b">
        <v>1</v>
      </c>
      <c r="L22" s="14" t="b">
        <v>1</v>
      </c>
      <c r="M22" s="17">
        <f t="shared" si="1"/>
        <v>7</v>
      </c>
      <c r="N22" s="19">
        <f>IF(OR(B22="Hird du Jarl",C22="Recrue"),0,IF(C22="Aspirant-Garde",M22*'Vue globale'!$L$2/2,M22*'Vue globale'!$L$2))</f>
        <v>350</v>
      </c>
      <c r="O22" s="14" t="b">
        <v>1</v>
      </c>
      <c r="P22" s="20"/>
      <c r="Q22" s="36" t="s">
        <v>115</v>
      </c>
      <c r="R22" s="35">
        <f>SUMIFS(
  'Présences'!N2:N702,
  'Présences'!N2:N702,"&gt;0",
  'Présences'!O2:O702,FALSE
)</f>
        <v>6750</v>
      </c>
      <c r="S22" s="20"/>
      <c r="T22" s="20"/>
      <c r="U22" s="20"/>
      <c r="V22" s="20"/>
      <c r="W22" s="20"/>
      <c r="X22" s="20"/>
      <c r="Y22" s="20"/>
      <c r="Z22" s="20"/>
    </row>
    <row r="23">
      <c r="A23" s="28">
        <v>35.0</v>
      </c>
      <c r="B23" s="29" t="s">
        <v>60</v>
      </c>
      <c r="C23" s="29" t="s">
        <v>34</v>
      </c>
      <c r="D23" s="29" t="s">
        <v>118</v>
      </c>
      <c r="E23" s="29" t="s">
        <v>119</v>
      </c>
      <c r="F23" s="30" t="b">
        <v>1</v>
      </c>
      <c r="G23" s="30" t="b">
        <v>1</v>
      </c>
      <c r="H23" s="30" t="b">
        <v>0</v>
      </c>
      <c r="I23" s="30" t="b">
        <v>1</v>
      </c>
      <c r="J23" s="30" t="b">
        <v>0</v>
      </c>
      <c r="K23" s="30" t="b">
        <v>1</v>
      </c>
      <c r="L23" s="30" t="b">
        <v>1</v>
      </c>
      <c r="M23" s="31">
        <f t="shared" si="1"/>
        <v>5</v>
      </c>
      <c r="N23" s="32">
        <f>IF(OR(B23="Hird du Jarl",C23="Recrue"),0,IF(C23="Aspirant-Garde",M23*'Vue globale'!$L$2/2,M23*'Vue globale'!$L$2))</f>
        <v>250</v>
      </c>
      <c r="O23" s="30" t="b">
        <v>1</v>
      </c>
      <c r="P23" s="20"/>
      <c r="Q23" s="36" t="s">
        <v>122</v>
      </c>
      <c r="R23" s="37">
        <f>COUNTIFS(
  'Présences'!N2:N702,"&gt;0",
  'Présences'!O2:O702,FALSE
)</f>
        <v>40</v>
      </c>
      <c r="S23" s="20"/>
      <c r="T23" s="20"/>
      <c r="U23" s="20"/>
      <c r="V23" s="20"/>
      <c r="W23" s="20"/>
      <c r="X23" s="20"/>
      <c r="Y23" s="20"/>
      <c r="Z23" s="20"/>
    </row>
    <row r="24">
      <c r="A24" s="10">
        <v>35.0</v>
      </c>
      <c r="B24" s="11" t="s">
        <v>60</v>
      </c>
      <c r="C24" s="11" t="s">
        <v>70</v>
      </c>
      <c r="D24" s="11" t="s">
        <v>123</v>
      </c>
      <c r="E24" s="11" t="s">
        <v>124</v>
      </c>
      <c r="F24" s="14" t="b">
        <v>0</v>
      </c>
      <c r="G24" s="14" t="b">
        <v>0</v>
      </c>
      <c r="H24" s="14" t="b">
        <v>0</v>
      </c>
      <c r="I24" s="14" t="b">
        <v>0</v>
      </c>
      <c r="J24" s="14" t="b">
        <v>0</v>
      </c>
      <c r="K24" s="14" t="b">
        <v>0</v>
      </c>
      <c r="L24" s="14" t="b">
        <v>0</v>
      </c>
      <c r="M24" s="17">
        <f t="shared" si="1"/>
        <v>0</v>
      </c>
      <c r="N24" s="19">
        <f>IF(OR(B24="Hird du Jarl",C24="Recrue"),0,IF(C24="Aspirant-Garde",M24*'Vue globale'!$L$2/2,M24*'Vue globale'!$L$2))</f>
        <v>0</v>
      </c>
      <c r="O24" s="14" t="b">
        <v>0</v>
      </c>
      <c r="P24" s="20"/>
      <c r="Q24" s="20"/>
      <c r="R24" s="20"/>
      <c r="S24" s="20"/>
      <c r="T24" s="20"/>
      <c r="U24" s="20"/>
      <c r="V24" s="20"/>
      <c r="W24" s="20"/>
      <c r="X24" s="20"/>
      <c r="Y24" s="20"/>
      <c r="Z24" s="20"/>
    </row>
    <row r="25">
      <c r="A25" s="10">
        <v>35.0</v>
      </c>
      <c r="B25" s="11" t="s">
        <v>60</v>
      </c>
      <c r="C25" s="11" t="s">
        <v>70</v>
      </c>
      <c r="D25" s="11" t="s">
        <v>126</v>
      </c>
      <c r="E25" s="11"/>
      <c r="F25" s="14" t="b">
        <v>1</v>
      </c>
      <c r="G25" s="14" t="b">
        <v>0</v>
      </c>
      <c r="H25" s="14" t="b">
        <v>0</v>
      </c>
      <c r="I25" s="14" t="b">
        <v>0</v>
      </c>
      <c r="J25" s="14" t="b">
        <v>0</v>
      </c>
      <c r="K25" s="14" t="b">
        <v>0</v>
      </c>
      <c r="L25" s="14" t="b">
        <v>0</v>
      </c>
      <c r="M25" s="17">
        <f t="shared" si="1"/>
        <v>1</v>
      </c>
      <c r="N25" s="19">
        <f>IF(OR(B25="Hird du Jarl",C25="Recrue"),0,IF(C25="Aspirant-Garde",M25*'Vue globale'!$L$2/2,M25*'Vue globale'!$L$2))</f>
        <v>0</v>
      </c>
      <c r="O25" s="14" t="b">
        <v>0</v>
      </c>
      <c r="P25" s="20"/>
      <c r="Q25" s="20"/>
      <c r="R25" s="20"/>
      <c r="S25" s="20"/>
      <c r="T25" s="20"/>
      <c r="U25" s="20"/>
      <c r="V25" s="20"/>
      <c r="W25" s="20"/>
      <c r="X25" s="20"/>
      <c r="Y25" s="20"/>
      <c r="Z25" s="20"/>
    </row>
    <row r="26">
      <c r="A26" s="10">
        <v>35.0</v>
      </c>
      <c r="B26" s="11" t="s">
        <v>60</v>
      </c>
      <c r="C26" s="11" t="s">
        <v>91</v>
      </c>
      <c r="D26" s="11" t="s">
        <v>92</v>
      </c>
      <c r="E26" s="11"/>
      <c r="F26" s="14" t="b">
        <v>1</v>
      </c>
      <c r="G26" s="14" t="b">
        <v>1</v>
      </c>
      <c r="H26" s="14" t="b">
        <v>1</v>
      </c>
      <c r="I26" s="14" t="b">
        <v>1</v>
      </c>
      <c r="J26" s="14" t="b">
        <v>1</v>
      </c>
      <c r="K26" s="14" t="b">
        <v>1</v>
      </c>
      <c r="L26" s="14" t="b">
        <v>1</v>
      </c>
      <c r="M26" s="17">
        <f t="shared" si="1"/>
        <v>7</v>
      </c>
      <c r="N26" s="19">
        <f>IF(OR(B26="Hird du Jarl",C26="Recrue"),0,IF(C26="Aspirant-Garde",M26*'Vue globale'!$L$2/2,M26*'Vue globale'!$L$2))</f>
        <v>350</v>
      </c>
      <c r="O26" s="14" t="b">
        <v>1</v>
      </c>
      <c r="P26" s="20"/>
      <c r="Q26" s="20"/>
      <c r="R26" s="20"/>
      <c r="S26" s="20"/>
      <c r="T26" s="20"/>
      <c r="U26" s="20"/>
      <c r="V26" s="20"/>
      <c r="W26" s="20"/>
      <c r="X26" s="20"/>
      <c r="Y26" s="20"/>
      <c r="Z26" s="20"/>
    </row>
    <row r="27">
      <c r="A27" s="10">
        <v>35.0</v>
      </c>
      <c r="B27" s="11" t="s">
        <v>60</v>
      </c>
      <c r="C27" s="11" t="s">
        <v>104</v>
      </c>
      <c r="D27" s="11" t="s">
        <v>105</v>
      </c>
      <c r="E27" s="11" t="s">
        <v>106</v>
      </c>
      <c r="F27" s="14" t="b">
        <v>1</v>
      </c>
      <c r="G27" s="14" t="b">
        <v>1</v>
      </c>
      <c r="H27" s="14" t="b">
        <v>1</v>
      </c>
      <c r="I27" s="14" t="b">
        <v>1</v>
      </c>
      <c r="J27" s="14" t="b">
        <v>1</v>
      </c>
      <c r="K27" s="14" t="b">
        <v>1</v>
      </c>
      <c r="L27" s="14" t="b">
        <v>1</v>
      </c>
      <c r="M27" s="17">
        <f t="shared" si="1"/>
        <v>7</v>
      </c>
      <c r="N27" s="19">
        <f>IF(OR(B27="Hird du Jarl",C27="Recrue"),0,IF(C27="Aspirant-Garde",M27*'Vue globale'!$L$2/2,M27*'Vue globale'!$L$2))</f>
        <v>350</v>
      </c>
      <c r="O27" s="14" t="b">
        <v>1</v>
      </c>
      <c r="P27" s="20"/>
      <c r="Q27" s="20"/>
      <c r="R27" s="20"/>
      <c r="S27" s="20"/>
      <c r="T27" s="20"/>
      <c r="U27" s="20"/>
      <c r="V27" s="20"/>
      <c r="W27" s="20"/>
      <c r="X27" s="20"/>
      <c r="Y27" s="20"/>
      <c r="Z27" s="20"/>
    </row>
    <row r="28">
      <c r="A28" s="10">
        <v>35.0</v>
      </c>
      <c r="B28" s="11" t="s">
        <v>60</v>
      </c>
      <c r="C28" s="11" t="s">
        <v>48</v>
      </c>
      <c r="D28" s="11" t="s">
        <v>89</v>
      </c>
      <c r="E28" s="11"/>
      <c r="F28" s="14" t="b">
        <v>1</v>
      </c>
      <c r="G28" s="14" t="b">
        <v>0</v>
      </c>
      <c r="H28" s="14" t="b">
        <v>1</v>
      </c>
      <c r="I28" s="14" t="b">
        <v>0</v>
      </c>
      <c r="J28" s="14" t="b">
        <v>1</v>
      </c>
      <c r="K28" s="14" t="b">
        <v>0</v>
      </c>
      <c r="L28" s="14" t="b">
        <v>1</v>
      </c>
      <c r="M28" s="17">
        <f t="shared" si="1"/>
        <v>4</v>
      </c>
      <c r="N28" s="19">
        <f>IF(OR(B28="Hird du Jarl",C28="Recrue"),0,IF(C28="Aspirant-Garde",M28*'Vue globale'!$L$2/2,M28*'Vue globale'!$L$2))</f>
        <v>200</v>
      </c>
      <c r="O28" s="14" t="b">
        <v>0</v>
      </c>
      <c r="P28" s="20"/>
      <c r="Q28" s="20"/>
      <c r="R28" s="20"/>
      <c r="S28" s="20"/>
      <c r="T28" s="20"/>
      <c r="U28" s="20"/>
      <c r="V28" s="20"/>
      <c r="W28" s="20"/>
      <c r="X28" s="20"/>
      <c r="Y28" s="20"/>
      <c r="Z28" s="20"/>
    </row>
    <row r="29">
      <c r="A29" s="23">
        <v>35.0</v>
      </c>
      <c r="B29" s="24" t="s">
        <v>60</v>
      </c>
      <c r="C29" s="24" t="s">
        <v>34</v>
      </c>
      <c r="D29" s="24" t="s">
        <v>129</v>
      </c>
      <c r="E29" s="24" t="s">
        <v>130</v>
      </c>
      <c r="F29" s="25" t="b">
        <v>0</v>
      </c>
      <c r="G29" s="25" t="b">
        <v>0</v>
      </c>
      <c r="H29" s="25" t="b">
        <v>0</v>
      </c>
      <c r="I29" s="25" t="b">
        <v>0</v>
      </c>
      <c r="J29" s="25" t="b">
        <v>0</v>
      </c>
      <c r="K29" s="25" t="b">
        <v>0</v>
      </c>
      <c r="L29" s="25" t="b">
        <v>1</v>
      </c>
      <c r="M29" s="26">
        <f t="shared" si="1"/>
        <v>1</v>
      </c>
      <c r="N29" s="27">
        <f>IF(OR(B29="Hird du Jarl",C29="Recrue"),0,IF(C29="Aspirant-Garde",M29*'Vue globale'!$L$2/2,M29*'Vue globale'!$L$2))</f>
        <v>50</v>
      </c>
      <c r="O29" s="25" t="b">
        <v>1</v>
      </c>
      <c r="P29" s="20"/>
      <c r="Q29" s="20"/>
      <c r="R29" s="20"/>
      <c r="S29" s="20"/>
      <c r="T29" s="20"/>
      <c r="U29" s="20"/>
      <c r="V29" s="20"/>
      <c r="W29" s="20"/>
      <c r="X29" s="20"/>
      <c r="Y29" s="20"/>
      <c r="Z29" s="20"/>
    </row>
    <row r="30">
      <c r="A30" s="28">
        <v>35.0</v>
      </c>
      <c r="B30" s="29" t="s">
        <v>64</v>
      </c>
      <c r="C30" s="29" t="s">
        <v>70</v>
      </c>
      <c r="D30" s="29" t="s">
        <v>135</v>
      </c>
      <c r="E30" s="29"/>
      <c r="F30" s="30" t="b">
        <v>0</v>
      </c>
      <c r="G30" s="30" t="b">
        <v>0</v>
      </c>
      <c r="H30" s="30" t="b">
        <v>0</v>
      </c>
      <c r="I30" s="30" t="b">
        <v>0</v>
      </c>
      <c r="J30" s="30" t="b">
        <v>1</v>
      </c>
      <c r="K30" s="30" t="b">
        <v>1</v>
      </c>
      <c r="L30" s="30" t="b">
        <v>1</v>
      </c>
      <c r="M30" s="31">
        <f t="shared" si="1"/>
        <v>3</v>
      </c>
      <c r="N30" s="32">
        <f>IF(OR(B30="Hird du Jarl",C30="Recrue"),0,IF(C30="Aspirant-Garde",M30*'Vue globale'!$L$2/2,M30*'Vue globale'!$L$2))</f>
        <v>0</v>
      </c>
      <c r="O30" s="30" t="b">
        <v>1</v>
      </c>
      <c r="P30" s="20"/>
      <c r="Q30" s="20"/>
      <c r="R30" s="20"/>
      <c r="S30" s="20"/>
      <c r="T30" s="20"/>
      <c r="U30" s="20"/>
      <c r="V30" s="20"/>
      <c r="W30" s="20"/>
      <c r="X30" s="20"/>
      <c r="Y30" s="20"/>
      <c r="Z30" s="20"/>
    </row>
    <row r="31">
      <c r="A31" s="10">
        <v>35.0</v>
      </c>
      <c r="B31" s="11" t="s">
        <v>64</v>
      </c>
      <c r="C31" s="11" t="s">
        <v>44</v>
      </c>
      <c r="D31" s="11" t="s">
        <v>62</v>
      </c>
      <c r="E31" s="11" t="s">
        <v>63</v>
      </c>
      <c r="F31" s="14" t="b">
        <v>1</v>
      </c>
      <c r="G31" s="14" t="b">
        <v>1</v>
      </c>
      <c r="H31" s="14" t="b">
        <v>1</v>
      </c>
      <c r="I31" s="14" t="b">
        <v>1</v>
      </c>
      <c r="J31" s="14" t="b">
        <v>1</v>
      </c>
      <c r="K31" s="14" t="b">
        <v>1</v>
      </c>
      <c r="L31" s="14" t="b">
        <v>1</v>
      </c>
      <c r="M31" s="17">
        <f t="shared" si="1"/>
        <v>7</v>
      </c>
      <c r="N31" s="19">
        <f>IF(OR(B31="Hird du Jarl",C31="Recrue"),0,IF(C31="Aspirant-Garde",M31*'Vue globale'!$L$2/2,M31*'Vue globale'!$L$2))</f>
        <v>350</v>
      </c>
      <c r="O31" s="14" t="b">
        <v>1</v>
      </c>
      <c r="P31" s="20"/>
      <c r="Q31" s="20"/>
      <c r="R31" s="20"/>
      <c r="S31" s="20"/>
      <c r="T31" s="20"/>
      <c r="U31" s="20"/>
      <c r="V31" s="20"/>
      <c r="W31" s="20"/>
      <c r="X31" s="20"/>
      <c r="Y31" s="20"/>
      <c r="Z31" s="20"/>
    </row>
    <row r="32">
      <c r="A32" s="28">
        <v>35.0</v>
      </c>
      <c r="B32" s="29" t="s">
        <v>64</v>
      </c>
      <c r="C32" s="29" t="s">
        <v>34</v>
      </c>
      <c r="D32" s="29" t="s">
        <v>116</v>
      </c>
      <c r="E32" s="29" t="s">
        <v>117</v>
      </c>
      <c r="F32" s="30" t="b">
        <v>1</v>
      </c>
      <c r="G32" s="30" t="b">
        <v>1</v>
      </c>
      <c r="H32" s="30" t="b">
        <v>1</v>
      </c>
      <c r="I32" s="30" t="b">
        <v>1</v>
      </c>
      <c r="J32" s="30" t="b">
        <v>1</v>
      </c>
      <c r="K32" s="30" t="b">
        <v>1</v>
      </c>
      <c r="L32" s="30" t="b">
        <v>1</v>
      </c>
      <c r="M32" s="31">
        <f t="shared" si="1"/>
        <v>7</v>
      </c>
      <c r="N32" s="32">
        <f>IF(OR(B32="Hird du Jarl",C32="Recrue"),0,IF(C32="Aspirant-Garde",M32*'Vue globale'!$L$2/2,M32*'Vue globale'!$L$2))</f>
        <v>350</v>
      </c>
      <c r="O32" s="30" t="b">
        <v>1</v>
      </c>
      <c r="P32" s="20"/>
      <c r="Q32" s="20"/>
      <c r="R32" s="20"/>
      <c r="S32" s="20"/>
      <c r="T32" s="20"/>
      <c r="U32" s="20"/>
      <c r="V32" s="20"/>
      <c r="W32" s="20"/>
      <c r="X32" s="20"/>
      <c r="Y32" s="20"/>
      <c r="Z32" s="20"/>
    </row>
    <row r="33">
      <c r="A33" s="28">
        <v>35.0</v>
      </c>
      <c r="B33" s="29" t="s">
        <v>64</v>
      </c>
      <c r="C33" s="29" t="s">
        <v>70</v>
      </c>
      <c r="D33" s="29" t="s">
        <v>120</v>
      </c>
      <c r="E33" s="29"/>
      <c r="F33" s="30" t="b">
        <v>0</v>
      </c>
      <c r="G33" s="30" t="b">
        <v>1</v>
      </c>
      <c r="H33" s="30" t="b">
        <v>1</v>
      </c>
      <c r="I33" s="30" t="b">
        <v>0</v>
      </c>
      <c r="J33" s="30" t="b">
        <v>1</v>
      </c>
      <c r="K33" s="30" t="b">
        <v>1</v>
      </c>
      <c r="L33" s="30" t="b">
        <v>1</v>
      </c>
      <c r="M33" s="31">
        <f t="shared" si="1"/>
        <v>5</v>
      </c>
      <c r="N33" s="32">
        <f>IF(OR(B33="Hird du Jarl",C33="Recrue"),0,IF(C33="Aspirant-Garde",M33*'Vue globale'!$L$2/2,M33*'Vue globale'!$L$2))</f>
        <v>0</v>
      </c>
      <c r="O33" s="30" t="b">
        <v>1</v>
      </c>
      <c r="P33" s="20"/>
      <c r="Q33" s="20"/>
      <c r="R33" s="20"/>
      <c r="S33" s="20"/>
      <c r="T33" s="20"/>
      <c r="U33" s="20"/>
      <c r="V33" s="20"/>
      <c r="W33" s="20"/>
      <c r="X33" s="20"/>
      <c r="Y33" s="20"/>
      <c r="Z33" s="20"/>
    </row>
    <row r="34">
      <c r="A34" s="10">
        <v>35.0</v>
      </c>
      <c r="B34" s="11" t="s">
        <v>64</v>
      </c>
      <c r="C34" s="11" t="s">
        <v>34</v>
      </c>
      <c r="D34" s="11" t="s">
        <v>111</v>
      </c>
      <c r="E34" s="11" t="s">
        <v>112</v>
      </c>
      <c r="F34" s="14" t="b">
        <v>1</v>
      </c>
      <c r="G34" s="14" t="b">
        <v>1</v>
      </c>
      <c r="H34" s="14" t="b">
        <v>1</v>
      </c>
      <c r="I34" s="14" t="b">
        <v>1</v>
      </c>
      <c r="J34" s="14" t="b">
        <v>1</v>
      </c>
      <c r="K34" s="14" t="b">
        <v>0</v>
      </c>
      <c r="L34" s="14" t="b">
        <v>1</v>
      </c>
      <c r="M34" s="17">
        <f t="shared" si="1"/>
        <v>6</v>
      </c>
      <c r="N34" s="19">
        <f>IF(OR(B34="Hird du Jarl",C34="Recrue"),0,IF(C34="Aspirant-Garde",M34*'Vue globale'!$L$2/2,M34*'Vue globale'!$L$2))</f>
        <v>300</v>
      </c>
      <c r="O34" s="14" t="b">
        <v>1</v>
      </c>
      <c r="P34" s="20"/>
      <c r="Q34" s="20"/>
      <c r="R34" s="20"/>
      <c r="S34" s="20"/>
      <c r="T34" s="20"/>
      <c r="U34" s="20"/>
      <c r="V34" s="20"/>
      <c r="W34" s="20"/>
      <c r="X34" s="20"/>
      <c r="Y34" s="20"/>
      <c r="Z34" s="20"/>
    </row>
    <row r="35">
      <c r="A35" s="23">
        <v>35.0</v>
      </c>
      <c r="B35" s="24" t="s">
        <v>64</v>
      </c>
      <c r="C35" s="24" t="s">
        <v>91</v>
      </c>
      <c r="D35" s="24" t="s">
        <v>98</v>
      </c>
      <c r="E35" s="24" t="s">
        <v>99</v>
      </c>
      <c r="F35" s="25" t="b">
        <v>0</v>
      </c>
      <c r="G35" s="25" t="b">
        <v>0</v>
      </c>
      <c r="H35" s="25" t="b">
        <v>0</v>
      </c>
      <c r="I35" s="25" t="b">
        <v>0</v>
      </c>
      <c r="J35" s="25" t="b">
        <v>0</v>
      </c>
      <c r="K35" s="25" t="b">
        <v>0</v>
      </c>
      <c r="L35" s="25" t="b">
        <v>0</v>
      </c>
      <c r="M35" s="26">
        <f t="shared" si="1"/>
        <v>0</v>
      </c>
      <c r="N35" s="27">
        <f>IF(OR(B35="Hird du Jarl",C35="Recrue"),0,IF(C35="Aspirant-Garde",M35*'Vue globale'!$L$2/2,M35*'Vue globale'!$L$2))</f>
        <v>0</v>
      </c>
      <c r="O35" s="25" t="b">
        <v>0</v>
      </c>
      <c r="P35" s="20"/>
      <c r="Q35" s="20"/>
      <c r="R35" s="20"/>
      <c r="S35" s="20"/>
      <c r="T35" s="20"/>
      <c r="U35" s="20"/>
      <c r="V35" s="20"/>
      <c r="W35" s="20"/>
      <c r="X35" s="20"/>
      <c r="Y35" s="20"/>
      <c r="Z35" s="20"/>
    </row>
    <row r="36">
      <c r="A36" s="28">
        <v>35.0</v>
      </c>
      <c r="B36" s="29" t="s">
        <v>31</v>
      </c>
      <c r="C36" s="29" t="s">
        <v>142</v>
      </c>
      <c r="D36" s="29" t="s">
        <v>42</v>
      </c>
      <c r="E36" s="29"/>
      <c r="F36" s="30" t="b">
        <v>1</v>
      </c>
      <c r="G36" s="30" t="b">
        <v>1</v>
      </c>
      <c r="H36" s="30" t="b">
        <v>1</v>
      </c>
      <c r="I36" s="30" t="b">
        <v>1</v>
      </c>
      <c r="J36" s="30" t="b">
        <v>1</v>
      </c>
      <c r="K36" s="30" t="b">
        <v>1</v>
      </c>
      <c r="L36" s="30" t="b">
        <v>1</v>
      </c>
      <c r="M36" s="31">
        <f t="shared" si="1"/>
        <v>7</v>
      </c>
      <c r="N36" s="32">
        <f>IF(OR(B36="Hird du Jarl",C36="Recrue"),0,IF(C36="Aspirant-Garde",M36*'Vue globale'!$L$2/2,M36*'Vue globale'!$L$2))</f>
        <v>350</v>
      </c>
      <c r="O36" s="30" t="b">
        <v>1</v>
      </c>
      <c r="P36" s="20"/>
      <c r="Q36" s="20"/>
      <c r="R36" s="20"/>
      <c r="S36" s="20"/>
      <c r="T36" s="20"/>
      <c r="U36" s="20"/>
      <c r="V36" s="20"/>
      <c r="W36" s="20"/>
      <c r="X36" s="20"/>
      <c r="Y36" s="20"/>
      <c r="Z36" s="20"/>
    </row>
    <row r="37">
      <c r="A37" s="39">
        <v>35.0</v>
      </c>
      <c r="B37" s="40" t="s">
        <v>31</v>
      </c>
      <c r="C37" s="40" t="s">
        <v>17</v>
      </c>
      <c r="D37" s="40" t="s">
        <v>19</v>
      </c>
      <c r="E37" s="40" t="s">
        <v>21</v>
      </c>
      <c r="F37" s="41" t="b">
        <v>0</v>
      </c>
      <c r="G37" s="41" t="b">
        <v>1</v>
      </c>
      <c r="H37" s="41" t="b">
        <v>0</v>
      </c>
      <c r="I37" s="41" t="b">
        <v>0</v>
      </c>
      <c r="J37" s="41" t="b">
        <v>1</v>
      </c>
      <c r="K37" s="41" t="b">
        <v>0</v>
      </c>
      <c r="L37" s="41" t="b">
        <v>0</v>
      </c>
      <c r="M37" s="42">
        <f t="shared" si="1"/>
        <v>2</v>
      </c>
      <c r="N37" s="43">
        <f>IF(OR(B37="Hird du Jarl",C37="Recrue"),0,IF(C37="Aspirant-Garde",M37*'Vue globale'!$L$2/2,M37*'Vue globale'!$L$2))</f>
        <v>100</v>
      </c>
      <c r="O37" s="41" t="b">
        <v>0</v>
      </c>
      <c r="P37" s="20"/>
      <c r="Q37" s="20"/>
      <c r="R37" s="20"/>
      <c r="S37" s="20"/>
      <c r="T37" s="20"/>
      <c r="U37" s="20"/>
      <c r="V37" s="20"/>
      <c r="W37" s="20"/>
      <c r="X37" s="20"/>
      <c r="Y37" s="20"/>
      <c r="Z37" s="20"/>
    </row>
    <row r="38">
      <c r="A38" s="10">
        <v>35.0</v>
      </c>
      <c r="B38" s="11" t="s">
        <v>75</v>
      </c>
      <c r="C38" s="11" t="s">
        <v>104</v>
      </c>
      <c r="D38" s="11" t="s">
        <v>125</v>
      </c>
      <c r="E38" s="11"/>
      <c r="F38" s="14" t="b">
        <v>0</v>
      </c>
      <c r="G38" s="14" t="b">
        <v>0</v>
      </c>
      <c r="H38" s="14" t="b">
        <v>0</v>
      </c>
      <c r="I38" s="14" t="b">
        <v>0</v>
      </c>
      <c r="J38" s="14" t="b">
        <v>0</v>
      </c>
      <c r="K38" s="14" t="b">
        <v>0</v>
      </c>
      <c r="L38" s="14" t="b">
        <v>0</v>
      </c>
      <c r="M38" s="17">
        <f t="shared" si="1"/>
        <v>0</v>
      </c>
      <c r="N38" s="19">
        <f>IF(OR(B38="Hird du Jarl",C38="Recrue"),0,IF(C38="Aspirant-Garde",M38*'Vue globale'!$L$2/2,M38*'Vue globale'!$L$2))</f>
        <v>0</v>
      </c>
      <c r="O38" s="14" t="b">
        <v>0</v>
      </c>
      <c r="P38" s="20"/>
      <c r="Q38" s="20"/>
      <c r="R38" s="20"/>
      <c r="S38" s="20"/>
      <c r="T38" s="20"/>
      <c r="U38" s="20"/>
      <c r="V38" s="20"/>
      <c r="W38" s="20"/>
      <c r="X38" s="20"/>
      <c r="Y38" s="20"/>
      <c r="Z38" s="20"/>
    </row>
    <row r="39">
      <c r="A39" s="10">
        <v>35.0</v>
      </c>
      <c r="B39" s="11" t="s">
        <v>75</v>
      </c>
      <c r="C39" s="11" t="s">
        <v>34</v>
      </c>
      <c r="D39" s="11" t="s">
        <v>149</v>
      </c>
      <c r="E39" s="11"/>
      <c r="F39" s="14" t="b">
        <v>0</v>
      </c>
      <c r="G39" s="14" t="b">
        <v>0</v>
      </c>
      <c r="H39" s="14" t="b">
        <v>0</v>
      </c>
      <c r="I39" s="14" t="b">
        <v>0</v>
      </c>
      <c r="J39" s="14" t="b">
        <v>0</v>
      </c>
      <c r="K39" s="14" t="b">
        <v>0</v>
      </c>
      <c r="L39" s="14" t="b">
        <v>0</v>
      </c>
      <c r="M39" s="17">
        <f t="shared" si="1"/>
        <v>0</v>
      </c>
      <c r="N39" s="19">
        <f>IF(OR(B39="Hird du Jarl",C39="Recrue"),0,IF(C39="Aspirant-Garde",M39*'Vue globale'!$L$2/2,M39*'Vue globale'!$L$2))</f>
        <v>0</v>
      </c>
      <c r="O39" s="14" t="b">
        <v>0</v>
      </c>
      <c r="P39" s="20"/>
      <c r="Q39" s="20"/>
      <c r="R39" s="20"/>
      <c r="S39" s="20"/>
      <c r="T39" s="20"/>
      <c r="U39" s="20"/>
      <c r="V39" s="20"/>
      <c r="W39" s="20"/>
      <c r="X39" s="20"/>
      <c r="Y39" s="20"/>
      <c r="Z39" s="20"/>
    </row>
    <row r="40">
      <c r="A40" s="10">
        <v>35.0</v>
      </c>
      <c r="B40" s="11" t="s">
        <v>75</v>
      </c>
      <c r="C40" s="11" t="s">
        <v>34</v>
      </c>
      <c r="D40" s="11" t="s">
        <v>151</v>
      </c>
      <c r="E40" s="11"/>
      <c r="F40" s="14" t="b">
        <v>0</v>
      </c>
      <c r="G40" s="14" t="b">
        <v>0</v>
      </c>
      <c r="H40" s="14" t="b">
        <v>0</v>
      </c>
      <c r="I40" s="14" t="b">
        <v>0</v>
      </c>
      <c r="J40" s="14" t="b">
        <v>0</v>
      </c>
      <c r="K40" s="14" t="b">
        <v>0</v>
      </c>
      <c r="L40" s="14" t="b">
        <v>0</v>
      </c>
      <c r="M40" s="17">
        <f t="shared" si="1"/>
        <v>0</v>
      </c>
      <c r="N40" s="19">
        <f>IF(OR(B40="Hird du Jarl",C40="Recrue"),0,IF(C40="Aspirant-Garde",M40*'Vue globale'!$L$2/2,M40*'Vue globale'!$L$2))</f>
        <v>0</v>
      </c>
      <c r="O40" s="14" t="b">
        <v>0</v>
      </c>
      <c r="P40" s="20"/>
      <c r="Q40" s="20"/>
      <c r="R40" s="20"/>
      <c r="S40" s="20"/>
      <c r="T40" s="20"/>
      <c r="U40" s="20"/>
      <c r="V40" s="20"/>
      <c r="W40" s="20"/>
      <c r="X40" s="20"/>
      <c r="Y40" s="20"/>
      <c r="Z40" s="20"/>
    </row>
    <row r="41">
      <c r="A41" s="10">
        <v>35.0</v>
      </c>
      <c r="B41" s="11" t="s">
        <v>75</v>
      </c>
      <c r="C41" s="11" t="s">
        <v>91</v>
      </c>
      <c r="D41" s="11" t="s">
        <v>147</v>
      </c>
      <c r="E41" s="11" t="s">
        <v>148</v>
      </c>
      <c r="F41" s="14" t="b">
        <v>0</v>
      </c>
      <c r="G41" s="14" t="b">
        <v>0</v>
      </c>
      <c r="H41" s="14" t="b">
        <v>0</v>
      </c>
      <c r="I41" s="14" t="b">
        <v>0</v>
      </c>
      <c r="J41" s="14" t="b">
        <v>0</v>
      </c>
      <c r="K41" s="14" t="b">
        <v>0</v>
      </c>
      <c r="L41" s="14" t="b">
        <v>0</v>
      </c>
      <c r="M41" s="17">
        <f t="shared" si="1"/>
        <v>0</v>
      </c>
      <c r="N41" s="19">
        <f>IF(OR(B41="Hird du Jarl",C41="Recrue"),0,IF(C41="Aspirant-Garde",M41*'Vue globale'!$L$2/2,M41*'Vue globale'!$L$2))</f>
        <v>0</v>
      </c>
      <c r="O41" s="14" t="b">
        <v>0</v>
      </c>
      <c r="P41" s="20"/>
      <c r="Q41" s="20"/>
      <c r="R41" s="20"/>
      <c r="S41" s="20"/>
      <c r="T41" s="20"/>
      <c r="U41" s="20"/>
      <c r="V41" s="20"/>
      <c r="W41" s="20"/>
      <c r="X41" s="20"/>
      <c r="Y41" s="20"/>
      <c r="Z41" s="20"/>
    </row>
    <row r="42">
      <c r="A42" s="10">
        <v>35.0</v>
      </c>
      <c r="B42" s="11" t="s">
        <v>75</v>
      </c>
      <c r="C42" s="11" t="s">
        <v>48</v>
      </c>
      <c r="D42" s="11" t="s">
        <v>153</v>
      </c>
      <c r="E42" s="11" t="s">
        <v>146</v>
      </c>
      <c r="F42" s="14" t="b">
        <v>0</v>
      </c>
      <c r="G42" s="14" t="b">
        <v>0</v>
      </c>
      <c r="H42" s="14" t="b">
        <v>0</v>
      </c>
      <c r="I42" s="14" t="b">
        <v>0</v>
      </c>
      <c r="J42" s="14" t="b">
        <v>0</v>
      </c>
      <c r="K42" s="14" t="b">
        <v>0</v>
      </c>
      <c r="L42" s="14" t="b">
        <v>0</v>
      </c>
      <c r="M42" s="17">
        <f t="shared" si="1"/>
        <v>0</v>
      </c>
      <c r="N42" s="19">
        <f>IF(OR(B42="Hird du Jarl",C42="Recrue"),0,IF(C42="Aspirant-Garde",M42*'Vue globale'!$L$2/2,M42*'Vue globale'!$L$2))</f>
        <v>0</v>
      </c>
      <c r="O42" s="14" t="b">
        <v>0</v>
      </c>
      <c r="P42" s="20"/>
      <c r="Q42" s="20"/>
      <c r="R42" s="20"/>
      <c r="S42" s="20"/>
      <c r="T42" s="20"/>
      <c r="U42" s="20"/>
      <c r="V42" s="20"/>
      <c r="W42" s="20"/>
      <c r="X42" s="20"/>
      <c r="Y42" s="20"/>
      <c r="Z42" s="20"/>
    </row>
    <row r="43">
      <c r="A43" s="10">
        <v>35.0</v>
      </c>
      <c r="B43" s="11" t="s">
        <v>75</v>
      </c>
      <c r="C43" s="11" t="s">
        <v>70</v>
      </c>
      <c r="D43" s="11" t="s">
        <v>155</v>
      </c>
      <c r="E43" s="11"/>
      <c r="F43" s="14" t="b">
        <v>0</v>
      </c>
      <c r="G43" s="14" t="b">
        <v>0</v>
      </c>
      <c r="H43" s="14" t="b">
        <v>0</v>
      </c>
      <c r="I43" s="14" t="b">
        <v>0</v>
      </c>
      <c r="J43" s="14" t="b">
        <v>0</v>
      </c>
      <c r="K43" s="14" t="b">
        <v>0</v>
      </c>
      <c r="L43" s="14" t="b">
        <v>0</v>
      </c>
      <c r="M43" s="17">
        <f t="shared" si="1"/>
        <v>0</v>
      </c>
      <c r="N43" s="19">
        <f>IF(OR(B43="Hird du Jarl",C43="Recrue"),0,IF(C43="Aspirant-Garde",M43*'Vue globale'!$L$2/2,M43*'Vue globale'!$L$2))</f>
        <v>0</v>
      </c>
      <c r="O43" s="14" t="b">
        <v>0</v>
      </c>
      <c r="P43" s="20"/>
      <c r="Q43" s="20"/>
      <c r="R43" s="20"/>
      <c r="S43" s="20"/>
      <c r="T43" s="20"/>
      <c r="U43" s="20"/>
      <c r="V43" s="20"/>
      <c r="W43" s="20"/>
      <c r="X43" s="20"/>
      <c r="Y43" s="20"/>
      <c r="Z43" s="20"/>
    </row>
    <row r="44">
      <c r="A44" s="10">
        <v>35.0</v>
      </c>
      <c r="B44" s="11" t="s">
        <v>75</v>
      </c>
      <c r="C44" s="11" t="s">
        <v>87</v>
      </c>
      <c r="D44" s="11" t="s">
        <v>158</v>
      </c>
      <c r="E44" s="11"/>
      <c r="F44" s="14" t="b">
        <v>0</v>
      </c>
      <c r="G44" s="14" t="b">
        <v>0</v>
      </c>
      <c r="H44" s="14" t="b">
        <v>0</v>
      </c>
      <c r="I44" s="14" t="b">
        <v>0</v>
      </c>
      <c r="J44" s="14" t="b">
        <v>0</v>
      </c>
      <c r="K44" s="14" t="b">
        <v>0</v>
      </c>
      <c r="L44" s="14" t="b">
        <v>0</v>
      </c>
      <c r="M44" s="17">
        <f t="shared" si="1"/>
        <v>0</v>
      </c>
      <c r="N44" s="19">
        <f>IF(OR(B44="Hird du Jarl",C44="Recrue"),0,IF(C44="Aspirant-Garde",M44*'Vue globale'!$L$2/2,M44*'Vue globale'!$L$2))</f>
        <v>0</v>
      </c>
      <c r="O44" s="14" t="b">
        <v>0</v>
      </c>
      <c r="P44" s="20"/>
      <c r="Q44" s="20"/>
      <c r="R44" s="20"/>
      <c r="S44" s="20"/>
      <c r="T44" s="20"/>
      <c r="U44" s="20"/>
      <c r="V44" s="20"/>
      <c r="W44" s="20"/>
      <c r="X44" s="20"/>
      <c r="Y44" s="20"/>
      <c r="Z44" s="20"/>
    </row>
    <row r="45">
      <c r="A45" s="10">
        <v>35.0</v>
      </c>
      <c r="B45" s="11" t="s">
        <v>75</v>
      </c>
      <c r="C45" s="11" t="s">
        <v>87</v>
      </c>
      <c r="D45" s="11" t="s">
        <v>154</v>
      </c>
      <c r="E45" s="11"/>
      <c r="F45" s="14" t="b">
        <v>0</v>
      </c>
      <c r="G45" s="14" t="b">
        <v>0</v>
      </c>
      <c r="H45" s="14" t="b">
        <v>0</v>
      </c>
      <c r="I45" s="14" t="b">
        <v>0</v>
      </c>
      <c r="J45" s="14" t="b">
        <v>0</v>
      </c>
      <c r="K45" s="14" t="b">
        <v>0</v>
      </c>
      <c r="L45" s="14" t="b">
        <v>0</v>
      </c>
      <c r="M45" s="17">
        <f t="shared" si="1"/>
        <v>0</v>
      </c>
      <c r="N45" s="19">
        <f>IF(OR(B45="Hird du Jarl",C45="Recrue"),0,IF(C45="Aspirant-Garde",M45*'Vue globale'!$L$2/2,M45*'Vue globale'!$L$2))</f>
        <v>0</v>
      </c>
      <c r="O45" s="14" t="b">
        <v>0</v>
      </c>
      <c r="P45" s="20"/>
      <c r="Q45" s="20"/>
      <c r="R45" s="20"/>
      <c r="S45" s="20"/>
      <c r="T45" s="20"/>
      <c r="U45" s="20"/>
      <c r="V45" s="20"/>
      <c r="W45" s="20"/>
      <c r="X45" s="20"/>
      <c r="Y45" s="20"/>
      <c r="Z45" s="20"/>
    </row>
    <row r="46">
      <c r="A46" s="10">
        <v>35.0</v>
      </c>
      <c r="B46" s="11" t="s">
        <v>75</v>
      </c>
      <c r="C46" s="11" t="s">
        <v>44</v>
      </c>
      <c r="D46" s="11" t="s">
        <v>73</v>
      </c>
      <c r="E46" s="11" t="s">
        <v>74</v>
      </c>
      <c r="F46" s="14" t="b">
        <v>0</v>
      </c>
      <c r="G46" s="14" t="b">
        <v>0</v>
      </c>
      <c r="H46" s="14" t="b">
        <v>0</v>
      </c>
      <c r="I46" s="14" t="b">
        <v>0</v>
      </c>
      <c r="J46" s="14" t="b">
        <v>0</v>
      </c>
      <c r="K46" s="14" t="b">
        <v>0</v>
      </c>
      <c r="L46" s="14" t="b">
        <v>0</v>
      </c>
      <c r="M46" s="17">
        <f t="shared" si="1"/>
        <v>0</v>
      </c>
      <c r="N46" s="19">
        <f>IF(OR(B46="Hird du Jarl",C46="Recrue"),0,IF(C46="Aspirant-Garde",M46*'Vue globale'!$L$2/2,M46*'Vue globale'!$L$2))</f>
        <v>0</v>
      </c>
      <c r="O46" s="14" t="b">
        <v>0</v>
      </c>
      <c r="P46" s="20"/>
      <c r="Q46" s="20"/>
      <c r="R46" s="20"/>
      <c r="S46" s="20"/>
      <c r="T46" s="20"/>
      <c r="U46" s="20"/>
      <c r="V46" s="20"/>
      <c r="W46" s="20"/>
      <c r="X46" s="20"/>
      <c r="Y46" s="20"/>
      <c r="Z46" s="20"/>
    </row>
    <row r="47">
      <c r="A47" s="10">
        <v>35.0</v>
      </c>
      <c r="B47" s="11" t="s">
        <v>75</v>
      </c>
      <c r="C47" s="11" t="s">
        <v>34</v>
      </c>
      <c r="D47" s="11" t="s">
        <v>123</v>
      </c>
      <c r="E47" s="11"/>
      <c r="F47" s="14" t="b">
        <v>0</v>
      </c>
      <c r="G47" s="14" t="b">
        <v>0</v>
      </c>
      <c r="H47" s="14" t="b">
        <v>0</v>
      </c>
      <c r="I47" s="14" t="b">
        <v>0</v>
      </c>
      <c r="J47" s="14" t="b">
        <v>0</v>
      </c>
      <c r="K47" s="14" t="b">
        <v>0</v>
      </c>
      <c r="L47" s="14" t="b">
        <v>0</v>
      </c>
      <c r="M47" s="17">
        <f t="shared" si="1"/>
        <v>0</v>
      </c>
      <c r="N47" s="19">
        <f>IF(OR(B47="Hird du Jarl",C47="Recrue"),0,IF(C47="Aspirant-Garde",M47*'Vue globale'!$L$2/2,M47*'Vue globale'!$L$2))</f>
        <v>0</v>
      </c>
      <c r="O47" s="14" t="b">
        <v>0</v>
      </c>
      <c r="P47" s="20"/>
      <c r="Q47" s="20"/>
      <c r="R47" s="20"/>
      <c r="S47" s="20"/>
      <c r="T47" s="20"/>
      <c r="U47" s="20"/>
      <c r="V47" s="20"/>
      <c r="W47" s="20"/>
      <c r="X47" s="20"/>
      <c r="Y47" s="20"/>
      <c r="Z47" s="20"/>
    </row>
    <row r="48">
      <c r="A48" s="10">
        <v>35.0</v>
      </c>
      <c r="B48" s="11" t="s">
        <v>75</v>
      </c>
      <c r="C48" s="11" t="s">
        <v>34</v>
      </c>
      <c r="D48" s="11" t="s">
        <v>152</v>
      </c>
      <c r="E48" s="11"/>
      <c r="F48" s="14" t="b">
        <v>0</v>
      </c>
      <c r="G48" s="14" t="b">
        <v>0</v>
      </c>
      <c r="H48" s="14" t="b">
        <v>0</v>
      </c>
      <c r="I48" s="14" t="b">
        <v>0</v>
      </c>
      <c r="J48" s="14" t="b">
        <v>0</v>
      </c>
      <c r="K48" s="14" t="b">
        <v>0</v>
      </c>
      <c r="L48" s="14" t="b">
        <v>0</v>
      </c>
      <c r="M48" s="17">
        <f t="shared" si="1"/>
        <v>0</v>
      </c>
      <c r="N48" s="19">
        <f>IF(OR(B48="Hird du Jarl",C48="Recrue"),0,IF(C48="Aspirant-Garde",M48*'Vue globale'!$L$2/2,M48*'Vue globale'!$L$2))</f>
        <v>0</v>
      </c>
      <c r="O48" s="14" t="b">
        <v>0</v>
      </c>
    </row>
    <row r="49">
      <c r="A49" s="10">
        <v>35.0</v>
      </c>
      <c r="B49" s="11" t="s">
        <v>75</v>
      </c>
      <c r="C49" s="11" t="s">
        <v>34</v>
      </c>
      <c r="D49" s="11" t="s">
        <v>150</v>
      </c>
      <c r="E49" s="11"/>
      <c r="F49" s="14" t="b">
        <v>0</v>
      </c>
      <c r="G49" s="14" t="b">
        <v>0</v>
      </c>
      <c r="H49" s="14" t="b">
        <v>0</v>
      </c>
      <c r="I49" s="14" t="b">
        <v>0</v>
      </c>
      <c r="J49" s="14" t="b">
        <v>0</v>
      </c>
      <c r="K49" s="14" t="b">
        <v>0</v>
      </c>
      <c r="L49" s="14" t="b">
        <v>0</v>
      </c>
      <c r="M49" s="17">
        <f t="shared" si="1"/>
        <v>0</v>
      </c>
      <c r="N49" s="19">
        <f>IF(OR(B49="Hird du Jarl",C49="Recrue"),0,IF(C49="Aspirant-Garde",M49*'Vue globale'!$L$2/2,M49*'Vue globale'!$L$2))</f>
        <v>0</v>
      </c>
      <c r="O49" s="14" t="b">
        <v>0</v>
      </c>
    </row>
    <row r="50">
      <c r="A50" s="23">
        <v>35.0</v>
      </c>
      <c r="B50" s="24" t="s">
        <v>75</v>
      </c>
      <c r="C50" s="24" t="s">
        <v>34</v>
      </c>
      <c r="D50" s="24" t="s">
        <v>156</v>
      </c>
      <c r="E50" s="24"/>
      <c r="F50" s="25" t="b">
        <v>0</v>
      </c>
      <c r="G50" s="25" t="b">
        <v>0</v>
      </c>
      <c r="H50" s="25" t="b">
        <v>0</v>
      </c>
      <c r="I50" s="25" t="b">
        <v>0</v>
      </c>
      <c r="J50" s="25" t="b">
        <v>0</v>
      </c>
      <c r="K50" s="25" t="b">
        <v>0</v>
      </c>
      <c r="L50" s="25" t="b">
        <v>0</v>
      </c>
      <c r="M50" s="26">
        <f t="shared" si="1"/>
        <v>0</v>
      </c>
      <c r="N50" s="27">
        <f>IF(OR(B50="Hird du Jarl",C50="Recrue"),0,IF(C50="Aspirant-Garde",M50*'Vue globale'!$L$2/2,M50*'Vue globale'!$L$2))</f>
        <v>0</v>
      </c>
      <c r="O50" s="25" t="b">
        <v>0</v>
      </c>
    </row>
    <row r="51">
      <c r="A51" s="28">
        <v>35.0</v>
      </c>
      <c r="B51" s="29" t="s">
        <v>133</v>
      </c>
      <c r="C51" s="29" t="s">
        <v>34</v>
      </c>
      <c r="D51" s="29" t="s">
        <v>134</v>
      </c>
      <c r="E51" s="29" t="s">
        <v>132</v>
      </c>
      <c r="F51" s="30" t="b">
        <v>0</v>
      </c>
      <c r="G51" s="30" t="b">
        <v>0</v>
      </c>
      <c r="H51" s="30" t="b">
        <v>0</v>
      </c>
      <c r="I51" s="30" t="b">
        <v>0</v>
      </c>
      <c r="J51" s="30" t="b">
        <v>0</v>
      </c>
      <c r="K51" s="30" t="b">
        <v>0</v>
      </c>
      <c r="L51" s="30" t="b">
        <v>0</v>
      </c>
      <c r="M51" s="31">
        <f t="shared" si="1"/>
        <v>0</v>
      </c>
      <c r="N51" s="32">
        <f>IF(OR(B51="Hird du Jarl",C51="Recrue"),0,IF(C51="Aspirant-Garde",M51*'Vue globale'!$L$2/2,M51*'Vue globale'!$L$2))</f>
        <v>0</v>
      </c>
      <c r="O51" s="30" t="b">
        <v>0</v>
      </c>
    </row>
    <row r="52">
      <c r="A52" s="28">
        <v>35.0</v>
      </c>
      <c r="B52" s="29" t="s">
        <v>133</v>
      </c>
      <c r="C52" s="29" t="s">
        <v>34</v>
      </c>
      <c r="D52" s="29" t="s">
        <v>131</v>
      </c>
      <c r="E52" s="29" t="s">
        <v>132</v>
      </c>
      <c r="F52" s="30" t="b">
        <v>0</v>
      </c>
      <c r="G52" s="30" t="b">
        <v>0</v>
      </c>
      <c r="H52" s="30" t="b">
        <v>0</v>
      </c>
      <c r="I52" s="30" t="b">
        <v>0</v>
      </c>
      <c r="J52" s="30" t="b">
        <v>0</v>
      </c>
      <c r="K52" s="30" t="b">
        <v>0</v>
      </c>
      <c r="L52" s="30" t="b">
        <v>0</v>
      </c>
      <c r="M52" s="31">
        <f t="shared" si="1"/>
        <v>0</v>
      </c>
      <c r="N52" s="32">
        <f>IF(OR(B52="Hird du Jarl",C52="Recrue"),0,IF(C52="Aspirant-Garde",M52*'Vue globale'!$L$2/2,M52*'Vue globale'!$L$2))</f>
        <v>0</v>
      </c>
      <c r="O52" s="30" t="b">
        <v>0</v>
      </c>
    </row>
    <row r="53">
      <c r="A53" s="39">
        <v>35.0</v>
      </c>
      <c r="B53" s="40" t="s">
        <v>133</v>
      </c>
      <c r="C53" s="40" t="s">
        <v>34</v>
      </c>
      <c r="D53" s="40" t="s">
        <v>136</v>
      </c>
      <c r="E53" s="40"/>
      <c r="F53" s="41" t="b">
        <v>0</v>
      </c>
      <c r="G53" s="41" t="b">
        <v>0</v>
      </c>
      <c r="H53" s="41" t="b">
        <v>0</v>
      </c>
      <c r="I53" s="41" t="b">
        <v>0</v>
      </c>
      <c r="J53" s="41" t="b">
        <v>0</v>
      </c>
      <c r="K53" s="41" t="b">
        <v>0</v>
      </c>
      <c r="L53" s="41" t="b">
        <v>0</v>
      </c>
      <c r="M53" s="42">
        <f t="shared" si="1"/>
        <v>0</v>
      </c>
      <c r="N53" s="43">
        <f>IF(OR(B53="Hird du Jarl",C53="Recrue"),0,IF(C53="Aspirant-Garde",M53*'Vue globale'!$L$2/2,M53*'Vue globale'!$L$2))</f>
        <v>0</v>
      </c>
      <c r="O53" s="41" t="b">
        <v>0</v>
      </c>
    </row>
    <row r="54">
      <c r="A54" s="46">
        <v>35.0</v>
      </c>
      <c r="B54" s="47" t="s">
        <v>84</v>
      </c>
      <c r="C54" s="47" t="s">
        <v>44</v>
      </c>
      <c r="D54" s="47" t="s">
        <v>82</v>
      </c>
      <c r="E54" s="47" t="s">
        <v>165</v>
      </c>
      <c r="F54" s="48" t="b">
        <v>0</v>
      </c>
      <c r="G54" s="48" t="b">
        <v>0</v>
      </c>
      <c r="H54" s="48" t="b">
        <v>0</v>
      </c>
      <c r="I54" s="48" t="b">
        <v>0</v>
      </c>
      <c r="J54" s="48" t="b">
        <v>0</v>
      </c>
      <c r="K54" s="48" t="b">
        <v>0</v>
      </c>
      <c r="L54" s="48" t="b">
        <v>0</v>
      </c>
      <c r="M54" s="49">
        <f t="shared" si="1"/>
        <v>0</v>
      </c>
      <c r="N54" s="50">
        <f>IF(OR(B54="Hird du Jarl",C54="Recrue"),0,IF(C54="Aspirant-Garde",M54*'Vue globale'!$L$2/2,M54*'Vue globale'!$L$2))</f>
        <v>0</v>
      </c>
      <c r="O54" s="48" t="b">
        <v>0</v>
      </c>
    </row>
    <row r="55">
      <c r="A55" s="10">
        <v>36.0</v>
      </c>
      <c r="B55" s="11" t="s">
        <v>170</v>
      </c>
      <c r="C55" s="11" t="s">
        <v>44</v>
      </c>
      <c r="D55" s="11" t="s">
        <v>171</v>
      </c>
      <c r="E55" s="11" t="s">
        <v>172</v>
      </c>
      <c r="F55" s="14" t="b">
        <v>0</v>
      </c>
      <c r="G55" s="14" t="b">
        <v>0</v>
      </c>
      <c r="H55" s="14" t="b">
        <v>0</v>
      </c>
      <c r="I55" s="14" t="b">
        <v>0</v>
      </c>
      <c r="J55" s="14" t="b">
        <v>0</v>
      </c>
      <c r="K55" s="14" t="b">
        <v>0</v>
      </c>
      <c r="L55" s="14" t="b">
        <v>0</v>
      </c>
      <c r="M55" s="17">
        <f t="shared" si="1"/>
        <v>0</v>
      </c>
      <c r="N55" s="19">
        <f>IF(OR(B55="Hird du Jarl",C55="Recrue"),0,IF(C55="Aspirant-Garde",M55*'Vue globale'!$L$2/2,M55*'Vue globale'!$L$2))</f>
        <v>0</v>
      </c>
      <c r="O55" s="14" t="b">
        <v>0</v>
      </c>
    </row>
    <row r="56">
      <c r="A56" s="23">
        <v>36.0</v>
      </c>
      <c r="B56" s="24" t="s">
        <v>170</v>
      </c>
      <c r="C56" s="24" t="s">
        <v>51</v>
      </c>
      <c r="D56" s="24" t="s">
        <v>174</v>
      </c>
      <c r="E56" s="24"/>
      <c r="F56" s="25" t="b">
        <v>0</v>
      </c>
      <c r="G56" s="25" t="b">
        <v>0</v>
      </c>
      <c r="H56" s="25" t="b">
        <v>0</v>
      </c>
      <c r="I56" s="25" t="b">
        <v>0</v>
      </c>
      <c r="J56" s="25" t="b">
        <v>0</v>
      </c>
      <c r="K56" s="25" t="b">
        <v>0</v>
      </c>
      <c r="L56" s="25" t="b">
        <v>0</v>
      </c>
      <c r="M56" s="26">
        <f t="shared" si="1"/>
        <v>0</v>
      </c>
      <c r="N56" s="27">
        <f>IF(OR(B56="Hird du Jarl",C56="Recrue"),0,IF(C56="Aspirant-Garde",M56*'Vue globale'!$L$2/2,M56*'Vue globale'!$L$2))</f>
        <v>0</v>
      </c>
      <c r="O56" s="25" t="b">
        <v>0</v>
      </c>
    </row>
    <row r="57">
      <c r="A57" s="10">
        <v>36.0</v>
      </c>
      <c r="B57" s="11" t="s">
        <v>32</v>
      </c>
      <c r="C57" s="11" t="s">
        <v>34</v>
      </c>
      <c r="D57" s="11" t="s">
        <v>35</v>
      </c>
      <c r="E57" s="11"/>
      <c r="F57" s="14" t="b">
        <v>1</v>
      </c>
      <c r="G57" s="14" t="b">
        <v>1</v>
      </c>
      <c r="H57" s="14" t="b">
        <v>1</v>
      </c>
      <c r="I57" s="14" t="b">
        <v>0</v>
      </c>
      <c r="J57" s="14" t="b">
        <v>1</v>
      </c>
      <c r="K57" s="14" t="b">
        <v>0</v>
      </c>
      <c r="L57" s="14" t="b">
        <v>0</v>
      </c>
      <c r="M57" s="17">
        <f t="shared" si="1"/>
        <v>4</v>
      </c>
      <c r="N57" s="19">
        <f>IF(OR(B57="Hird du Jarl",C57="Recrue"),0,IF(C57="Aspirant-Garde",M57*'Vue globale'!$L$2/2,M57*'Vue globale'!$L$2))</f>
        <v>200</v>
      </c>
      <c r="O57" s="14" t="b">
        <v>0</v>
      </c>
    </row>
    <row r="58">
      <c r="A58" s="10">
        <v>36.0</v>
      </c>
      <c r="B58" s="11" t="s">
        <v>32</v>
      </c>
      <c r="C58" s="11" t="s">
        <v>104</v>
      </c>
      <c r="D58" s="11" t="s">
        <v>37</v>
      </c>
      <c r="E58" s="11" t="s">
        <v>38</v>
      </c>
      <c r="F58" s="14" t="b">
        <v>1</v>
      </c>
      <c r="G58" s="14" t="b">
        <v>1</v>
      </c>
      <c r="H58" s="14" t="b">
        <v>0</v>
      </c>
      <c r="I58" s="14" t="b">
        <v>1</v>
      </c>
      <c r="J58" s="14" t="b">
        <v>0</v>
      </c>
      <c r="K58" s="14" t="b">
        <v>0</v>
      </c>
      <c r="L58" s="14" t="b">
        <v>0</v>
      </c>
      <c r="M58" s="17">
        <f t="shared" si="1"/>
        <v>3</v>
      </c>
      <c r="N58" s="19">
        <f>IF(OR(B58="Hird du Jarl",C58="Recrue"),0,IF(C58="Aspirant-Garde",M58*'Vue globale'!$L$2/2,M58*'Vue globale'!$L$2))</f>
        <v>150</v>
      </c>
      <c r="O58" s="14" t="b">
        <v>0</v>
      </c>
    </row>
    <row r="59">
      <c r="A59" s="10">
        <v>36.0</v>
      </c>
      <c r="B59" s="11" t="s">
        <v>32</v>
      </c>
      <c r="C59" s="11" t="s">
        <v>34</v>
      </c>
      <c r="D59" s="11" t="s">
        <v>39</v>
      </c>
      <c r="E59" s="11" t="s">
        <v>40</v>
      </c>
      <c r="F59" s="14" t="b">
        <v>0</v>
      </c>
      <c r="G59" s="14" t="b">
        <v>0</v>
      </c>
      <c r="H59" s="14" t="b">
        <v>0</v>
      </c>
      <c r="I59" s="14" t="b">
        <v>0</v>
      </c>
      <c r="J59" s="14" t="b">
        <v>0</v>
      </c>
      <c r="K59" s="14" t="b">
        <v>0</v>
      </c>
      <c r="L59" s="14" t="b">
        <v>0</v>
      </c>
      <c r="M59" s="17">
        <f t="shared" si="1"/>
        <v>0</v>
      </c>
      <c r="N59" s="19">
        <f>IF(OR(B59="Hird du Jarl",C59="Recrue"),0,IF(C59="Aspirant-Garde",M59*'Vue globale'!$L$2/2,M59*'Vue globale'!$L$2))</f>
        <v>0</v>
      </c>
      <c r="O59" s="14" t="b">
        <v>0</v>
      </c>
    </row>
    <row r="60">
      <c r="A60" s="10">
        <v>36.0</v>
      </c>
      <c r="B60" s="11" t="s">
        <v>32</v>
      </c>
      <c r="C60" s="11" t="s">
        <v>44</v>
      </c>
      <c r="D60" s="11" t="s">
        <v>45</v>
      </c>
      <c r="E60" s="11"/>
      <c r="F60" s="14" t="b">
        <v>0</v>
      </c>
      <c r="G60" s="14" t="b">
        <v>0</v>
      </c>
      <c r="H60" s="14" t="b">
        <v>0</v>
      </c>
      <c r="I60" s="14" t="b">
        <v>0</v>
      </c>
      <c r="J60" s="14" t="b">
        <v>0</v>
      </c>
      <c r="K60" s="14" t="b">
        <v>0</v>
      </c>
      <c r="L60" s="14" t="b">
        <v>0</v>
      </c>
      <c r="M60" s="17">
        <f t="shared" si="1"/>
        <v>0</v>
      </c>
      <c r="N60" s="19">
        <f>IF(OR(B60="Hird du Jarl",C60="Recrue"),0,IF(C60="Aspirant-Garde",M60*'Vue globale'!$L$2/2,M60*'Vue globale'!$L$2))</f>
        <v>0</v>
      </c>
      <c r="O60" s="14" t="b">
        <v>0</v>
      </c>
    </row>
    <row r="61">
      <c r="A61" s="10">
        <v>36.0</v>
      </c>
      <c r="B61" s="11" t="s">
        <v>32</v>
      </c>
      <c r="C61" s="11" t="s">
        <v>34</v>
      </c>
      <c r="D61" s="11" t="s">
        <v>46</v>
      </c>
      <c r="E61" s="11" t="s">
        <v>47</v>
      </c>
      <c r="F61" s="14" t="b">
        <v>1</v>
      </c>
      <c r="G61" s="14" t="b">
        <v>1</v>
      </c>
      <c r="H61" s="14" t="b">
        <v>1</v>
      </c>
      <c r="I61" s="14" t="b">
        <v>1</v>
      </c>
      <c r="J61" s="14" t="b">
        <v>0</v>
      </c>
      <c r="K61" s="14" t="b">
        <v>0</v>
      </c>
      <c r="L61" s="14" t="b">
        <v>0</v>
      </c>
      <c r="M61" s="17">
        <f t="shared" si="1"/>
        <v>4</v>
      </c>
      <c r="N61" s="19">
        <f>IF(OR(B61="Hird du Jarl",C61="Recrue"),0,IF(C61="Aspirant-Garde",M61*'Vue globale'!$L$2/2,M61*'Vue globale'!$L$2))</f>
        <v>200</v>
      </c>
      <c r="O61" s="14" t="b">
        <v>0</v>
      </c>
    </row>
    <row r="62">
      <c r="A62" s="28">
        <v>36.0</v>
      </c>
      <c r="B62" s="29" t="s">
        <v>32</v>
      </c>
      <c r="C62" s="29" t="s">
        <v>48</v>
      </c>
      <c r="D62" s="29" t="s">
        <v>49</v>
      </c>
      <c r="E62" s="29" t="s">
        <v>50</v>
      </c>
      <c r="F62" s="30" t="b">
        <v>0</v>
      </c>
      <c r="G62" s="30" t="b">
        <v>0</v>
      </c>
      <c r="H62" s="30" t="b">
        <v>0</v>
      </c>
      <c r="I62" s="30" t="b">
        <v>1</v>
      </c>
      <c r="J62" s="30" t="b">
        <v>0</v>
      </c>
      <c r="K62" s="30" t="b">
        <v>0</v>
      </c>
      <c r="L62" s="30" t="b">
        <v>0</v>
      </c>
      <c r="M62" s="31">
        <f t="shared" si="1"/>
        <v>1</v>
      </c>
      <c r="N62" s="32">
        <f>IF(OR(B62="Hird du Jarl",C62="Recrue"),0,IF(C62="Aspirant-Garde",M62*'Vue globale'!$L$2/2,M62*'Vue globale'!$L$2))</f>
        <v>50</v>
      </c>
      <c r="O62" s="30" t="b">
        <v>0</v>
      </c>
    </row>
    <row r="63">
      <c r="A63" s="39">
        <v>36.0</v>
      </c>
      <c r="B63" s="40" t="s">
        <v>32</v>
      </c>
      <c r="C63" s="40" t="s">
        <v>104</v>
      </c>
      <c r="D63" s="40" t="s">
        <v>59</v>
      </c>
      <c r="E63" s="40" t="s">
        <v>56</v>
      </c>
      <c r="F63" s="41" t="b">
        <v>1</v>
      </c>
      <c r="G63" s="41" t="b">
        <v>1</v>
      </c>
      <c r="H63" s="41" t="b">
        <v>1</v>
      </c>
      <c r="I63" s="41" t="b">
        <v>1</v>
      </c>
      <c r="J63" s="41" t="b">
        <v>0</v>
      </c>
      <c r="K63" s="41" t="b">
        <v>0</v>
      </c>
      <c r="L63" s="41" t="b">
        <v>0</v>
      </c>
      <c r="M63" s="42">
        <f t="shared" si="1"/>
        <v>4</v>
      </c>
      <c r="N63" s="43">
        <f>IF(OR(B63="Hird du Jarl",C63="Recrue"),0,IF(C63="Aspirant-Garde",M63*'Vue globale'!$L$2/2,M63*'Vue globale'!$L$2))</f>
        <v>200</v>
      </c>
      <c r="O63" s="41" t="b">
        <v>0</v>
      </c>
    </row>
    <row r="64">
      <c r="A64" s="28">
        <v>36.0</v>
      </c>
      <c r="B64" s="29" t="s">
        <v>32</v>
      </c>
      <c r="C64" s="29" t="s">
        <v>70</v>
      </c>
      <c r="D64" s="29" t="s">
        <v>209</v>
      </c>
      <c r="E64" s="29" t="s">
        <v>210</v>
      </c>
      <c r="F64" s="30" t="b">
        <v>0</v>
      </c>
      <c r="G64" s="30" t="b">
        <v>0</v>
      </c>
      <c r="H64" s="30" t="b">
        <v>0</v>
      </c>
      <c r="I64" s="30" t="b">
        <v>1</v>
      </c>
      <c r="J64" s="30" t="b">
        <v>0</v>
      </c>
      <c r="K64" s="30" t="b">
        <v>0</v>
      </c>
      <c r="L64" s="30" t="b">
        <v>0</v>
      </c>
      <c r="M64" s="31">
        <f t="shared" si="1"/>
        <v>1</v>
      </c>
      <c r="N64" s="32">
        <f>IF(OR(B64="Hird du Jarl",C64="Recrue"),0,IF(C64="Aspirant-Garde",M64*'Vue globale'!$L$2/2,M64*'Vue globale'!$L$2))</f>
        <v>0</v>
      </c>
      <c r="O64" s="30" t="b">
        <v>0</v>
      </c>
    </row>
    <row r="65">
      <c r="A65" s="10">
        <v>36.0</v>
      </c>
      <c r="B65" s="11" t="s">
        <v>60</v>
      </c>
      <c r="C65" s="11" t="s">
        <v>34</v>
      </c>
      <c r="D65" s="11" t="s">
        <v>66</v>
      </c>
      <c r="E65" s="11"/>
      <c r="F65" s="14" t="b">
        <v>0</v>
      </c>
      <c r="G65" s="14" t="b">
        <v>0</v>
      </c>
      <c r="H65" s="14" t="b">
        <v>0</v>
      </c>
      <c r="I65" s="14" t="b">
        <v>0</v>
      </c>
      <c r="J65" s="14" t="b">
        <v>0</v>
      </c>
      <c r="K65" s="14" t="b">
        <v>0</v>
      </c>
      <c r="L65" s="14" t="b">
        <v>0</v>
      </c>
      <c r="M65" s="17">
        <f t="shared" si="1"/>
        <v>0</v>
      </c>
      <c r="N65" s="19">
        <f>IF(OR(B65="Hird du Jarl",C65="Recrue"),0,IF(C65="Aspirant-Garde",M65*'Vue globale'!$L$2/2,M65*'Vue globale'!$L$2))</f>
        <v>0</v>
      </c>
      <c r="O65" s="14" t="b">
        <v>0</v>
      </c>
    </row>
    <row r="66">
      <c r="A66" s="10">
        <v>36.0</v>
      </c>
      <c r="B66" s="11" t="s">
        <v>60</v>
      </c>
      <c r="C66" s="11" t="s">
        <v>70</v>
      </c>
      <c r="D66" s="11" t="s">
        <v>71</v>
      </c>
      <c r="E66" s="11" t="s">
        <v>72</v>
      </c>
      <c r="F66" s="14" t="b">
        <v>0</v>
      </c>
      <c r="G66" s="14" t="b">
        <v>1</v>
      </c>
      <c r="H66" s="14" t="b">
        <v>0</v>
      </c>
      <c r="I66" s="14" t="b">
        <v>0</v>
      </c>
      <c r="J66" s="14" t="b">
        <v>0</v>
      </c>
      <c r="K66" s="14" t="b">
        <v>0</v>
      </c>
      <c r="L66" s="14" t="b">
        <v>0</v>
      </c>
      <c r="M66" s="17">
        <f t="shared" si="1"/>
        <v>1</v>
      </c>
      <c r="N66" s="19">
        <f>IF(OR(B66="Hird du Jarl",C66="Recrue"),0,IF(C66="Aspirant-Garde",M66*'Vue globale'!$L$2/2,M66*'Vue globale'!$L$2))</f>
        <v>0</v>
      </c>
      <c r="O66" s="14" t="b">
        <v>0</v>
      </c>
    </row>
    <row r="67">
      <c r="A67" s="10">
        <v>36.0</v>
      </c>
      <c r="B67" s="11" t="s">
        <v>60</v>
      </c>
      <c r="C67" s="11" t="s">
        <v>34</v>
      </c>
      <c r="D67" s="11" t="s">
        <v>76</v>
      </c>
      <c r="E67" s="11" t="s">
        <v>77</v>
      </c>
      <c r="F67" s="14" t="b">
        <v>0</v>
      </c>
      <c r="G67" s="14" t="b">
        <v>0</v>
      </c>
      <c r="H67" s="14" t="b">
        <v>0</v>
      </c>
      <c r="I67" s="14" t="b">
        <v>0</v>
      </c>
      <c r="J67" s="14" t="b">
        <v>0</v>
      </c>
      <c r="K67" s="14" t="b">
        <v>0</v>
      </c>
      <c r="L67" s="14" t="b">
        <v>0</v>
      </c>
      <c r="M67" s="17">
        <f t="shared" si="1"/>
        <v>0</v>
      </c>
      <c r="N67" s="19">
        <f>IF(OR(B67="Hird du Jarl",C67="Recrue"),0,IF(C67="Aspirant-Garde",M67*'Vue globale'!$L$2/2,M67*'Vue globale'!$L$2))</f>
        <v>0</v>
      </c>
      <c r="O67" s="14" t="b">
        <v>0</v>
      </c>
    </row>
    <row r="68">
      <c r="A68" s="10">
        <v>36.0</v>
      </c>
      <c r="B68" s="11" t="s">
        <v>60</v>
      </c>
      <c r="C68" s="11" t="s">
        <v>44</v>
      </c>
      <c r="D68" s="11" t="s">
        <v>57</v>
      </c>
      <c r="E68" s="11" t="s">
        <v>58</v>
      </c>
      <c r="F68" s="14" t="b">
        <v>1</v>
      </c>
      <c r="G68" s="14" t="b">
        <v>1</v>
      </c>
      <c r="H68" s="14" t="b">
        <v>1</v>
      </c>
      <c r="I68" s="14" t="b">
        <v>1</v>
      </c>
      <c r="J68" s="14" t="b">
        <v>0</v>
      </c>
      <c r="K68" s="14" t="b">
        <v>0</v>
      </c>
      <c r="L68" s="14" t="b">
        <v>0</v>
      </c>
      <c r="M68" s="17">
        <f t="shared" si="1"/>
        <v>4</v>
      </c>
      <c r="N68" s="19">
        <f>IF(OR(B68="Hird du Jarl",C68="Recrue"),0,IF(C68="Aspirant-Garde",M68*'Vue globale'!$L$2/2,M68*'Vue globale'!$L$2))</f>
        <v>200</v>
      </c>
      <c r="O68" s="14" t="b">
        <v>0</v>
      </c>
    </row>
    <row r="69">
      <c r="A69" s="10">
        <v>36.0</v>
      </c>
      <c r="B69" s="11" t="s">
        <v>60</v>
      </c>
      <c r="C69" s="11" t="s">
        <v>34</v>
      </c>
      <c r="D69" s="11" t="s">
        <v>85</v>
      </c>
      <c r="E69" s="11" t="s">
        <v>86</v>
      </c>
      <c r="F69" s="14" t="b">
        <v>1</v>
      </c>
      <c r="G69" s="14" t="b">
        <v>1</v>
      </c>
      <c r="H69" s="14" t="b">
        <v>1</v>
      </c>
      <c r="I69" s="14" t="b">
        <v>1</v>
      </c>
      <c r="J69" s="14" t="b">
        <v>0</v>
      </c>
      <c r="K69" s="14" t="b">
        <v>0</v>
      </c>
      <c r="L69" s="14" t="b">
        <v>0</v>
      </c>
      <c r="M69" s="17">
        <f t="shared" si="1"/>
        <v>4</v>
      </c>
      <c r="N69" s="19">
        <f>IF(OR(B69="Hird du Jarl",C69="Recrue"),0,IF(C69="Aspirant-Garde",M69*'Vue globale'!$L$2/2,M69*'Vue globale'!$L$2))</f>
        <v>200</v>
      </c>
      <c r="O69" s="14" t="b">
        <v>0</v>
      </c>
    </row>
    <row r="70">
      <c r="A70" s="10">
        <v>36.0</v>
      </c>
      <c r="B70" s="11" t="s">
        <v>60</v>
      </c>
      <c r="C70" s="11" t="s">
        <v>138</v>
      </c>
      <c r="D70" s="11" t="s">
        <v>94</v>
      </c>
      <c r="E70" s="11" t="s">
        <v>95</v>
      </c>
      <c r="F70" s="14" t="b">
        <v>0</v>
      </c>
      <c r="G70" s="14" t="b">
        <v>0</v>
      </c>
      <c r="H70" s="14" t="b">
        <v>0</v>
      </c>
      <c r="I70" s="14" t="b">
        <v>0</v>
      </c>
      <c r="J70" s="14" t="b">
        <v>0</v>
      </c>
      <c r="K70" s="14" t="b">
        <v>0</v>
      </c>
      <c r="L70" s="14" t="b">
        <v>0</v>
      </c>
      <c r="M70" s="17">
        <f t="shared" si="1"/>
        <v>0</v>
      </c>
      <c r="N70" s="19">
        <f>IF(OR(B70="Hird du Jarl",C70="Recrue"),0,IF(C70="Aspirant-Garde",M70*'Vue globale'!$L$2/2,M70*'Vue globale'!$L$2))</f>
        <v>0</v>
      </c>
      <c r="O70" s="14" t="b">
        <v>0</v>
      </c>
    </row>
    <row r="71">
      <c r="A71" s="10">
        <v>36.0</v>
      </c>
      <c r="B71" s="11" t="s">
        <v>60</v>
      </c>
      <c r="C71" s="11" t="s">
        <v>91</v>
      </c>
      <c r="D71" s="11" t="s">
        <v>100</v>
      </c>
      <c r="E71" s="11"/>
      <c r="F71" s="14" t="b">
        <v>1</v>
      </c>
      <c r="G71" s="14" t="b">
        <v>1</v>
      </c>
      <c r="H71" s="14" t="b">
        <v>1</v>
      </c>
      <c r="I71" s="14" t="b">
        <v>0</v>
      </c>
      <c r="J71" s="14" t="b">
        <v>0</v>
      </c>
      <c r="K71" s="14" t="b">
        <v>0</v>
      </c>
      <c r="L71" s="14" t="b">
        <v>0</v>
      </c>
      <c r="M71" s="17">
        <f t="shared" si="1"/>
        <v>3</v>
      </c>
      <c r="N71" s="19">
        <f>IF(OR(B71="Hird du Jarl",C71="Recrue"),0,IF(C71="Aspirant-Garde",M71*'Vue globale'!$L$2/2,M71*'Vue globale'!$L$2))</f>
        <v>150</v>
      </c>
      <c r="O71" s="14" t="b">
        <v>0</v>
      </c>
    </row>
    <row r="72">
      <c r="A72" s="10">
        <v>36.0</v>
      </c>
      <c r="B72" s="11" t="s">
        <v>60</v>
      </c>
      <c r="C72" s="11" t="s">
        <v>104</v>
      </c>
      <c r="D72" s="11" t="s">
        <v>103</v>
      </c>
      <c r="E72" s="11"/>
      <c r="F72" s="14" t="b">
        <v>1</v>
      </c>
      <c r="G72" s="14" t="b">
        <v>0</v>
      </c>
      <c r="H72" s="14" t="b">
        <v>1</v>
      </c>
      <c r="I72" s="14" t="b">
        <v>0</v>
      </c>
      <c r="J72" s="14" t="b">
        <v>0</v>
      </c>
      <c r="K72" s="14" t="b">
        <v>0</v>
      </c>
      <c r="L72" s="14" t="b">
        <v>0</v>
      </c>
      <c r="M72" s="17">
        <f t="shared" si="1"/>
        <v>2</v>
      </c>
      <c r="N72" s="19">
        <f>IF(OR(B72="Hird du Jarl",C72="Recrue"),0,IF(C72="Aspirant-Garde",M72*'Vue globale'!$L$2/2,M72*'Vue globale'!$L$2))</f>
        <v>100</v>
      </c>
      <c r="O72" s="14" t="b">
        <v>0</v>
      </c>
    </row>
    <row r="73">
      <c r="A73" s="28">
        <v>36.0</v>
      </c>
      <c r="B73" s="29" t="s">
        <v>60</v>
      </c>
      <c r="C73" s="29" t="s">
        <v>48</v>
      </c>
      <c r="D73" s="29" t="s">
        <v>101</v>
      </c>
      <c r="E73" s="29" t="s">
        <v>102</v>
      </c>
      <c r="F73" s="30" t="b">
        <v>0</v>
      </c>
      <c r="G73" s="30" t="b">
        <v>1</v>
      </c>
      <c r="H73" s="30" t="b">
        <v>0</v>
      </c>
      <c r="I73" s="30" t="b">
        <v>1</v>
      </c>
      <c r="J73" s="30" t="b">
        <v>0</v>
      </c>
      <c r="K73" s="30" t="b">
        <v>0</v>
      </c>
      <c r="L73" s="30" t="b">
        <v>0</v>
      </c>
      <c r="M73" s="31">
        <f t="shared" si="1"/>
        <v>2</v>
      </c>
      <c r="N73" s="32">
        <f>IF(OR(B73="Hird du Jarl",C73="Recrue"),0,IF(C73="Aspirant-Garde",M73*'Vue globale'!$L$2/2,M73*'Vue globale'!$L$2))</f>
        <v>100</v>
      </c>
      <c r="O73" s="30" t="b">
        <v>0</v>
      </c>
    </row>
    <row r="74">
      <c r="A74" s="28">
        <v>36.0</v>
      </c>
      <c r="B74" s="29" t="s">
        <v>60</v>
      </c>
      <c r="C74" s="29" t="s">
        <v>108</v>
      </c>
      <c r="D74" s="29" t="s">
        <v>109</v>
      </c>
      <c r="E74" s="29"/>
      <c r="F74" s="30" t="b">
        <v>1</v>
      </c>
      <c r="G74" s="30" t="b">
        <v>1</v>
      </c>
      <c r="H74" s="30" t="b">
        <v>1</v>
      </c>
      <c r="I74" s="30" t="b">
        <v>1</v>
      </c>
      <c r="J74" s="30" t="b">
        <v>0</v>
      </c>
      <c r="K74" s="30" t="b">
        <v>0</v>
      </c>
      <c r="L74" s="30" t="b">
        <v>0</v>
      </c>
      <c r="M74" s="31">
        <f t="shared" si="1"/>
        <v>4</v>
      </c>
      <c r="N74" s="32">
        <f>IF(OR(B74="Hird du Jarl",C74="Recrue"),0,IF(C74="Aspirant-Garde",M74*'Vue globale'!$L$2/2,M74*'Vue globale'!$L$2))</f>
        <v>200</v>
      </c>
      <c r="O74" s="30" t="b">
        <v>0</v>
      </c>
    </row>
    <row r="75">
      <c r="A75" s="28">
        <v>36.0</v>
      </c>
      <c r="B75" s="29" t="s">
        <v>60</v>
      </c>
      <c r="C75" s="29" t="s">
        <v>34</v>
      </c>
      <c r="D75" s="29" t="s">
        <v>118</v>
      </c>
      <c r="E75" s="29" t="s">
        <v>119</v>
      </c>
      <c r="F75" s="30" t="b">
        <v>0</v>
      </c>
      <c r="G75" s="30" t="b">
        <v>1</v>
      </c>
      <c r="H75" s="30" t="b">
        <v>1</v>
      </c>
      <c r="I75" s="30" t="b">
        <v>0</v>
      </c>
      <c r="J75" s="30" t="b">
        <v>0</v>
      </c>
      <c r="K75" s="30" t="b">
        <v>0</v>
      </c>
      <c r="L75" s="30" t="b">
        <v>0</v>
      </c>
      <c r="M75" s="31">
        <f t="shared" si="1"/>
        <v>2</v>
      </c>
      <c r="N75" s="32">
        <f>IF(OR(B75="Hird du Jarl",C75="Recrue"),0,IF(C75="Aspirant-Garde",M75*'Vue globale'!$L$2/2,M75*'Vue globale'!$L$2))</f>
        <v>100</v>
      </c>
      <c r="O75" s="30" t="b">
        <v>0</v>
      </c>
    </row>
    <row r="76">
      <c r="A76" s="28">
        <v>36.0</v>
      </c>
      <c r="B76" s="29" t="s">
        <v>60</v>
      </c>
      <c r="C76" s="29" t="s">
        <v>91</v>
      </c>
      <c r="D76" s="29" t="s">
        <v>92</v>
      </c>
      <c r="E76" s="29"/>
      <c r="F76" s="30" t="b">
        <v>1</v>
      </c>
      <c r="G76" s="30" t="b">
        <v>1</v>
      </c>
      <c r="H76" s="30" t="b">
        <v>1</v>
      </c>
      <c r="I76" s="30" t="b">
        <v>1</v>
      </c>
      <c r="J76" s="30" t="b">
        <v>1</v>
      </c>
      <c r="K76" s="30" t="b">
        <v>0</v>
      </c>
      <c r="L76" s="30" t="b">
        <v>0</v>
      </c>
      <c r="M76" s="31">
        <f t="shared" si="1"/>
        <v>5</v>
      </c>
      <c r="N76" s="32">
        <f>IF(OR(B76="Hird du Jarl",C76="Recrue"),0,IF(C76="Aspirant-Garde",M76*'Vue globale'!$L$2/2,M76*'Vue globale'!$L$2))</f>
        <v>250</v>
      </c>
      <c r="O76" s="30" t="b">
        <v>0</v>
      </c>
    </row>
    <row r="77">
      <c r="A77" s="28">
        <v>36.0</v>
      </c>
      <c r="B77" s="29" t="s">
        <v>60</v>
      </c>
      <c r="C77" s="29" t="s">
        <v>104</v>
      </c>
      <c r="D77" s="29" t="s">
        <v>105</v>
      </c>
      <c r="E77" s="29" t="s">
        <v>106</v>
      </c>
      <c r="F77" s="30" t="b">
        <v>1</v>
      </c>
      <c r="G77" s="30" t="b">
        <v>1</v>
      </c>
      <c r="H77" s="30" t="b">
        <v>1</v>
      </c>
      <c r="I77" s="30" t="b">
        <v>1</v>
      </c>
      <c r="J77" s="30" t="b">
        <v>1</v>
      </c>
      <c r="K77" s="30" t="b">
        <v>0</v>
      </c>
      <c r="L77" s="30" t="b">
        <v>0</v>
      </c>
      <c r="M77" s="31">
        <f t="shared" si="1"/>
        <v>5</v>
      </c>
      <c r="N77" s="32">
        <f>IF(OR(B77="Hird du Jarl",C77="Recrue"),0,IF(C77="Aspirant-Garde",M77*'Vue globale'!$L$2/2,M77*'Vue globale'!$L$2))</f>
        <v>250</v>
      </c>
      <c r="O77" s="30" t="b">
        <v>0</v>
      </c>
    </row>
    <row r="78">
      <c r="A78" s="10">
        <v>36.0</v>
      </c>
      <c r="B78" s="11" t="s">
        <v>60</v>
      </c>
      <c r="C78" s="11" t="s">
        <v>91</v>
      </c>
      <c r="D78" s="11" t="s">
        <v>98</v>
      </c>
      <c r="E78" s="11" t="s">
        <v>99</v>
      </c>
      <c r="F78" s="14" t="b">
        <v>0</v>
      </c>
      <c r="G78" s="14" t="b">
        <v>0</v>
      </c>
      <c r="H78" s="14" t="b">
        <v>0</v>
      </c>
      <c r="I78" s="14" t="b">
        <v>0</v>
      </c>
      <c r="J78" s="14" t="b">
        <v>0</v>
      </c>
      <c r="K78" s="14" t="b">
        <v>0</v>
      </c>
      <c r="L78" s="14" t="b">
        <v>0</v>
      </c>
      <c r="M78" s="17">
        <f t="shared" si="1"/>
        <v>0</v>
      </c>
      <c r="N78" s="19">
        <f>IF(OR(B78="Hird du Jarl",C78="Recrue"),0,IF(C78="Aspirant-Garde",M78*'Vue globale'!$L$2/2,M78*'Vue globale'!$L$2))</f>
        <v>0</v>
      </c>
      <c r="O78" s="14" t="b">
        <v>0</v>
      </c>
    </row>
    <row r="79">
      <c r="A79" s="28">
        <v>36.0</v>
      </c>
      <c r="B79" s="29" t="s">
        <v>60</v>
      </c>
      <c r="C79" s="29" t="s">
        <v>48</v>
      </c>
      <c r="D79" s="29" t="s">
        <v>89</v>
      </c>
      <c r="E79" s="29"/>
      <c r="F79" s="30" t="b">
        <v>0</v>
      </c>
      <c r="G79" s="30" t="b">
        <v>0</v>
      </c>
      <c r="H79" s="30" t="b">
        <v>0</v>
      </c>
      <c r="I79" s="30" t="b">
        <v>1</v>
      </c>
      <c r="J79" s="30" t="b">
        <v>0</v>
      </c>
      <c r="K79" s="30" t="b">
        <v>0</v>
      </c>
      <c r="L79" s="30" t="b">
        <v>0</v>
      </c>
      <c r="M79" s="31">
        <f t="shared" si="1"/>
        <v>1</v>
      </c>
      <c r="N79" s="32">
        <f>IF(OR(B79="Hird du Jarl",C79="Recrue"),0,IF(C79="Aspirant-Garde",M79*'Vue globale'!$L$2/2,M79*'Vue globale'!$L$2))</f>
        <v>50</v>
      </c>
      <c r="O79" s="30" t="b">
        <v>0</v>
      </c>
    </row>
    <row r="80">
      <c r="A80" s="39">
        <v>36.0</v>
      </c>
      <c r="B80" s="40" t="s">
        <v>60</v>
      </c>
      <c r="C80" s="40" t="s">
        <v>34</v>
      </c>
      <c r="D80" s="40" t="s">
        <v>129</v>
      </c>
      <c r="E80" s="40" t="s">
        <v>130</v>
      </c>
      <c r="F80" s="41" t="b">
        <v>1</v>
      </c>
      <c r="G80" s="41" t="b">
        <v>1</v>
      </c>
      <c r="H80" s="41" t="b">
        <v>1</v>
      </c>
      <c r="I80" s="41" t="b">
        <v>1</v>
      </c>
      <c r="J80" s="41" t="b">
        <v>0</v>
      </c>
      <c r="K80" s="41" t="b">
        <v>0</v>
      </c>
      <c r="L80" s="41" t="b">
        <v>0</v>
      </c>
      <c r="M80" s="42">
        <f t="shared" si="1"/>
        <v>4</v>
      </c>
      <c r="N80" s="43">
        <f>IF(OR(B80="Hird du Jarl",C80="Recrue"),0,IF(C80="Aspirant-Garde",M80*'Vue globale'!$L$2/2,M80*'Vue globale'!$L$2))</f>
        <v>200</v>
      </c>
      <c r="O80" s="41" t="b">
        <v>0</v>
      </c>
    </row>
    <row r="81">
      <c r="A81" s="28">
        <v>36.0</v>
      </c>
      <c r="B81" s="29" t="s">
        <v>60</v>
      </c>
      <c r="C81" s="29" t="s">
        <v>70</v>
      </c>
      <c r="D81" s="29" t="s">
        <v>205</v>
      </c>
      <c r="E81" s="29" t="s">
        <v>206</v>
      </c>
      <c r="F81" s="30" t="b">
        <v>0</v>
      </c>
      <c r="G81" s="30" t="b">
        <v>1</v>
      </c>
      <c r="H81" s="30" t="b">
        <v>1</v>
      </c>
      <c r="I81" s="30" t="b">
        <v>0</v>
      </c>
      <c r="J81" s="30" t="b">
        <v>0</v>
      </c>
      <c r="K81" s="30" t="b">
        <v>0</v>
      </c>
      <c r="L81" s="30" t="b">
        <v>0</v>
      </c>
      <c r="M81" s="31">
        <f t="shared" si="1"/>
        <v>2</v>
      </c>
      <c r="N81" s="32">
        <f>IF(OR(B81="Hird du Jarl",C81="Recrue"),0,IF(C81="Aspirant-Garde",M81*'Vue globale'!$L$2/2,M81*'Vue globale'!$L$2))</f>
        <v>0</v>
      </c>
      <c r="O81" s="30" t="b">
        <v>0</v>
      </c>
    </row>
    <row r="82">
      <c r="A82" s="28">
        <v>36.0</v>
      </c>
      <c r="B82" s="29" t="s">
        <v>64</v>
      </c>
      <c r="C82" s="29" t="s">
        <v>70</v>
      </c>
      <c r="D82" s="29" t="s">
        <v>135</v>
      </c>
      <c r="E82" s="29"/>
      <c r="F82" s="30" t="b">
        <v>1</v>
      </c>
      <c r="G82" s="30" t="b">
        <v>1</v>
      </c>
      <c r="H82" s="30" t="b">
        <v>1</v>
      </c>
      <c r="I82" s="30" t="b">
        <v>1</v>
      </c>
      <c r="J82" s="30" t="b">
        <v>0</v>
      </c>
      <c r="K82" s="30" t="b">
        <v>0</v>
      </c>
      <c r="L82" s="30" t="b">
        <v>0</v>
      </c>
      <c r="M82" s="31">
        <f t="shared" si="1"/>
        <v>4</v>
      </c>
      <c r="N82" s="32">
        <f>IF(OR(B82="Hird du Jarl",C82="Recrue"),0,IF(C82="Aspirant-Garde",M82*'Vue globale'!$L$2/2,M82*'Vue globale'!$L$2))</f>
        <v>0</v>
      </c>
      <c r="O82" s="30" t="b">
        <v>0</v>
      </c>
    </row>
    <row r="83">
      <c r="A83" s="28">
        <v>36.0</v>
      </c>
      <c r="B83" s="29" t="s">
        <v>64</v>
      </c>
      <c r="C83" s="29" t="s">
        <v>44</v>
      </c>
      <c r="D83" s="29" t="s">
        <v>62</v>
      </c>
      <c r="E83" s="29" t="s">
        <v>63</v>
      </c>
      <c r="F83" s="30" t="b">
        <v>1</v>
      </c>
      <c r="G83" s="30" t="b">
        <v>1</v>
      </c>
      <c r="H83" s="30" t="b">
        <v>1</v>
      </c>
      <c r="I83" s="30" t="b">
        <v>1</v>
      </c>
      <c r="J83" s="30" t="b">
        <v>1</v>
      </c>
      <c r="K83" s="30" t="b">
        <v>0</v>
      </c>
      <c r="L83" s="30" t="b">
        <v>0</v>
      </c>
      <c r="M83" s="31">
        <f t="shared" si="1"/>
        <v>5</v>
      </c>
      <c r="N83" s="32">
        <f>IF(OR(B83="Hird du Jarl",C83="Recrue"),0,IF(C83="Aspirant-Garde",M83*'Vue globale'!$L$2/2,M83*'Vue globale'!$L$2))</f>
        <v>250</v>
      </c>
      <c r="O83" s="30" t="b">
        <v>0</v>
      </c>
    </row>
    <row r="84">
      <c r="A84" s="28">
        <v>36.0</v>
      </c>
      <c r="B84" s="29" t="s">
        <v>64</v>
      </c>
      <c r="C84" s="29" t="s">
        <v>34</v>
      </c>
      <c r="D84" s="29" t="s">
        <v>116</v>
      </c>
      <c r="E84" s="29" t="s">
        <v>117</v>
      </c>
      <c r="F84" s="30" t="b">
        <v>1</v>
      </c>
      <c r="G84" s="30" t="b">
        <v>1</v>
      </c>
      <c r="H84" s="30" t="b">
        <v>1</v>
      </c>
      <c r="I84" s="30" t="b">
        <v>1</v>
      </c>
      <c r="J84" s="30" t="b">
        <v>0</v>
      </c>
      <c r="K84" s="30" t="b">
        <v>0</v>
      </c>
      <c r="L84" s="30" t="b">
        <v>0</v>
      </c>
      <c r="M84" s="31">
        <f t="shared" si="1"/>
        <v>4</v>
      </c>
      <c r="N84" s="32">
        <f>IF(OR(B84="Hird du Jarl",C84="Recrue"),0,IF(C84="Aspirant-Garde",M84*'Vue globale'!$L$2/2,M84*'Vue globale'!$L$2))</f>
        <v>200</v>
      </c>
      <c r="O84" s="30" t="b">
        <v>0</v>
      </c>
    </row>
    <row r="85">
      <c r="A85" s="10">
        <v>36.0</v>
      </c>
      <c r="B85" s="11" t="s">
        <v>64</v>
      </c>
      <c r="C85" s="11" t="s">
        <v>70</v>
      </c>
      <c r="D85" s="11" t="s">
        <v>120</v>
      </c>
      <c r="E85" s="13"/>
      <c r="F85" s="14" t="b">
        <v>1</v>
      </c>
      <c r="G85" s="14" t="b">
        <v>1</v>
      </c>
      <c r="H85" s="14" t="b">
        <v>1</v>
      </c>
      <c r="I85" s="14" t="b">
        <v>1</v>
      </c>
      <c r="J85" s="14" t="b">
        <v>1</v>
      </c>
      <c r="K85" s="14" t="b">
        <v>0</v>
      </c>
      <c r="L85" s="14" t="b">
        <v>0</v>
      </c>
      <c r="M85" s="17">
        <f t="shared" si="1"/>
        <v>5</v>
      </c>
      <c r="N85" s="19">
        <f>IF(OR(B85="Hird du Jarl",C85="Recrue"),0,IF(C85="Aspirant-Garde",M85*'Vue globale'!$L$2/2,M85*'Vue globale'!$L$2))</f>
        <v>0</v>
      </c>
      <c r="O85" s="14" t="b">
        <v>0</v>
      </c>
    </row>
    <row r="86">
      <c r="A86" s="39">
        <v>36.0</v>
      </c>
      <c r="B86" s="40" t="s">
        <v>64</v>
      </c>
      <c r="C86" s="40" t="s">
        <v>104</v>
      </c>
      <c r="D86" s="40" t="s">
        <v>111</v>
      </c>
      <c r="E86" s="40" t="s">
        <v>112</v>
      </c>
      <c r="F86" s="41" t="b">
        <v>1</v>
      </c>
      <c r="G86" s="41" t="b">
        <v>1</v>
      </c>
      <c r="H86" s="41" t="b">
        <v>1</v>
      </c>
      <c r="I86" s="41" t="b">
        <v>1</v>
      </c>
      <c r="J86" s="41" t="b">
        <v>0</v>
      </c>
      <c r="K86" s="41" t="b">
        <v>0</v>
      </c>
      <c r="L86" s="41" t="b">
        <v>0</v>
      </c>
      <c r="M86" s="42">
        <f t="shared" si="1"/>
        <v>4</v>
      </c>
      <c r="N86" s="43">
        <f>IF(OR(B86="Hird du Jarl",C86="Recrue"),0,IF(C86="Aspirant-Garde",M86*'Vue globale'!$L$2/2,M86*'Vue globale'!$L$2))</f>
        <v>200</v>
      </c>
      <c r="O86" s="41" t="b">
        <v>0</v>
      </c>
    </row>
    <row r="87">
      <c r="A87" s="10">
        <v>36.0</v>
      </c>
      <c r="B87" s="11" t="s">
        <v>64</v>
      </c>
      <c r="C87" s="11" t="s">
        <v>70</v>
      </c>
      <c r="D87" s="11" t="s">
        <v>202</v>
      </c>
      <c r="E87" s="11" t="s">
        <v>203</v>
      </c>
      <c r="F87" s="14" t="b">
        <v>0</v>
      </c>
      <c r="G87" s="14" t="b">
        <v>1</v>
      </c>
      <c r="H87" s="14" t="b">
        <v>1</v>
      </c>
      <c r="I87" s="14" t="b">
        <v>1</v>
      </c>
      <c r="J87" s="14" t="b">
        <v>0</v>
      </c>
      <c r="K87" s="14" t="b">
        <v>0</v>
      </c>
      <c r="L87" s="14" t="b">
        <v>0</v>
      </c>
      <c r="M87" s="17">
        <f t="shared" si="1"/>
        <v>3</v>
      </c>
      <c r="N87" s="19">
        <f>IF(OR(B87="Hird du Jarl",C87="Recrue"),0,IF(C87="Aspirant-Garde",M87*'Vue globale'!$L$2/2,M87*'Vue globale'!$L$2))</f>
        <v>0</v>
      </c>
      <c r="O87" s="14" t="b">
        <v>0</v>
      </c>
    </row>
    <row r="88">
      <c r="A88" s="23">
        <v>36.0</v>
      </c>
      <c r="B88" s="24" t="s">
        <v>31</v>
      </c>
      <c r="C88" s="24" t="s">
        <v>41</v>
      </c>
      <c r="D88" s="24" t="s">
        <v>42</v>
      </c>
      <c r="E88" s="24"/>
      <c r="F88" s="25" t="b">
        <v>1</v>
      </c>
      <c r="G88" s="25" t="b">
        <v>1</v>
      </c>
      <c r="H88" s="25" t="b">
        <v>1</v>
      </c>
      <c r="I88" s="25" t="b">
        <v>1</v>
      </c>
      <c r="J88" s="25" t="b">
        <v>1</v>
      </c>
      <c r="K88" s="25" t="b">
        <v>0</v>
      </c>
      <c r="L88" s="25" t="b">
        <v>0</v>
      </c>
      <c r="M88" s="26">
        <f t="shared" si="1"/>
        <v>5</v>
      </c>
      <c r="N88" s="27">
        <f>IF(OR(B88="Hird du Jarl",C88="Recrue"),0,IF(C88="Aspirant-Garde",M88*'Vue globale'!$L$2/2,M88*'Vue globale'!$L$2))</f>
        <v>250</v>
      </c>
      <c r="O88" s="25" t="b">
        <v>0</v>
      </c>
    </row>
    <row r="89">
      <c r="A89" s="10">
        <v>36.0</v>
      </c>
      <c r="B89" s="11" t="s">
        <v>31</v>
      </c>
      <c r="C89" s="11" t="s">
        <v>17</v>
      </c>
      <c r="D89" s="11" t="s">
        <v>19</v>
      </c>
      <c r="E89" s="11" t="s">
        <v>21</v>
      </c>
      <c r="F89" s="14" t="b">
        <v>1</v>
      </c>
      <c r="G89" s="14" t="b">
        <v>0</v>
      </c>
      <c r="H89" s="14" t="b">
        <v>1</v>
      </c>
      <c r="I89" s="14" t="b">
        <v>0</v>
      </c>
      <c r="J89" s="14" t="b">
        <v>0</v>
      </c>
      <c r="K89" s="14" t="b">
        <v>0</v>
      </c>
      <c r="L89" s="14" t="b">
        <v>0</v>
      </c>
      <c r="M89" s="17">
        <f t="shared" si="1"/>
        <v>2</v>
      </c>
      <c r="N89" s="19">
        <f>IF(OR(B89="Hird du Jarl",C89="Recrue"),0,IF(C89="Aspirant-Garde",M89*'Vue globale'!$L$2/2,M89*'Vue globale'!$L$2))</f>
        <v>100</v>
      </c>
      <c r="O89" s="14" t="b">
        <v>0</v>
      </c>
    </row>
    <row r="90">
      <c r="A90" s="10">
        <v>36.0</v>
      </c>
      <c r="B90" s="11" t="s">
        <v>75</v>
      </c>
      <c r="C90" s="11" t="s">
        <v>104</v>
      </c>
      <c r="D90" s="11" t="s">
        <v>125</v>
      </c>
      <c r="E90" s="11"/>
      <c r="F90" s="14" t="b">
        <v>1</v>
      </c>
      <c r="G90" s="14" t="b">
        <v>1</v>
      </c>
      <c r="H90" s="14" t="b">
        <v>1</v>
      </c>
      <c r="I90" s="14" t="b">
        <v>0</v>
      </c>
      <c r="J90" s="14" t="b">
        <v>0</v>
      </c>
      <c r="K90" s="14" t="b">
        <v>0</v>
      </c>
      <c r="L90" s="14" t="b">
        <v>0</v>
      </c>
      <c r="M90" s="17">
        <f t="shared" si="1"/>
        <v>3</v>
      </c>
      <c r="N90" s="19">
        <f>IF(OR(B90="Hird du Jarl",C90="Recrue"),0,IF(C90="Aspirant-Garde",M90*'Vue globale'!$L$2/2,M90*'Vue globale'!$L$2))</f>
        <v>150</v>
      </c>
      <c r="O90" s="14" t="b">
        <v>0</v>
      </c>
    </row>
    <row r="91">
      <c r="A91" s="10">
        <v>36.0</v>
      </c>
      <c r="B91" s="11" t="s">
        <v>75</v>
      </c>
      <c r="C91" s="11" t="s">
        <v>34</v>
      </c>
      <c r="D91" s="11" t="s">
        <v>149</v>
      </c>
      <c r="E91" s="11"/>
      <c r="F91" s="14" t="b">
        <v>0</v>
      </c>
      <c r="G91" s="14" t="b">
        <v>0</v>
      </c>
      <c r="H91" s="14" t="b">
        <v>0</v>
      </c>
      <c r="I91" s="14" t="b">
        <v>0</v>
      </c>
      <c r="J91" s="14" t="b">
        <v>0</v>
      </c>
      <c r="K91" s="14" t="b">
        <v>0</v>
      </c>
      <c r="L91" s="14" t="b">
        <v>0</v>
      </c>
      <c r="M91" s="17">
        <f t="shared" si="1"/>
        <v>0</v>
      </c>
      <c r="N91" s="19">
        <f>IF(OR(B91="Hird du Jarl",C91="Recrue"),0,IF(C91="Aspirant-Garde",M91*'Vue globale'!$L$2/2,M91*'Vue globale'!$L$2))</f>
        <v>0</v>
      </c>
      <c r="O91" s="14" t="b">
        <v>0</v>
      </c>
    </row>
    <row r="92">
      <c r="A92" s="10">
        <v>36.0</v>
      </c>
      <c r="B92" s="11" t="s">
        <v>75</v>
      </c>
      <c r="C92" s="11" t="s">
        <v>34</v>
      </c>
      <c r="D92" s="11" t="s">
        <v>151</v>
      </c>
      <c r="E92" s="13"/>
      <c r="F92" s="14" t="b">
        <v>0</v>
      </c>
      <c r="G92" s="14" t="b">
        <v>0</v>
      </c>
      <c r="H92" s="14" t="b">
        <v>0</v>
      </c>
      <c r="I92" s="14" t="b">
        <v>0</v>
      </c>
      <c r="J92" s="14" t="b">
        <v>0</v>
      </c>
      <c r="K92" s="14" t="b">
        <v>0</v>
      </c>
      <c r="L92" s="14" t="b">
        <v>0</v>
      </c>
      <c r="M92" s="17">
        <f t="shared" si="1"/>
        <v>0</v>
      </c>
      <c r="N92" s="19">
        <f>IF(OR(B92="Hird du Jarl",C92="Recrue"),0,IF(C92="Aspirant-Garde",M92*'Vue globale'!$L$2/2,M92*'Vue globale'!$L$2))</f>
        <v>0</v>
      </c>
      <c r="O92" s="14" t="b">
        <v>0</v>
      </c>
    </row>
    <row r="93">
      <c r="A93" s="28">
        <v>36.0</v>
      </c>
      <c r="B93" s="29" t="s">
        <v>75</v>
      </c>
      <c r="C93" s="29" t="s">
        <v>91</v>
      </c>
      <c r="D93" s="29" t="s">
        <v>147</v>
      </c>
      <c r="E93" s="29" t="s">
        <v>148</v>
      </c>
      <c r="F93" s="30" t="b">
        <v>1</v>
      </c>
      <c r="G93" s="30" t="b">
        <v>1</v>
      </c>
      <c r="H93" s="30" t="b">
        <v>1</v>
      </c>
      <c r="I93" s="30" t="b">
        <v>0</v>
      </c>
      <c r="J93" s="30" t="b">
        <v>0</v>
      </c>
      <c r="K93" s="30" t="b">
        <v>0</v>
      </c>
      <c r="L93" s="30" t="b">
        <v>0</v>
      </c>
      <c r="M93" s="31">
        <f t="shared" si="1"/>
        <v>3</v>
      </c>
      <c r="N93" s="32">
        <f>IF(OR(B93="Hird du Jarl",C93="Recrue"),0,IF(C93="Aspirant-Garde",M93*'Vue globale'!$L$2/2,M93*'Vue globale'!$L$2))</f>
        <v>150</v>
      </c>
      <c r="O93" s="30" t="b">
        <v>0</v>
      </c>
    </row>
    <row r="94">
      <c r="A94" s="10">
        <v>36.0</v>
      </c>
      <c r="B94" s="11" t="s">
        <v>75</v>
      </c>
      <c r="C94" s="11" t="s">
        <v>48</v>
      </c>
      <c r="D94" s="11" t="s">
        <v>153</v>
      </c>
      <c r="E94" s="11" t="s">
        <v>146</v>
      </c>
      <c r="F94" s="14" t="b">
        <v>1</v>
      </c>
      <c r="G94" s="14" t="b">
        <v>1</v>
      </c>
      <c r="H94" s="14" t="b">
        <v>1</v>
      </c>
      <c r="I94" s="14" t="b">
        <v>1</v>
      </c>
      <c r="J94" s="14" t="b">
        <v>0</v>
      </c>
      <c r="K94" s="14" t="b">
        <v>0</v>
      </c>
      <c r="L94" s="14" t="b">
        <v>0</v>
      </c>
      <c r="M94" s="17">
        <f t="shared" si="1"/>
        <v>4</v>
      </c>
      <c r="N94" s="19">
        <f>IF(OR(B94="Hird du Jarl",C94="Recrue"),0,IF(C94="Aspirant-Garde",M94*'Vue globale'!$L$2/2,M94*'Vue globale'!$L$2))</f>
        <v>200</v>
      </c>
      <c r="O94" s="14" t="b">
        <v>0</v>
      </c>
    </row>
    <row r="95">
      <c r="A95" s="28">
        <v>36.0</v>
      </c>
      <c r="B95" s="29" t="s">
        <v>75</v>
      </c>
      <c r="C95" s="29" t="s">
        <v>138</v>
      </c>
      <c r="D95" s="29" t="s">
        <v>155</v>
      </c>
      <c r="E95" s="29"/>
      <c r="F95" s="30" t="b">
        <v>1</v>
      </c>
      <c r="G95" s="30" t="b">
        <v>1</v>
      </c>
      <c r="H95" s="30" t="b">
        <v>1</v>
      </c>
      <c r="I95" s="30" t="b">
        <v>0</v>
      </c>
      <c r="J95" s="30" t="b">
        <v>0</v>
      </c>
      <c r="K95" s="30" t="b">
        <v>0</v>
      </c>
      <c r="L95" s="30" t="b">
        <v>0</v>
      </c>
      <c r="M95" s="31">
        <f t="shared" si="1"/>
        <v>3</v>
      </c>
      <c r="N95" s="32">
        <f>IF(OR(B95="Hird du Jarl",C95="Recrue"),0,IF(C95="Aspirant-Garde",M95*'Vue globale'!$L$2/2,M95*'Vue globale'!$L$2))</f>
        <v>150</v>
      </c>
      <c r="O95" s="30" t="b">
        <v>0</v>
      </c>
    </row>
    <row r="96">
      <c r="A96" s="28">
        <v>36.0</v>
      </c>
      <c r="B96" s="29" t="s">
        <v>75</v>
      </c>
      <c r="C96" s="29" t="s">
        <v>87</v>
      </c>
      <c r="D96" s="29" t="s">
        <v>154</v>
      </c>
      <c r="E96" s="29"/>
      <c r="F96" s="30" t="b">
        <v>0</v>
      </c>
      <c r="G96" s="30" t="b">
        <v>1</v>
      </c>
      <c r="H96" s="30" t="b">
        <v>1</v>
      </c>
      <c r="I96" s="30" t="b">
        <v>1</v>
      </c>
      <c r="J96" s="30" t="b">
        <v>0</v>
      </c>
      <c r="K96" s="30" t="b">
        <v>0</v>
      </c>
      <c r="L96" s="30" t="b">
        <v>0</v>
      </c>
      <c r="M96" s="31">
        <f t="shared" si="1"/>
        <v>3</v>
      </c>
      <c r="N96" s="32">
        <f>IF(OR(B96="Hird du Jarl",C96="Recrue"),0,IF(C96="Aspirant-Garde",M96*'Vue globale'!$L$2/2,M96*'Vue globale'!$L$2))</f>
        <v>150</v>
      </c>
      <c r="O96" s="30" t="b">
        <v>0</v>
      </c>
    </row>
    <row r="97">
      <c r="A97" s="10">
        <v>36.0</v>
      </c>
      <c r="B97" s="11" t="s">
        <v>75</v>
      </c>
      <c r="C97" s="11" t="s">
        <v>44</v>
      </c>
      <c r="D97" s="11" t="s">
        <v>73</v>
      </c>
      <c r="E97" s="11" t="s">
        <v>74</v>
      </c>
      <c r="F97" s="14" t="b">
        <v>1</v>
      </c>
      <c r="G97" s="14" t="b">
        <v>1</v>
      </c>
      <c r="H97" s="14" t="b">
        <v>1</v>
      </c>
      <c r="I97" s="14" t="b">
        <v>1</v>
      </c>
      <c r="J97" s="14" t="b">
        <v>0</v>
      </c>
      <c r="K97" s="14" t="b">
        <v>0</v>
      </c>
      <c r="L97" s="14" t="b">
        <v>0</v>
      </c>
      <c r="M97" s="17">
        <f t="shared" si="1"/>
        <v>4</v>
      </c>
      <c r="N97" s="19">
        <f>IF(OR(B97="Hird du Jarl",C97="Recrue"),0,IF(C97="Aspirant-Garde",M97*'Vue globale'!$L$2/2,M97*'Vue globale'!$L$2))</f>
        <v>200</v>
      </c>
      <c r="O97" s="14" t="b">
        <v>0</v>
      </c>
    </row>
    <row r="98">
      <c r="A98" s="10">
        <v>36.0</v>
      </c>
      <c r="B98" s="11" t="s">
        <v>75</v>
      </c>
      <c r="C98" s="11" t="s">
        <v>34</v>
      </c>
      <c r="D98" s="11" t="s">
        <v>123</v>
      </c>
      <c r="E98" s="11" t="s">
        <v>124</v>
      </c>
      <c r="F98" s="14" t="b">
        <v>0</v>
      </c>
      <c r="G98" s="14" t="b">
        <v>1</v>
      </c>
      <c r="H98" s="14" t="b">
        <v>0</v>
      </c>
      <c r="I98" s="14" t="b">
        <v>0</v>
      </c>
      <c r="J98" s="14" t="b">
        <v>0</v>
      </c>
      <c r="K98" s="14" t="b">
        <v>0</v>
      </c>
      <c r="L98" s="14" t="b">
        <v>0</v>
      </c>
      <c r="M98" s="17">
        <f t="shared" si="1"/>
        <v>1</v>
      </c>
      <c r="N98" s="19">
        <f>IF(OR(B98="Hird du Jarl",C98="Recrue"),0,IF(C98="Aspirant-Garde",M98*'Vue globale'!$L$2/2,M98*'Vue globale'!$L$2))</f>
        <v>50</v>
      </c>
      <c r="O98" s="14" t="b">
        <v>0</v>
      </c>
    </row>
    <row r="99">
      <c r="A99" s="28">
        <v>36.0</v>
      </c>
      <c r="B99" s="29" t="s">
        <v>75</v>
      </c>
      <c r="C99" s="29" t="s">
        <v>34</v>
      </c>
      <c r="D99" s="29" t="s">
        <v>152</v>
      </c>
      <c r="E99" s="29"/>
      <c r="F99" s="30" t="b">
        <v>0</v>
      </c>
      <c r="G99" s="30" t="b">
        <v>0</v>
      </c>
      <c r="H99" s="30" t="b">
        <v>0</v>
      </c>
      <c r="I99" s="30" t="b">
        <v>0</v>
      </c>
      <c r="J99" s="30" t="b">
        <v>0</v>
      </c>
      <c r="K99" s="30" t="b">
        <v>0</v>
      </c>
      <c r="L99" s="30" t="b">
        <v>0</v>
      </c>
      <c r="M99" s="31">
        <f t="shared" si="1"/>
        <v>0</v>
      </c>
      <c r="N99" s="32">
        <f>IF(OR(B99="Hird du Jarl",C99="Recrue"),0,IF(C99="Aspirant-Garde",M99*'Vue globale'!$L$2/2,M99*'Vue globale'!$L$2))</f>
        <v>0</v>
      </c>
      <c r="O99" s="30" t="b">
        <v>0</v>
      </c>
    </row>
    <row r="100">
      <c r="A100" s="39">
        <v>36.0</v>
      </c>
      <c r="B100" s="40" t="s">
        <v>75</v>
      </c>
      <c r="C100" s="40" t="s">
        <v>34</v>
      </c>
      <c r="D100" s="40" t="s">
        <v>150</v>
      </c>
      <c r="E100" s="60"/>
      <c r="F100" s="41" t="b">
        <v>1</v>
      </c>
      <c r="G100" s="41" t="b">
        <v>1</v>
      </c>
      <c r="H100" s="41" t="b">
        <v>0</v>
      </c>
      <c r="I100" s="41" t="b">
        <v>1</v>
      </c>
      <c r="J100" s="41" t="b">
        <v>0</v>
      </c>
      <c r="K100" s="41" t="b">
        <v>0</v>
      </c>
      <c r="L100" s="41" t="b">
        <v>0</v>
      </c>
      <c r="M100" s="42">
        <f t="shared" si="1"/>
        <v>3</v>
      </c>
      <c r="N100" s="43">
        <f>IF(OR(B100="Hird du Jarl",C100="Recrue"),0,IF(C100="Aspirant-Garde",M100*'Vue globale'!$L$2/2,M100*'Vue globale'!$L$2))</f>
        <v>150</v>
      </c>
      <c r="O100" s="41" t="b">
        <v>0</v>
      </c>
    </row>
    <row r="101">
      <c r="A101" s="10">
        <v>36.0</v>
      </c>
      <c r="B101" s="11" t="s">
        <v>75</v>
      </c>
      <c r="C101" s="11" t="s">
        <v>34</v>
      </c>
      <c r="D101" s="11" t="s">
        <v>156</v>
      </c>
      <c r="E101" s="11" t="s">
        <v>157</v>
      </c>
      <c r="F101" s="14" t="b">
        <v>0</v>
      </c>
      <c r="G101" s="14" t="b">
        <v>0</v>
      </c>
      <c r="H101" s="14" t="b">
        <v>1</v>
      </c>
      <c r="I101" s="14" t="b">
        <v>0</v>
      </c>
      <c r="J101" s="14" t="b">
        <v>0</v>
      </c>
      <c r="K101" s="14" t="b">
        <v>0</v>
      </c>
      <c r="L101" s="14" t="b">
        <v>0</v>
      </c>
      <c r="M101" s="17">
        <f t="shared" si="1"/>
        <v>1</v>
      </c>
      <c r="N101" s="19">
        <f>IF(OR(B101="Hird du Jarl",C101="Recrue"),0,IF(C101="Aspirant-Garde",M101*'Vue globale'!$L$2/2,M101*'Vue globale'!$L$2))</f>
        <v>50</v>
      </c>
      <c r="O101" s="14" t="b">
        <v>0</v>
      </c>
    </row>
    <row r="102">
      <c r="A102" s="10">
        <v>36.0</v>
      </c>
      <c r="B102" s="11" t="s">
        <v>84</v>
      </c>
      <c r="C102" s="11" t="s">
        <v>91</v>
      </c>
      <c r="D102" s="11" t="s">
        <v>215</v>
      </c>
      <c r="E102" s="11" t="s">
        <v>83</v>
      </c>
      <c r="F102" s="14" t="b">
        <v>1</v>
      </c>
      <c r="G102" s="14" t="b">
        <v>1</v>
      </c>
      <c r="H102" s="14" t="b">
        <v>1</v>
      </c>
      <c r="I102" s="14" t="b">
        <v>1</v>
      </c>
      <c r="J102" s="14" t="b">
        <v>1</v>
      </c>
      <c r="K102" s="14" t="b">
        <v>0</v>
      </c>
      <c r="L102" s="14" t="b">
        <v>0</v>
      </c>
      <c r="M102" s="17">
        <f t="shared" si="1"/>
        <v>5</v>
      </c>
      <c r="N102" s="19">
        <f>IF(OR(B102="Hird du Jarl",C102="Recrue"),0,IF(C102="Aspirant-Garde",M102*'Vue globale'!$L$2/2,M102*'Vue globale'!$L$2))</f>
        <v>250</v>
      </c>
      <c r="O102" s="14" t="b">
        <v>0</v>
      </c>
    </row>
    <row r="103">
      <c r="A103" s="10">
        <v>36.0</v>
      </c>
      <c r="B103" s="11" t="s">
        <v>84</v>
      </c>
      <c r="C103" s="11" t="s">
        <v>91</v>
      </c>
      <c r="D103" s="11" t="s">
        <v>88</v>
      </c>
      <c r="E103" s="11"/>
      <c r="F103" s="14" t="b">
        <v>0</v>
      </c>
      <c r="G103" s="14" t="b">
        <v>1</v>
      </c>
      <c r="H103" s="14" t="b">
        <v>1</v>
      </c>
      <c r="I103" s="14" t="b">
        <v>1</v>
      </c>
      <c r="J103" s="14" t="b">
        <v>0</v>
      </c>
      <c r="K103" s="14" t="b">
        <v>0</v>
      </c>
      <c r="L103" s="14" t="b">
        <v>0</v>
      </c>
      <c r="M103" s="17">
        <f t="shared" si="1"/>
        <v>3</v>
      </c>
      <c r="N103" s="19">
        <f>IF(OR(B103="Hird du Jarl",C103="Recrue"),0,IF(C103="Aspirant-Garde",M103*'Vue globale'!$L$2/2,M103*'Vue globale'!$L$2))</f>
        <v>150</v>
      </c>
      <c r="O103" s="14" t="b">
        <v>0</v>
      </c>
    </row>
    <row r="104">
      <c r="A104" s="10">
        <v>36.0</v>
      </c>
      <c r="B104" s="11" t="s">
        <v>84</v>
      </c>
      <c r="C104" s="11" t="s">
        <v>48</v>
      </c>
      <c r="D104" s="11" t="s">
        <v>212</v>
      </c>
      <c r="E104" s="11" t="s">
        <v>83</v>
      </c>
      <c r="F104" s="14" t="b">
        <v>1</v>
      </c>
      <c r="G104" s="14" t="b">
        <v>1</v>
      </c>
      <c r="H104" s="14" t="b">
        <v>1</v>
      </c>
      <c r="I104" s="14" t="b">
        <v>1</v>
      </c>
      <c r="J104" s="14" t="b">
        <v>1</v>
      </c>
      <c r="K104" s="14" t="b">
        <v>0</v>
      </c>
      <c r="L104" s="14" t="b">
        <v>0</v>
      </c>
      <c r="M104" s="17">
        <f t="shared" si="1"/>
        <v>5</v>
      </c>
      <c r="N104" s="19">
        <f>IF(OR(B104="Hird du Jarl",C104="Recrue"),0,IF(C104="Aspirant-Garde",M104*'Vue globale'!$L$2/2,M104*'Vue globale'!$L$2))</f>
        <v>250</v>
      </c>
      <c r="O104" s="14" t="b">
        <v>0</v>
      </c>
    </row>
    <row r="105">
      <c r="A105" s="10">
        <v>36.0</v>
      </c>
      <c r="B105" s="11" t="s">
        <v>84</v>
      </c>
      <c r="C105" s="11" t="s">
        <v>51</v>
      </c>
      <c r="D105" s="11" t="s">
        <v>216</v>
      </c>
      <c r="E105" s="11" t="s">
        <v>178</v>
      </c>
      <c r="F105" s="14" t="b">
        <v>0</v>
      </c>
      <c r="G105" s="14" t="b">
        <v>0</v>
      </c>
      <c r="H105" s="14" t="b">
        <v>0</v>
      </c>
      <c r="I105" s="14" t="b">
        <v>0</v>
      </c>
      <c r="J105" s="14" t="b">
        <v>0</v>
      </c>
      <c r="K105" s="14" t="b">
        <v>0</v>
      </c>
      <c r="L105" s="14" t="b">
        <v>0</v>
      </c>
      <c r="M105" s="17">
        <f t="shared" si="1"/>
        <v>0</v>
      </c>
      <c r="N105" s="19">
        <f>IF(OR(B105="Hird du Jarl",C105="Recrue"),0,IF(C105="Aspirant-Garde",M105*'Vue globale'!$L$2/2,M105*'Vue globale'!$L$2))</f>
        <v>0</v>
      </c>
      <c r="O105" s="14" t="b">
        <v>0</v>
      </c>
    </row>
    <row r="106">
      <c r="A106" s="10">
        <v>36.0</v>
      </c>
      <c r="B106" s="11" t="s">
        <v>84</v>
      </c>
      <c r="C106" s="11" t="s">
        <v>34</v>
      </c>
      <c r="D106" s="11" t="s">
        <v>213</v>
      </c>
      <c r="E106" s="11" t="s">
        <v>214</v>
      </c>
      <c r="F106" s="14" t="b">
        <v>0</v>
      </c>
      <c r="G106" s="14" t="b">
        <v>1</v>
      </c>
      <c r="H106" s="14" t="b">
        <v>1</v>
      </c>
      <c r="I106" s="14" t="b">
        <v>1</v>
      </c>
      <c r="J106" s="14" t="b">
        <v>1</v>
      </c>
      <c r="K106" s="14" t="b">
        <v>0</v>
      </c>
      <c r="L106" s="14" t="b">
        <v>0</v>
      </c>
      <c r="M106" s="17">
        <f t="shared" si="1"/>
        <v>4</v>
      </c>
      <c r="N106" s="19">
        <f>IF(OR(B106="Hird du Jarl",C106="Recrue"),0,IF(C106="Aspirant-Garde",M106*'Vue globale'!$L$2/2,M106*'Vue globale'!$L$2))</f>
        <v>200</v>
      </c>
      <c r="O106" s="14" t="b">
        <v>0</v>
      </c>
    </row>
    <row r="107">
      <c r="A107" s="10">
        <v>36.0</v>
      </c>
      <c r="B107" s="11" t="s">
        <v>84</v>
      </c>
      <c r="C107" s="11" t="s">
        <v>44</v>
      </c>
      <c r="D107" s="11" t="s">
        <v>82</v>
      </c>
      <c r="E107" s="11" t="s">
        <v>83</v>
      </c>
      <c r="F107" s="14" t="b">
        <v>1</v>
      </c>
      <c r="G107" s="14" t="b">
        <v>1</v>
      </c>
      <c r="H107" s="14" t="b">
        <v>1</v>
      </c>
      <c r="I107" s="14" t="b">
        <v>1</v>
      </c>
      <c r="J107" s="14" t="b">
        <v>0</v>
      </c>
      <c r="K107" s="14" t="b">
        <v>0</v>
      </c>
      <c r="L107" s="14" t="b">
        <v>0</v>
      </c>
      <c r="M107" s="17">
        <f t="shared" si="1"/>
        <v>4</v>
      </c>
      <c r="N107" s="19">
        <f>IF(OR(B107="Hird du Jarl",C107="Recrue"),0,IF(C107="Aspirant-Garde",M107*'Vue globale'!$L$2/2,M107*'Vue globale'!$L$2))</f>
        <v>200</v>
      </c>
      <c r="O107" s="14" t="b">
        <v>0</v>
      </c>
    </row>
    <row r="108">
      <c r="A108" s="10"/>
      <c r="B108" s="11"/>
      <c r="C108" s="11"/>
      <c r="D108" s="11"/>
      <c r="E108" s="11"/>
      <c r="F108" s="14"/>
      <c r="G108" s="14"/>
      <c r="H108" s="14"/>
      <c r="I108" s="14"/>
      <c r="J108" s="14"/>
      <c r="K108" s="14"/>
      <c r="L108" s="14"/>
      <c r="M108" s="17"/>
      <c r="N108" s="19"/>
      <c r="O108" s="14"/>
    </row>
    <row r="109">
      <c r="A109" s="10"/>
      <c r="B109" s="11"/>
      <c r="C109" s="11"/>
      <c r="D109" s="11"/>
      <c r="E109" s="13"/>
      <c r="F109" s="14"/>
      <c r="G109" s="14"/>
      <c r="H109" s="14"/>
      <c r="I109" s="14"/>
      <c r="J109" s="14"/>
      <c r="K109" s="14"/>
      <c r="L109" s="14"/>
      <c r="M109" s="17"/>
      <c r="N109" s="19"/>
      <c r="O109" s="14"/>
    </row>
    <row r="110">
      <c r="A110" s="10"/>
      <c r="B110" s="11"/>
      <c r="C110" s="11"/>
      <c r="D110" s="11"/>
      <c r="E110" s="11"/>
      <c r="F110" s="14"/>
      <c r="G110" s="14"/>
      <c r="H110" s="14"/>
      <c r="I110" s="14"/>
      <c r="J110" s="14"/>
      <c r="K110" s="14"/>
      <c r="L110" s="14"/>
      <c r="M110" s="17"/>
      <c r="N110" s="19"/>
      <c r="O110" s="14"/>
    </row>
    <row r="111">
      <c r="A111" s="23"/>
      <c r="B111" s="24"/>
      <c r="C111" s="24"/>
      <c r="D111" s="24"/>
      <c r="E111" s="24"/>
      <c r="F111" s="25"/>
      <c r="G111" s="25"/>
      <c r="H111" s="25"/>
      <c r="I111" s="25"/>
      <c r="J111" s="25"/>
      <c r="K111" s="25"/>
      <c r="L111" s="25"/>
      <c r="M111" s="26"/>
      <c r="N111" s="27"/>
      <c r="O111" s="25"/>
    </row>
    <row r="112">
      <c r="A112" s="10"/>
      <c r="B112" s="11"/>
      <c r="C112" s="11"/>
      <c r="D112" s="11"/>
      <c r="E112" s="11"/>
      <c r="F112" s="14"/>
      <c r="G112" s="14"/>
      <c r="H112" s="14"/>
      <c r="I112" s="14"/>
      <c r="J112" s="14"/>
      <c r="K112" s="14"/>
      <c r="L112" s="14"/>
      <c r="M112" s="17"/>
      <c r="N112" s="19"/>
      <c r="O112" s="14"/>
    </row>
    <row r="113">
      <c r="A113" s="10"/>
      <c r="B113" s="11"/>
      <c r="C113" s="11"/>
      <c r="D113" s="11"/>
      <c r="E113" s="11"/>
      <c r="F113" s="14"/>
      <c r="G113" s="14"/>
      <c r="H113" s="14"/>
      <c r="I113" s="14"/>
      <c r="J113" s="14"/>
      <c r="K113" s="14"/>
      <c r="L113" s="14"/>
      <c r="M113" s="17"/>
      <c r="N113" s="19"/>
      <c r="O113" s="14"/>
    </row>
    <row r="114">
      <c r="A114" s="10"/>
      <c r="B114" s="11"/>
      <c r="C114" s="11"/>
      <c r="D114" s="11"/>
      <c r="E114" s="11"/>
      <c r="F114" s="14"/>
      <c r="G114" s="14"/>
      <c r="H114" s="14"/>
      <c r="I114" s="14"/>
      <c r="J114" s="14"/>
      <c r="K114" s="14"/>
      <c r="L114" s="14"/>
      <c r="M114" s="17"/>
      <c r="N114" s="19"/>
      <c r="O114" s="14"/>
    </row>
    <row r="115">
      <c r="A115" s="10"/>
      <c r="B115" s="11"/>
      <c r="C115" s="11"/>
      <c r="D115" s="11"/>
      <c r="E115" s="11"/>
      <c r="F115" s="14"/>
      <c r="G115" s="14"/>
      <c r="H115" s="14"/>
      <c r="I115" s="14"/>
      <c r="J115" s="14"/>
      <c r="K115" s="14"/>
      <c r="L115" s="14"/>
      <c r="M115" s="17"/>
      <c r="N115" s="19"/>
      <c r="O115" s="14"/>
    </row>
    <row r="116">
      <c r="A116" s="10"/>
      <c r="B116" s="11"/>
      <c r="C116" s="11"/>
      <c r="D116" s="11"/>
      <c r="E116" s="13"/>
      <c r="F116" s="14"/>
      <c r="G116" s="14"/>
      <c r="H116" s="14"/>
      <c r="I116" s="14"/>
      <c r="J116" s="14"/>
      <c r="K116" s="14"/>
      <c r="L116" s="14"/>
      <c r="M116" s="17"/>
      <c r="N116" s="19"/>
      <c r="O116" s="14"/>
    </row>
    <row r="117">
      <c r="A117" s="46"/>
      <c r="B117" s="47"/>
      <c r="C117" s="47"/>
      <c r="D117" s="47"/>
      <c r="E117" s="47"/>
      <c r="F117" s="48"/>
      <c r="G117" s="48"/>
      <c r="H117" s="48"/>
      <c r="I117" s="48"/>
      <c r="J117" s="48"/>
      <c r="K117" s="48"/>
      <c r="L117" s="48"/>
      <c r="M117" s="49"/>
      <c r="N117" s="50"/>
      <c r="O117" s="48"/>
    </row>
    <row r="118">
      <c r="A118" s="61"/>
      <c r="F118" s="18"/>
      <c r="G118" s="18"/>
      <c r="H118" s="18"/>
      <c r="I118" s="18"/>
      <c r="J118" s="18"/>
      <c r="K118" s="18"/>
      <c r="L118" s="18"/>
      <c r="M118" s="18"/>
      <c r="N118" s="58"/>
    </row>
    <row r="119">
      <c r="A119" s="61"/>
      <c r="F119" s="18"/>
      <c r="G119" s="18"/>
      <c r="H119" s="18"/>
      <c r="I119" s="18"/>
      <c r="J119" s="18"/>
      <c r="K119" s="18"/>
      <c r="L119" s="18"/>
      <c r="M119" s="18"/>
      <c r="N119" s="58"/>
    </row>
    <row r="120">
      <c r="A120" s="61"/>
      <c r="F120" s="18"/>
      <c r="G120" s="18"/>
      <c r="H120" s="18"/>
      <c r="I120" s="18"/>
      <c r="J120" s="18"/>
      <c r="K120" s="18"/>
      <c r="L120" s="18"/>
      <c r="M120" s="18"/>
      <c r="N120" s="58"/>
    </row>
    <row r="121">
      <c r="A121" s="61"/>
      <c r="F121" s="18"/>
      <c r="G121" s="18"/>
      <c r="H121" s="18"/>
      <c r="I121" s="18"/>
      <c r="J121" s="18"/>
      <c r="K121" s="18"/>
      <c r="L121" s="18"/>
      <c r="M121" s="18"/>
      <c r="N121" s="58"/>
    </row>
    <row r="122">
      <c r="A122" s="61"/>
      <c r="F122" s="18"/>
      <c r="G122" s="18"/>
      <c r="H122" s="18"/>
      <c r="I122" s="18"/>
      <c r="J122" s="18"/>
      <c r="K122" s="18"/>
      <c r="L122" s="18"/>
      <c r="M122" s="18"/>
      <c r="N122" s="58"/>
    </row>
    <row r="123">
      <c r="A123" s="61"/>
      <c r="F123" s="18"/>
      <c r="G123" s="18"/>
      <c r="H123" s="18"/>
      <c r="I123" s="18"/>
      <c r="J123" s="18"/>
      <c r="K123" s="18"/>
      <c r="L123" s="18"/>
      <c r="M123" s="18"/>
      <c r="N123" s="58"/>
    </row>
    <row r="124">
      <c r="A124" s="61"/>
      <c r="F124" s="18"/>
      <c r="G124" s="18"/>
      <c r="H124" s="18"/>
      <c r="I124" s="18"/>
      <c r="J124" s="18"/>
      <c r="K124" s="18"/>
      <c r="L124" s="18"/>
      <c r="M124" s="18"/>
      <c r="N124" s="58"/>
    </row>
    <row r="125">
      <c r="A125" s="61"/>
      <c r="F125" s="18"/>
      <c r="G125" s="18"/>
      <c r="H125" s="18"/>
      <c r="I125" s="18"/>
      <c r="J125" s="18"/>
      <c r="K125" s="18"/>
      <c r="L125" s="18"/>
      <c r="M125" s="18"/>
      <c r="N125" s="58"/>
    </row>
    <row r="126">
      <c r="A126" s="61"/>
      <c r="F126" s="18"/>
      <c r="G126" s="18"/>
      <c r="H126" s="18"/>
      <c r="I126" s="18"/>
      <c r="J126" s="18"/>
      <c r="K126" s="18"/>
      <c r="L126" s="18"/>
      <c r="M126" s="18"/>
      <c r="N126" s="58"/>
    </row>
    <row r="127">
      <c r="A127" s="61"/>
      <c r="F127" s="18"/>
      <c r="G127" s="18"/>
      <c r="H127" s="18"/>
      <c r="I127" s="18"/>
      <c r="J127" s="18"/>
      <c r="K127" s="18"/>
      <c r="L127" s="18"/>
      <c r="M127" s="18"/>
      <c r="N127" s="58"/>
    </row>
    <row r="128">
      <c r="A128" s="61"/>
      <c r="F128" s="18"/>
      <c r="G128" s="18"/>
      <c r="H128" s="18"/>
      <c r="I128" s="18"/>
      <c r="J128" s="18"/>
      <c r="K128" s="18"/>
      <c r="L128" s="18"/>
      <c r="M128" s="18"/>
      <c r="N128" s="58"/>
    </row>
    <row r="129">
      <c r="A129" s="61"/>
      <c r="F129" s="18"/>
      <c r="G129" s="18"/>
      <c r="H129" s="18"/>
      <c r="I129" s="18"/>
      <c r="J129" s="18"/>
      <c r="K129" s="18"/>
      <c r="L129" s="18"/>
      <c r="M129" s="18"/>
      <c r="N129" s="58"/>
    </row>
    <row r="130">
      <c r="A130" s="61"/>
      <c r="F130" s="18"/>
      <c r="G130" s="18"/>
      <c r="H130" s="18"/>
      <c r="I130" s="18"/>
      <c r="J130" s="18"/>
      <c r="K130" s="18"/>
      <c r="L130" s="18"/>
      <c r="M130" s="18"/>
      <c r="N130" s="58"/>
    </row>
    <row r="131">
      <c r="A131" s="61"/>
      <c r="F131" s="18"/>
      <c r="G131" s="18"/>
      <c r="H131" s="18"/>
      <c r="I131" s="18"/>
      <c r="J131" s="18"/>
      <c r="K131" s="18"/>
      <c r="L131" s="18"/>
      <c r="M131" s="18"/>
      <c r="N131" s="58"/>
    </row>
    <row r="132">
      <c r="A132" s="61"/>
      <c r="F132" s="18"/>
      <c r="G132" s="18"/>
      <c r="H132" s="18"/>
      <c r="I132" s="18"/>
      <c r="J132" s="18"/>
      <c r="K132" s="18"/>
      <c r="L132" s="18"/>
      <c r="M132" s="18"/>
      <c r="N132" s="58"/>
    </row>
    <row r="133">
      <c r="A133" s="61"/>
      <c r="F133" s="18"/>
      <c r="G133" s="18"/>
      <c r="H133" s="18"/>
      <c r="I133" s="18"/>
      <c r="J133" s="18"/>
      <c r="K133" s="18"/>
      <c r="L133" s="18"/>
      <c r="M133" s="18"/>
      <c r="N133" s="58"/>
    </row>
    <row r="134">
      <c r="A134" s="61"/>
      <c r="F134" s="18"/>
      <c r="G134" s="18"/>
      <c r="H134" s="18"/>
      <c r="I134" s="18"/>
      <c r="J134" s="18"/>
      <c r="K134" s="18"/>
      <c r="L134" s="18"/>
      <c r="M134" s="18"/>
      <c r="N134" s="58"/>
    </row>
    <row r="135">
      <c r="A135" s="61"/>
      <c r="F135" s="18"/>
      <c r="G135" s="18"/>
      <c r="H135" s="18"/>
      <c r="I135" s="18"/>
      <c r="J135" s="18"/>
      <c r="K135" s="18"/>
      <c r="L135" s="18"/>
      <c r="M135" s="18"/>
      <c r="N135" s="58"/>
    </row>
    <row r="136">
      <c r="A136" s="61"/>
      <c r="F136" s="18"/>
      <c r="G136" s="18"/>
      <c r="H136" s="18"/>
      <c r="I136" s="18"/>
      <c r="J136" s="18"/>
      <c r="K136" s="18"/>
      <c r="L136" s="18"/>
      <c r="M136" s="18"/>
      <c r="N136" s="58"/>
    </row>
    <row r="137">
      <c r="A137" s="61"/>
      <c r="F137" s="18"/>
      <c r="G137" s="18"/>
      <c r="H137" s="18"/>
      <c r="I137" s="18"/>
      <c r="J137" s="18"/>
      <c r="K137" s="18"/>
      <c r="L137" s="18"/>
      <c r="M137" s="18"/>
      <c r="N137" s="58"/>
    </row>
    <row r="138">
      <c r="A138" s="61"/>
      <c r="F138" s="18"/>
      <c r="G138" s="18"/>
      <c r="H138" s="18"/>
      <c r="I138" s="18"/>
      <c r="J138" s="18"/>
      <c r="K138" s="18"/>
      <c r="L138" s="18"/>
      <c r="M138" s="18"/>
      <c r="N138" s="58"/>
    </row>
    <row r="139">
      <c r="A139" s="61"/>
      <c r="F139" s="18"/>
      <c r="G139" s="18"/>
      <c r="H139" s="18"/>
      <c r="I139" s="18"/>
      <c r="J139" s="18"/>
      <c r="K139" s="18"/>
      <c r="L139" s="18"/>
      <c r="M139" s="18"/>
      <c r="N139" s="58"/>
    </row>
    <row r="140">
      <c r="A140" s="61"/>
      <c r="F140" s="18"/>
      <c r="G140" s="18"/>
      <c r="H140" s="18"/>
      <c r="I140" s="18"/>
      <c r="J140" s="18"/>
      <c r="K140" s="18"/>
      <c r="L140" s="18"/>
      <c r="M140" s="18"/>
      <c r="N140" s="58"/>
    </row>
    <row r="141">
      <c r="A141" s="61"/>
      <c r="F141" s="18"/>
      <c r="G141" s="18"/>
      <c r="H141" s="18"/>
      <c r="I141" s="18"/>
      <c r="J141" s="18"/>
      <c r="K141" s="18"/>
      <c r="L141" s="18"/>
      <c r="M141" s="18"/>
      <c r="N141" s="58"/>
    </row>
    <row r="142">
      <c r="A142" s="61"/>
      <c r="F142" s="18"/>
      <c r="G142" s="18"/>
      <c r="H142" s="18"/>
      <c r="I142" s="18"/>
      <c r="J142" s="18"/>
      <c r="K142" s="18"/>
      <c r="L142" s="18"/>
      <c r="M142" s="18"/>
      <c r="N142" s="58"/>
    </row>
    <row r="143">
      <c r="A143" s="61"/>
      <c r="F143" s="18"/>
      <c r="G143" s="18"/>
      <c r="H143" s="18"/>
      <c r="I143" s="18"/>
      <c r="J143" s="18"/>
      <c r="K143" s="18"/>
      <c r="L143" s="18"/>
      <c r="M143" s="18"/>
      <c r="N143" s="58"/>
    </row>
    <row r="144">
      <c r="A144" s="61"/>
      <c r="F144" s="18"/>
      <c r="G144" s="18"/>
      <c r="H144" s="18"/>
      <c r="I144" s="18"/>
      <c r="J144" s="18"/>
      <c r="K144" s="18"/>
      <c r="L144" s="18"/>
      <c r="M144" s="18"/>
      <c r="N144" s="58"/>
    </row>
    <row r="145">
      <c r="A145" s="61"/>
      <c r="F145" s="18"/>
      <c r="G145" s="18"/>
      <c r="H145" s="18"/>
      <c r="I145" s="18"/>
      <c r="J145" s="18"/>
      <c r="K145" s="18"/>
      <c r="L145" s="18"/>
      <c r="M145" s="18"/>
      <c r="N145" s="58"/>
    </row>
    <row r="146">
      <c r="A146" s="61"/>
      <c r="F146" s="18"/>
      <c r="G146" s="18"/>
      <c r="H146" s="18"/>
      <c r="I146" s="18"/>
      <c r="J146" s="18"/>
      <c r="K146" s="18"/>
      <c r="L146" s="18"/>
      <c r="M146" s="18"/>
      <c r="N146" s="58"/>
    </row>
    <row r="147">
      <c r="A147" s="61"/>
      <c r="F147" s="18"/>
      <c r="G147" s="18"/>
      <c r="H147" s="18"/>
      <c r="I147" s="18"/>
      <c r="J147" s="18"/>
      <c r="K147" s="18"/>
      <c r="L147" s="18"/>
      <c r="M147" s="18"/>
      <c r="N147" s="58"/>
    </row>
    <row r="148">
      <c r="A148" s="61"/>
      <c r="F148" s="18"/>
      <c r="G148" s="18"/>
      <c r="H148" s="18"/>
      <c r="I148" s="18"/>
      <c r="J148" s="18"/>
      <c r="K148" s="18"/>
      <c r="L148" s="18"/>
      <c r="M148" s="18"/>
      <c r="N148" s="58"/>
    </row>
    <row r="149">
      <c r="A149" s="61"/>
      <c r="F149" s="18"/>
      <c r="G149" s="18"/>
      <c r="H149" s="18"/>
      <c r="I149" s="18"/>
      <c r="J149" s="18"/>
      <c r="K149" s="18"/>
      <c r="L149" s="18"/>
      <c r="M149" s="18"/>
      <c r="N149" s="58"/>
    </row>
    <row r="150">
      <c r="A150" s="61"/>
      <c r="F150" s="18"/>
      <c r="G150" s="18"/>
      <c r="H150" s="18"/>
      <c r="I150" s="18"/>
      <c r="J150" s="18"/>
      <c r="K150" s="18"/>
      <c r="L150" s="18"/>
      <c r="M150" s="18"/>
      <c r="N150" s="58"/>
    </row>
    <row r="151">
      <c r="A151" s="61"/>
      <c r="F151" s="18"/>
      <c r="G151" s="18"/>
      <c r="H151" s="18"/>
      <c r="I151" s="18"/>
      <c r="J151" s="18"/>
      <c r="K151" s="18"/>
      <c r="L151" s="18"/>
      <c r="M151" s="18"/>
      <c r="N151" s="58"/>
    </row>
    <row r="152">
      <c r="A152" s="61"/>
      <c r="F152" s="18"/>
      <c r="G152" s="18"/>
      <c r="H152" s="18"/>
      <c r="I152" s="18"/>
      <c r="J152" s="18"/>
      <c r="K152" s="18"/>
      <c r="L152" s="18"/>
      <c r="M152" s="18"/>
      <c r="N152" s="58"/>
    </row>
    <row r="153">
      <c r="A153" s="61"/>
      <c r="F153" s="18"/>
      <c r="G153" s="18"/>
      <c r="H153" s="18"/>
      <c r="I153" s="18"/>
      <c r="J153" s="18"/>
      <c r="K153" s="18"/>
      <c r="L153" s="18"/>
      <c r="M153" s="18"/>
      <c r="N153" s="58"/>
    </row>
    <row r="154">
      <c r="A154" s="61"/>
      <c r="F154" s="18"/>
      <c r="G154" s="18"/>
      <c r="H154" s="18"/>
      <c r="I154" s="18"/>
      <c r="J154" s="18"/>
      <c r="K154" s="18"/>
      <c r="L154" s="18"/>
      <c r="M154" s="18"/>
      <c r="N154" s="58"/>
    </row>
    <row r="155">
      <c r="A155" s="61"/>
      <c r="F155" s="18"/>
      <c r="G155" s="18"/>
      <c r="H155" s="18"/>
      <c r="I155" s="18"/>
      <c r="J155" s="18"/>
      <c r="K155" s="18"/>
      <c r="L155" s="18"/>
      <c r="M155" s="18"/>
      <c r="N155" s="58"/>
    </row>
    <row r="156">
      <c r="A156" s="61"/>
      <c r="F156" s="18"/>
      <c r="G156" s="18"/>
      <c r="H156" s="18"/>
      <c r="I156" s="18"/>
      <c r="J156" s="18"/>
      <c r="K156" s="18"/>
      <c r="L156" s="18"/>
      <c r="M156" s="18"/>
      <c r="N156" s="58"/>
    </row>
    <row r="157">
      <c r="A157" s="61"/>
      <c r="F157" s="18"/>
      <c r="G157" s="18"/>
      <c r="H157" s="18"/>
      <c r="I157" s="18"/>
      <c r="J157" s="18"/>
      <c r="K157" s="18"/>
      <c r="L157" s="18"/>
      <c r="M157" s="18"/>
      <c r="N157" s="58"/>
    </row>
    <row r="158">
      <c r="A158" s="61"/>
      <c r="F158" s="18"/>
      <c r="G158" s="18"/>
      <c r="H158" s="18"/>
      <c r="I158" s="18"/>
      <c r="J158" s="18"/>
      <c r="K158" s="18"/>
      <c r="L158" s="18"/>
      <c r="M158" s="18"/>
      <c r="N158" s="58"/>
    </row>
    <row r="159">
      <c r="A159" s="61"/>
      <c r="F159" s="18"/>
      <c r="G159" s="18"/>
      <c r="H159" s="18"/>
      <c r="I159" s="18"/>
      <c r="J159" s="18"/>
      <c r="K159" s="18"/>
      <c r="L159" s="18"/>
      <c r="M159" s="18"/>
      <c r="N159" s="58"/>
    </row>
    <row r="160">
      <c r="A160" s="61"/>
      <c r="F160" s="18"/>
      <c r="G160" s="18"/>
      <c r="H160" s="18"/>
      <c r="I160" s="18"/>
      <c r="J160" s="18"/>
      <c r="K160" s="18"/>
      <c r="L160" s="18"/>
      <c r="M160" s="18"/>
      <c r="N160" s="58"/>
    </row>
    <row r="161">
      <c r="A161" s="61"/>
      <c r="F161" s="18"/>
      <c r="G161" s="18"/>
      <c r="H161" s="18"/>
      <c r="I161" s="18"/>
      <c r="J161" s="18"/>
      <c r="K161" s="18"/>
      <c r="L161" s="18"/>
      <c r="M161" s="18"/>
      <c r="N161" s="58"/>
    </row>
    <row r="162">
      <c r="A162" s="61"/>
      <c r="F162" s="18"/>
      <c r="G162" s="18"/>
      <c r="H162" s="18"/>
      <c r="I162" s="18"/>
      <c r="J162" s="18"/>
      <c r="K162" s="18"/>
      <c r="L162" s="18"/>
      <c r="M162" s="18"/>
      <c r="N162" s="58"/>
    </row>
    <row r="163">
      <c r="A163" s="61"/>
      <c r="F163" s="18"/>
      <c r="G163" s="18"/>
      <c r="H163" s="18"/>
      <c r="I163" s="18"/>
      <c r="J163" s="18"/>
      <c r="K163" s="18"/>
      <c r="L163" s="18"/>
      <c r="M163" s="18"/>
      <c r="N163" s="58"/>
    </row>
    <row r="164">
      <c r="A164" s="61"/>
      <c r="F164" s="18"/>
      <c r="G164" s="18"/>
      <c r="H164" s="18"/>
      <c r="I164" s="18"/>
      <c r="J164" s="18"/>
      <c r="K164" s="18"/>
      <c r="L164" s="18"/>
      <c r="M164" s="18"/>
      <c r="N164" s="58"/>
    </row>
    <row r="165">
      <c r="A165" s="61"/>
      <c r="F165" s="18"/>
      <c r="G165" s="18"/>
      <c r="H165" s="18"/>
      <c r="I165" s="18"/>
      <c r="J165" s="18"/>
      <c r="K165" s="18"/>
      <c r="L165" s="18"/>
      <c r="M165" s="18"/>
      <c r="N165" s="58"/>
    </row>
    <row r="166">
      <c r="A166" s="61"/>
      <c r="F166" s="18"/>
      <c r="G166" s="18"/>
      <c r="H166" s="18"/>
      <c r="I166" s="18"/>
      <c r="J166" s="18"/>
      <c r="K166" s="18"/>
      <c r="L166" s="18"/>
      <c r="M166" s="18"/>
      <c r="N166" s="58"/>
    </row>
    <row r="167">
      <c r="A167" s="61"/>
      <c r="F167" s="18"/>
      <c r="G167" s="18"/>
      <c r="H167" s="18"/>
      <c r="I167" s="18"/>
      <c r="J167" s="18"/>
      <c r="K167" s="18"/>
      <c r="L167" s="18"/>
      <c r="M167" s="18"/>
      <c r="N167" s="58"/>
    </row>
    <row r="168">
      <c r="A168" s="61"/>
      <c r="F168" s="18"/>
      <c r="G168" s="18"/>
      <c r="H168" s="18"/>
      <c r="I168" s="18"/>
      <c r="J168" s="18"/>
      <c r="K168" s="18"/>
      <c r="L168" s="18"/>
      <c r="M168" s="18"/>
      <c r="N168" s="58"/>
    </row>
    <row r="169">
      <c r="A169" s="61"/>
      <c r="F169" s="18"/>
      <c r="G169" s="18"/>
      <c r="H169" s="18"/>
      <c r="I169" s="18"/>
      <c r="J169" s="18"/>
      <c r="K169" s="18"/>
      <c r="L169" s="18"/>
      <c r="M169" s="18"/>
      <c r="N169" s="58"/>
    </row>
    <row r="170">
      <c r="A170" s="61"/>
      <c r="F170" s="18"/>
      <c r="G170" s="18"/>
      <c r="H170" s="18"/>
      <c r="I170" s="18"/>
      <c r="J170" s="18"/>
      <c r="K170" s="18"/>
      <c r="L170" s="18"/>
      <c r="M170" s="18"/>
      <c r="N170" s="58"/>
    </row>
    <row r="171">
      <c r="A171" s="61"/>
      <c r="F171" s="18"/>
      <c r="G171" s="18"/>
      <c r="H171" s="18"/>
      <c r="I171" s="18"/>
      <c r="J171" s="18"/>
      <c r="K171" s="18"/>
      <c r="L171" s="18"/>
      <c r="M171" s="18"/>
      <c r="N171" s="58"/>
    </row>
    <row r="172">
      <c r="A172" s="61"/>
      <c r="F172" s="18"/>
      <c r="G172" s="18"/>
      <c r="H172" s="18"/>
      <c r="I172" s="18"/>
      <c r="J172" s="18"/>
      <c r="K172" s="18"/>
      <c r="L172" s="18"/>
      <c r="M172" s="18"/>
      <c r="N172" s="58"/>
    </row>
    <row r="173">
      <c r="A173" s="61"/>
      <c r="F173" s="18"/>
      <c r="G173" s="18"/>
      <c r="H173" s="18"/>
      <c r="I173" s="18"/>
      <c r="J173" s="18"/>
      <c r="K173" s="18"/>
      <c r="L173" s="18"/>
      <c r="M173" s="18"/>
      <c r="N173" s="58"/>
    </row>
    <row r="174">
      <c r="A174" s="61"/>
      <c r="F174" s="18"/>
      <c r="G174" s="18"/>
      <c r="H174" s="18"/>
      <c r="I174" s="18"/>
      <c r="J174" s="18"/>
      <c r="K174" s="18"/>
      <c r="L174" s="18"/>
      <c r="M174" s="18"/>
      <c r="N174" s="58"/>
    </row>
    <row r="175">
      <c r="A175" s="61"/>
      <c r="F175" s="18"/>
      <c r="G175" s="18"/>
      <c r="H175" s="18"/>
      <c r="I175" s="18"/>
      <c r="J175" s="18"/>
      <c r="K175" s="18"/>
      <c r="L175" s="18"/>
      <c r="M175" s="18"/>
      <c r="N175" s="58"/>
    </row>
    <row r="176">
      <c r="A176" s="61"/>
      <c r="F176" s="18"/>
      <c r="G176" s="18"/>
      <c r="H176" s="18"/>
      <c r="I176" s="18"/>
      <c r="J176" s="18"/>
      <c r="K176" s="18"/>
      <c r="L176" s="18"/>
      <c r="M176" s="18"/>
      <c r="N176" s="58"/>
    </row>
    <row r="177">
      <c r="A177" s="61"/>
      <c r="F177" s="18"/>
      <c r="G177" s="18"/>
      <c r="H177" s="18"/>
      <c r="I177" s="18"/>
      <c r="J177" s="18"/>
      <c r="K177" s="18"/>
      <c r="L177" s="18"/>
      <c r="M177" s="18"/>
      <c r="N177" s="58"/>
    </row>
    <row r="178">
      <c r="A178" s="61"/>
      <c r="F178" s="18"/>
      <c r="G178" s="18"/>
      <c r="H178" s="18"/>
      <c r="I178" s="18"/>
      <c r="J178" s="18"/>
      <c r="K178" s="18"/>
      <c r="L178" s="18"/>
      <c r="M178" s="18"/>
      <c r="N178" s="58"/>
    </row>
    <row r="179">
      <c r="A179" s="61"/>
      <c r="F179" s="18"/>
      <c r="G179" s="18"/>
      <c r="H179" s="18"/>
      <c r="I179" s="18"/>
      <c r="J179" s="18"/>
      <c r="K179" s="18"/>
      <c r="L179" s="18"/>
      <c r="M179" s="18"/>
      <c r="N179" s="58"/>
    </row>
    <row r="180">
      <c r="A180" s="61"/>
      <c r="F180" s="18"/>
      <c r="G180" s="18"/>
      <c r="H180" s="18"/>
      <c r="I180" s="18"/>
      <c r="J180" s="18"/>
      <c r="K180" s="18"/>
      <c r="L180" s="18"/>
      <c r="M180" s="18"/>
      <c r="N180" s="58"/>
    </row>
    <row r="181">
      <c r="A181" s="61"/>
      <c r="F181" s="18"/>
      <c r="G181" s="18"/>
      <c r="H181" s="18"/>
      <c r="I181" s="18"/>
      <c r="J181" s="18"/>
      <c r="K181" s="18"/>
      <c r="L181" s="18"/>
      <c r="M181" s="18"/>
      <c r="N181" s="58"/>
    </row>
    <row r="182">
      <c r="A182" s="61"/>
      <c r="F182" s="18"/>
      <c r="G182" s="18"/>
      <c r="H182" s="18"/>
      <c r="I182" s="18"/>
      <c r="J182" s="18"/>
      <c r="K182" s="18"/>
      <c r="L182" s="18"/>
      <c r="M182" s="18"/>
      <c r="N182" s="58"/>
    </row>
    <row r="183">
      <c r="A183" s="61"/>
      <c r="F183" s="18"/>
      <c r="G183" s="18"/>
      <c r="H183" s="18"/>
      <c r="I183" s="18"/>
      <c r="J183" s="18"/>
      <c r="K183" s="18"/>
      <c r="L183" s="18"/>
      <c r="M183" s="18"/>
      <c r="N183" s="58"/>
    </row>
    <row r="184">
      <c r="A184" s="61"/>
      <c r="F184" s="18"/>
      <c r="G184" s="18"/>
      <c r="H184" s="18"/>
      <c r="I184" s="18"/>
      <c r="J184" s="18"/>
      <c r="K184" s="18"/>
      <c r="L184" s="18"/>
      <c r="M184" s="18"/>
      <c r="N184" s="58"/>
    </row>
    <row r="185">
      <c r="A185" s="61"/>
      <c r="F185" s="18"/>
      <c r="G185" s="18"/>
      <c r="H185" s="18"/>
      <c r="I185" s="18"/>
      <c r="J185" s="18"/>
      <c r="K185" s="18"/>
      <c r="L185" s="18"/>
      <c r="M185" s="18"/>
      <c r="N185" s="58"/>
    </row>
    <row r="186">
      <c r="A186" s="61"/>
      <c r="F186" s="18"/>
      <c r="G186" s="18"/>
      <c r="H186" s="18"/>
      <c r="I186" s="18"/>
      <c r="J186" s="18"/>
      <c r="K186" s="18"/>
      <c r="L186" s="18"/>
      <c r="M186" s="18"/>
      <c r="N186" s="58"/>
    </row>
    <row r="187">
      <c r="A187" s="61"/>
      <c r="F187" s="18"/>
      <c r="G187" s="18"/>
      <c r="H187" s="18"/>
      <c r="I187" s="18"/>
      <c r="J187" s="18"/>
      <c r="K187" s="18"/>
      <c r="L187" s="18"/>
      <c r="M187" s="18"/>
      <c r="N187" s="58"/>
    </row>
    <row r="188">
      <c r="A188" s="61"/>
      <c r="F188" s="18"/>
      <c r="G188" s="18"/>
      <c r="H188" s="18"/>
      <c r="I188" s="18"/>
      <c r="J188" s="18"/>
      <c r="K188" s="18"/>
      <c r="L188" s="18"/>
      <c r="M188" s="18"/>
      <c r="N188" s="58"/>
    </row>
    <row r="189">
      <c r="A189" s="61"/>
      <c r="F189" s="18"/>
      <c r="G189" s="18"/>
      <c r="H189" s="18"/>
      <c r="I189" s="18"/>
      <c r="J189" s="18"/>
      <c r="K189" s="18"/>
      <c r="L189" s="18"/>
      <c r="M189" s="18"/>
      <c r="N189" s="58"/>
    </row>
    <row r="190">
      <c r="A190" s="61"/>
      <c r="F190" s="18"/>
      <c r="G190" s="18"/>
      <c r="H190" s="18"/>
      <c r="I190" s="18"/>
      <c r="J190" s="18"/>
      <c r="K190" s="18"/>
      <c r="L190" s="18"/>
      <c r="M190" s="18"/>
      <c r="N190" s="58"/>
    </row>
    <row r="191">
      <c r="A191" s="61"/>
      <c r="F191" s="18"/>
      <c r="G191" s="18"/>
      <c r="H191" s="18"/>
      <c r="I191" s="18"/>
      <c r="J191" s="18"/>
      <c r="K191" s="18"/>
      <c r="L191" s="18"/>
      <c r="M191" s="18"/>
      <c r="N191" s="58"/>
    </row>
    <row r="192">
      <c r="A192" s="61"/>
      <c r="F192" s="18"/>
      <c r="G192" s="18"/>
      <c r="H192" s="18"/>
      <c r="I192" s="18"/>
      <c r="J192" s="18"/>
      <c r="K192" s="18"/>
      <c r="L192" s="18"/>
      <c r="M192" s="18"/>
      <c r="N192" s="58"/>
    </row>
    <row r="193">
      <c r="A193" s="61"/>
      <c r="F193" s="18"/>
      <c r="G193" s="18"/>
      <c r="H193" s="18"/>
      <c r="I193" s="18"/>
      <c r="J193" s="18"/>
      <c r="K193" s="18"/>
      <c r="L193" s="18"/>
      <c r="M193" s="18"/>
      <c r="N193" s="58"/>
    </row>
    <row r="194">
      <c r="A194" s="61"/>
      <c r="F194" s="18"/>
      <c r="G194" s="18"/>
      <c r="H194" s="18"/>
      <c r="I194" s="18"/>
      <c r="J194" s="18"/>
      <c r="K194" s="18"/>
      <c r="L194" s="18"/>
      <c r="M194" s="18"/>
      <c r="N194" s="58"/>
    </row>
    <row r="195">
      <c r="A195" s="61"/>
      <c r="F195" s="18"/>
      <c r="G195" s="18"/>
      <c r="H195" s="18"/>
      <c r="I195" s="18"/>
      <c r="J195" s="18"/>
      <c r="K195" s="18"/>
      <c r="L195" s="18"/>
      <c r="M195" s="18"/>
      <c r="N195" s="58"/>
    </row>
    <row r="196">
      <c r="A196" s="61"/>
      <c r="F196" s="18"/>
      <c r="G196" s="18"/>
      <c r="H196" s="18"/>
      <c r="I196" s="18"/>
      <c r="J196" s="18"/>
      <c r="K196" s="18"/>
      <c r="L196" s="18"/>
      <c r="M196" s="18"/>
      <c r="N196" s="58"/>
    </row>
    <row r="197">
      <c r="A197" s="61"/>
      <c r="F197" s="18"/>
      <c r="G197" s="18"/>
      <c r="H197" s="18"/>
      <c r="I197" s="18"/>
      <c r="J197" s="18"/>
      <c r="K197" s="18"/>
      <c r="L197" s="18"/>
      <c r="M197" s="18"/>
      <c r="N197" s="58"/>
    </row>
    <row r="198">
      <c r="A198" s="61"/>
      <c r="F198" s="18"/>
      <c r="G198" s="18"/>
      <c r="H198" s="18"/>
      <c r="I198" s="18"/>
      <c r="J198" s="18"/>
      <c r="K198" s="18"/>
      <c r="L198" s="18"/>
      <c r="M198" s="18"/>
      <c r="N198" s="58"/>
    </row>
    <row r="199">
      <c r="A199" s="61"/>
      <c r="F199" s="18"/>
      <c r="G199" s="18"/>
      <c r="H199" s="18"/>
      <c r="I199" s="18"/>
      <c r="J199" s="18"/>
      <c r="K199" s="18"/>
      <c r="L199" s="18"/>
      <c r="M199" s="18"/>
      <c r="N199" s="58"/>
    </row>
    <row r="200">
      <c r="A200" s="61"/>
      <c r="F200" s="18"/>
      <c r="G200" s="18"/>
      <c r="H200" s="18"/>
      <c r="I200" s="18"/>
      <c r="J200" s="18"/>
      <c r="K200" s="18"/>
      <c r="L200" s="18"/>
      <c r="M200" s="18"/>
      <c r="N200" s="58"/>
    </row>
    <row r="201">
      <c r="A201" s="61"/>
      <c r="F201" s="18"/>
      <c r="G201" s="18"/>
      <c r="H201" s="18"/>
      <c r="I201" s="18"/>
      <c r="J201" s="18"/>
      <c r="K201" s="18"/>
      <c r="L201" s="18"/>
      <c r="M201" s="18"/>
      <c r="N201" s="58"/>
    </row>
    <row r="202">
      <c r="A202" s="61"/>
      <c r="F202" s="18"/>
      <c r="G202" s="18"/>
      <c r="H202" s="18"/>
      <c r="I202" s="18"/>
      <c r="J202" s="18"/>
      <c r="K202" s="18"/>
      <c r="L202" s="18"/>
      <c r="M202" s="18"/>
      <c r="N202" s="58"/>
    </row>
    <row r="203">
      <c r="A203" s="61"/>
      <c r="F203" s="18"/>
      <c r="G203" s="18"/>
      <c r="H203" s="18"/>
      <c r="I203" s="18"/>
      <c r="J203" s="18"/>
      <c r="K203" s="18"/>
      <c r="L203" s="18"/>
      <c r="M203" s="18"/>
      <c r="N203" s="58"/>
    </row>
    <row r="204">
      <c r="A204" s="61"/>
      <c r="F204" s="18"/>
      <c r="G204" s="18"/>
      <c r="H204" s="18"/>
      <c r="I204" s="18"/>
      <c r="J204" s="18"/>
      <c r="K204" s="18"/>
      <c r="L204" s="18"/>
      <c r="M204" s="18"/>
      <c r="N204" s="58"/>
    </row>
    <row r="205">
      <c r="A205" s="61"/>
      <c r="F205" s="18"/>
      <c r="G205" s="18"/>
      <c r="H205" s="18"/>
      <c r="I205" s="18"/>
      <c r="J205" s="18"/>
      <c r="K205" s="18"/>
      <c r="L205" s="18"/>
      <c r="M205" s="18"/>
      <c r="N205" s="58"/>
    </row>
    <row r="206">
      <c r="A206" s="61"/>
      <c r="F206" s="18"/>
      <c r="G206" s="18"/>
      <c r="H206" s="18"/>
      <c r="I206" s="18"/>
      <c r="J206" s="18"/>
      <c r="K206" s="18"/>
      <c r="L206" s="18"/>
      <c r="M206" s="18"/>
      <c r="N206" s="58"/>
    </row>
    <row r="207">
      <c r="A207" s="61"/>
      <c r="F207" s="18"/>
      <c r="G207" s="18"/>
      <c r="H207" s="18"/>
      <c r="I207" s="18"/>
      <c r="J207" s="18"/>
      <c r="K207" s="18"/>
      <c r="L207" s="18"/>
      <c r="M207" s="18"/>
      <c r="N207" s="58"/>
    </row>
    <row r="208">
      <c r="A208" s="61"/>
      <c r="F208" s="18"/>
      <c r="G208" s="18"/>
      <c r="H208" s="18"/>
      <c r="I208" s="18"/>
      <c r="J208" s="18"/>
      <c r="K208" s="18"/>
      <c r="L208" s="18"/>
      <c r="M208" s="18"/>
      <c r="N208" s="58"/>
    </row>
    <row r="209">
      <c r="A209" s="61"/>
      <c r="F209" s="18"/>
      <c r="G209" s="18"/>
      <c r="H209" s="18"/>
      <c r="I209" s="18"/>
      <c r="J209" s="18"/>
      <c r="K209" s="18"/>
      <c r="L209" s="18"/>
      <c r="M209" s="18"/>
      <c r="N209" s="58"/>
    </row>
    <row r="210">
      <c r="A210" s="61"/>
      <c r="F210" s="18"/>
      <c r="G210" s="18"/>
      <c r="H210" s="18"/>
      <c r="I210" s="18"/>
      <c r="J210" s="18"/>
      <c r="K210" s="18"/>
      <c r="L210" s="18"/>
      <c r="M210" s="18"/>
      <c r="N210" s="58"/>
    </row>
    <row r="211">
      <c r="A211" s="61"/>
      <c r="F211" s="18"/>
      <c r="G211" s="18"/>
      <c r="H211" s="18"/>
      <c r="I211" s="18"/>
      <c r="J211" s="18"/>
      <c r="K211" s="18"/>
      <c r="L211" s="18"/>
      <c r="M211" s="18"/>
      <c r="N211" s="58"/>
    </row>
    <row r="212">
      <c r="A212" s="61"/>
      <c r="F212" s="18"/>
      <c r="G212" s="18"/>
      <c r="H212" s="18"/>
      <c r="I212" s="18"/>
      <c r="J212" s="18"/>
      <c r="K212" s="18"/>
      <c r="L212" s="18"/>
      <c r="M212" s="18"/>
      <c r="N212" s="58"/>
    </row>
    <row r="213">
      <c r="A213" s="61"/>
      <c r="F213" s="18"/>
      <c r="G213" s="18"/>
      <c r="H213" s="18"/>
      <c r="I213" s="18"/>
      <c r="J213" s="18"/>
      <c r="K213" s="18"/>
      <c r="L213" s="18"/>
      <c r="M213" s="18"/>
      <c r="N213" s="58"/>
    </row>
    <row r="214">
      <c r="A214" s="61"/>
      <c r="F214" s="18"/>
      <c r="G214" s="18"/>
      <c r="H214" s="18"/>
      <c r="I214" s="18"/>
      <c r="J214" s="18"/>
      <c r="K214" s="18"/>
      <c r="L214" s="18"/>
      <c r="M214" s="18"/>
      <c r="N214" s="58"/>
    </row>
    <row r="215">
      <c r="A215" s="61"/>
      <c r="F215" s="18"/>
      <c r="G215" s="18"/>
      <c r="H215" s="18"/>
      <c r="I215" s="18"/>
      <c r="J215" s="18"/>
      <c r="K215" s="18"/>
      <c r="L215" s="18"/>
      <c r="M215" s="18"/>
      <c r="N215" s="58"/>
    </row>
    <row r="216">
      <c r="A216" s="61"/>
      <c r="F216" s="18"/>
      <c r="G216" s="18"/>
      <c r="H216" s="18"/>
      <c r="I216" s="18"/>
      <c r="J216" s="18"/>
      <c r="K216" s="18"/>
      <c r="L216" s="18"/>
      <c r="M216" s="18"/>
      <c r="N216" s="58"/>
    </row>
    <row r="217">
      <c r="A217" s="61"/>
      <c r="F217" s="18"/>
      <c r="G217" s="18"/>
      <c r="H217" s="18"/>
      <c r="I217" s="18"/>
      <c r="J217" s="18"/>
      <c r="K217" s="18"/>
      <c r="L217" s="18"/>
      <c r="M217" s="18"/>
      <c r="N217" s="58"/>
    </row>
    <row r="218">
      <c r="A218" s="61"/>
      <c r="F218" s="18"/>
      <c r="G218" s="18"/>
      <c r="H218" s="18"/>
      <c r="I218" s="18"/>
      <c r="J218" s="18"/>
      <c r="K218" s="18"/>
      <c r="L218" s="18"/>
      <c r="M218" s="18"/>
      <c r="N218" s="58"/>
    </row>
    <row r="219">
      <c r="A219" s="61"/>
      <c r="F219" s="18"/>
      <c r="G219" s="18"/>
      <c r="H219" s="18"/>
      <c r="I219" s="18"/>
      <c r="J219" s="18"/>
      <c r="K219" s="18"/>
      <c r="L219" s="18"/>
      <c r="M219" s="18"/>
      <c r="N219" s="58"/>
    </row>
    <row r="220">
      <c r="A220" s="61"/>
      <c r="F220" s="18"/>
      <c r="G220" s="18"/>
      <c r="H220" s="18"/>
      <c r="I220" s="18"/>
      <c r="J220" s="18"/>
      <c r="K220" s="18"/>
      <c r="L220" s="18"/>
      <c r="M220" s="18"/>
      <c r="N220" s="58"/>
    </row>
    <row r="221">
      <c r="A221" s="61"/>
      <c r="F221" s="18"/>
      <c r="G221" s="18"/>
      <c r="H221" s="18"/>
      <c r="I221" s="18"/>
      <c r="J221" s="18"/>
      <c r="K221" s="18"/>
      <c r="L221" s="18"/>
      <c r="M221" s="18"/>
      <c r="N221" s="58"/>
    </row>
    <row r="222">
      <c r="A222" s="61"/>
      <c r="F222" s="18"/>
      <c r="G222" s="18"/>
      <c r="H222" s="18"/>
      <c r="I222" s="18"/>
      <c r="J222" s="18"/>
      <c r="K222" s="18"/>
      <c r="L222" s="18"/>
      <c r="M222" s="18"/>
      <c r="N222" s="58"/>
    </row>
    <row r="223">
      <c r="A223" s="61"/>
      <c r="F223" s="18"/>
      <c r="G223" s="18"/>
      <c r="H223" s="18"/>
      <c r="I223" s="18"/>
      <c r="J223" s="18"/>
      <c r="K223" s="18"/>
      <c r="L223" s="18"/>
      <c r="M223" s="18"/>
      <c r="N223" s="58"/>
    </row>
    <row r="224">
      <c r="A224" s="61"/>
      <c r="F224" s="18"/>
      <c r="G224" s="18"/>
      <c r="H224" s="18"/>
      <c r="I224" s="18"/>
      <c r="J224" s="18"/>
      <c r="K224" s="18"/>
      <c r="L224" s="18"/>
      <c r="M224" s="18"/>
      <c r="N224" s="58"/>
    </row>
    <row r="225">
      <c r="A225" s="61"/>
      <c r="F225" s="18"/>
      <c r="G225" s="18"/>
      <c r="H225" s="18"/>
      <c r="I225" s="18"/>
      <c r="J225" s="18"/>
      <c r="K225" s="18"/>
      <c r="L225" s="18"/>
      <c r="M225" s="18"/>
      <c r="N225" s="58"/>
    </row>
    <row r="226">
      <c r="A226" s="61"/>
      <c r="F226" s="18"/>
      <c r="G226" s="18"/>
      <c r="H226" s="18"/>
      <c r="I226" s="18"/>
      <c r="J226" s="18"/>
      <c r="K226" s="18"/>
      <c r="L226" s="18"/>
      <c r="M226" s="18"/>
      <c r="N226" s="58"/>
    </row>
    <row r="227">
      <c r="A227" s="61"/>
      <c r="F227" s="18"/>
      <c r="G227" s="18"/>
      <c r="H227" s="18"/>
      <c r="I227" s="18"/>
      <c r="J227" s="18"/>
      <c r="K227" s="18"/>
      <c r="L227" s="18"/>
      <c r="M227" s="18"/>
      <c r="N227" s="58"/>
    </row>
    <row r="228">
      <c r="A228" s="61"/>
      <c r="F228" s="18"/>
      <c r="G228" s="18"/>
      <c r="H228" s="18"/>
      <c r="I228" s="18"/>
      <c r="J228" s="18"/>
      <c r="K228" s="18"/>
      <c r="L228" s="18"/>
      <c r="M228" s="18"/>
      <c r="N228" s="58"/>
    </row>
    <row r="229">
      <c r="A229" s="61"/>
      <c r="F229" s="18"/>
      <c r="G229" s="18"/>
      <c r="H229" s="18"/>
      <c r="I229" s="18"/>
      <c r="J229" s="18"/>
      <c r="K229" s="18"/>
      <c r="L229" s="18"/>
      <c r="M229" s="18"/>
      <c r="N229" s="58"/>
    </row>
    <row r="230">
      <c r="A230" s="61"/>
      <c r="F230" s="18"/>
      <c r="G230" s="18"/>
      <c r="H230" s="18"/>
      <c r="I230" s="18"/>
      <c r="J230" s="18"/>
      <c r="K230" s="18"/>
      <c r="L230" s="18"/>
      <c r="M230" s="18"/>
      <c r="N230" s="58"/>
    </row>
    <row r="231">
      <c r="A231" s="61"/>
      <c r="F231" s="18"/>
      <c r="G231" s="18"/>
      <c r="H231" s="18"/>
      <c r="I231" s="18"/>
      <c r="J231" s="18"/>
      <c r="K231" s="18"/>
      <c r="L231" s="18"/>
      <c r="M231" s="18"/>
      <c r="N231" s="58"/>
    </row>
    <row r="232">
      <c r="A232" s="61"/>
      <c r="F232" s="18"/>
      <c r="G232" s="18"/>
      <c r="H232" s="18"/>
      <c r="I232" s="18"/>
      <c r="J232" s="18"/>
      <c r="K232" s="18"/>
      <c r="L232" s="18"/>
      <c r="M232" s="18"/>
      <c r="N232" s="58"/>
    </row>
    <row r="233">
      <c r="A233" s="61"/>
      <c r="F233" s="18"/>
      <c r="G233" s="18"/>
      <c r="H233" s="18"/>
      <c r="I233" s="18"/>
      <c r="J233" s="18"/>
      <c r="K233" s="18"/>
      <c r="L233" s="18"/>
      <c r="M233" s="18"/>
      <c r="N233" s="58"/>
    </row>
    <row r="234">
      <c r="A234" s="61"/>
      <c r="F234" s="18"/>
      <c r="G234" s="18"/>
      <c r="H234" s="18"/>
      <c r="I234" s="18"/>
      <c r="J234" s="18"/>
      <c r="K234" s="18"/>
      <c r="L234" s="18"/>
      <c r="M234" s="18"/>
      <c r="N234" s="58"/>
    </row>
    <row r="235">
      <c r="A235" s="61"/>
      <c r="F235" s="18"/>
      <c r="G235" s="18"/>
      <c r="H235" s="18"/>
      <c r="I235" s="18"/>
      <c r="J235" s="18"/>
      <c r="K235" s="18"/>
      <c r="L235" s="18"/>
      <c r="M235" s="18"/>
      <c r="N235" s="58"/>
    </row>
    <row r="236">
      <c r="A236" s="61"/>
      <c r="F236" s="18"/>
      <c r="G236" s="18"/>
      <c r="H236" s="18"/>
      <c r="I236" s="18"/>
      <c r="J236" s="18"/>
      <c r="K236" s="18"/>
      <c r="L236" s="18"/>
      <c r="M236" s="18"/>
      <c r="N236" s="58"/>
    </row>
    <row r="237">
      <c r="A237" s="61"/>
      <c r="F237" s="18"/>
      <c r="G237" s="18"/>
      <c r="H237" s="18"/>
      <c r="I237" s="18"/>
      <c r="J237" s="18"/>
      <c r="K237" s="18"/>
      <c r="L237" s="18"/>
      <c r="M237" s="18"/>
      <c r="N237" s="58"/>
    </row>
    <row r="238">
      <c r="A238" s="61"/>
      <c r="F238" s="18"/>
      <c r="G238" s="18"/>
      <c r="H238" s="18"/>
      <c r="I238" s="18"/>
      <c r="J238" s="18"/>
      <c r="K238" s="18"/>
      <c r="L238" s="18"/>
      <c r="M238" s="18"/>
      <c r="N238" s="58"/>
    </row>
    <row r="239">
      <c r="A239" s="61"/>
      <c r="F239" s="18"/>
      <c r="G239" s="18"/>
      <c r="H239" s="18"/>
      <c r="I239" s="18"/>
      <c r="J239" s="18"/>
      <c r="K239" s="18"/>
      <c r="L239" s="18"/>
      <c r="M239" s="18"/>
      <c r="N239" s="58"/>
    </row>
    <row r="240">
      <c r="A240" s="61"/>
      <c r="F240" s="18"/>
      <c r="G240" s="18"/>
      <c r="H240" s="18"/>
      <c r="I240" s="18"/>
      <c r="J240" s="18"/>
      <c r="K240" s="18"/>
      <c r="L240" s="18"/>
      <c r="M240" s="18"/>
      <c r="N240" s="58"/>
    </row>
    <row r="241">
      <c r="A241" s="61"/>
      <c r="F241" s="18"/>
      <c r="G241" s="18"/>
      <c r="H241" s="18"/>
      <c r="I241" s="18"/>
      <c r="J241" s="18"/>
      <c r="K241" s="18"/>
      <c r="L241" s="18"/>
      <c r="M241" s="18"/>
      <c r="N241" s="58"/>
    </row>
    <row r="242">
      <c r="A242" s="61"/>
      <c r="F242" s="18"/>
      <c r="G242" s="18"/>
      <c r="H242" s="18"/>
      <c r="I242" s="18"/>
      <c r="J242" s="18"/>
      <c r="K242" s="18"/>
      <c r="L242" s="18"/>
      <c r="M242" s="18"/>
      <c r="N242" s="58"/>
    </row>
    <row r="243">
      <c r="A243" s="61"/>
      <c r="F243" s="18"/>
      <c r="G243" s="18"/>
      <c r="H243" s="18"/>
      <c r="I243" s="18"/>
      <c r="J243" s="18"/>
      <c r="K243" s="18"/>
      <c r="L243" s="18"/>
      <c r="M243" s="18"/>
      <c r="N243" s="58"/>
    </row>
    <row r="244">
      <c r="A244" s="61"/>
      <c r="F244" s="18"/>
      <c r="G244" s="18"/>
      <c r="H244" s="18"/>
      <c r="I244" s="18"/>
      <c r="J244" s="18"/>
      <c r="K244" s="18"/>
      <c r="L244" s="18"/>
      <c r="M244" s="18"/>
      <c r="N244" s="58"/>
    </row>
    <row r="245">
      <c r="A245" s="61"/>
      <c r="F245" s="18"/>
      <c r="G245" s="18"/>
      <c r="H245" s="18"/>
      <c r="I245" s="18"/>
      <c r="J245" s="18"/>
      <c r="K245" s="18"/>
      <c r="L245" s="18"/>
      <c r="M245" s="18"/>
      <c r="N245" s="58"/>
    </row>
    <row r="246">
      <c r="A246" s="61"/>
      <c r="F246" s="18"/>
      <c r="G246" s="18"/>
      <c r="H246" s="18"/>
      <c r="I246" s="18"/>
      <c r="J246" s="18"/>
      <c r="K246" s="18"/>
      <c r="L246" s="18"/>
      <c r="M246" s="18"/>
      <c r="N246" s="58"/>
    </row>
    <row r="247">
      <c r="A247" s="61"/>
      <c r="F247" s="18"/>
      <c r="G247" s="18"/>
      <c r="H247" s="18"/>
      <c r="I247" s="18"/>
      <c r="J247" s="18"/>
      <c r="K247" s="18"/>
      <c r="L247" s="18"/>
      <c r="M247" s="18"/>
      <c r="N247" s="58"/>
    </row>
    <row r="248">
      <c r="A248" s="61"/>
      <c r="F248" s="18"/>
      <c r="G248" s="18"/>
      <c r="H248" s="18"/>
      <c r="I248" s="18"/>
      <c r="J248" s="18"/>
      <c r="K248" s="18"/>
      <c r="L248" s="18"/>
      <c r="M248" s="18"/>
      <c r="N248" s="58"/>
    </row>
    <row r="249">
      <c r="A249" s="61"/>
      <c r="F249" s="18"/>
      <c r="G249" s="18"/>
      <c r="H249" s="18"/>
      <c r="I249" s="18"/>
      <c r="J249" s="18"/>
      <c r="K249" s="18"/>
      <c r="L249" s="18"/>
      <c r="M249" s="18"/>
      <c r="N249" s="58"/>
    </row>
    <row r="250">
      <c r="A250" s="61"/>
      <c r="F250" s="18"/>
      <c r="G250" s="18"/>
      <c r="H250" s="18"/>
      <c r="I250" s="18"/>
      <c r="J250" s="18"/>
      <c r="K250" s="18"/>
      <c r="L250" s="18"/>
      <c r="M250" s="18"/>
      <c r="N250" s="58"/>
    </row>
    <row r="251">
      <c r="A251" s="61"/>
      <c r="F251" s="18"/>
      <c r="G251" s="18"/>
      <c r="H251" s="18"/>
      <c r="I251" s="18"/>
      <c r="J251" s="18"/>
      <c r="K251" s="18"/>
      <c r="L251" s="18"/>
      <c r="M251" s="18"/>
      <c r="N251" s="58"/>
    </row>
    <row r="252">
      <c r="A252" s="61"/>
      <c r="F252" s="18"/>
      <c r="G252" s="18"/>
      <c r="H252" s="18"/>
      <c r="I252" s="18"/>
      <c r="J252" s="18"/>
      <c r="K252" s="18"/>
      <c r="L252" s="18"/>
      <c r="M252" s="18"/>
      <c r="N252" s="58"/>
    </row>
    <row r="253">
      <c r="A253" s="61"/>
      <c r="F253" s="18"/>
      <c r="G253" s="18"/>
      <c r="H253" s="18"/>
      <c r="I253" s="18"/>
      <c r="J253" s="18"/>
      <c r="K253" s="18"/>
      <c r="L253" s="18"/>
      <c r="M253" s="18"/>
      <c r="N253" s="58"/>
    </row>
    <row r="254">
      <c r="A254" s="61"/>
      <c r="F254" s="18"/>
      <c r="G254" s="18"/>
      <c r="H254" s="18"/>
      <c r="I254" s="18"/>
      <c r="J254" s="18"/>
      <c r="K254" s="18"/>
      <c r="L254" s="18"/>
      <c r="M254" s="18"/>
      <c r="N254" s="58"/>
    </row>
    <row r="255">
      <c r="A255" s="61"/>
      <c r="F255" s="18"/>
      <c r="G255" s="18"/>
      <c r="H255" s="18"/>
      <c r="I255" s="18"/>
      <c r="J255" s="18"/>
      <c r="K255" s="18"/>
      <c r="L255" s="18"/>
      <c r="M255" s="18"/>
      <c r="N255" s="58"/>
    </row>
    <row r="256">
      <c r="A256" s="61"/>
      <c r="F256" s="18"/>
      <c r="G256" s="18"/>
      <c r="H256" s="18"/>
      <c r="I256" s="18"/>
      <c r="J256" s="18"/>
      <c r="K256" s="18"/>
      <c r="L256" s="18"/>
      <c r="M256" s="18"/>
      <c r="N256" s="58"/>
    </row>
    <row r="257">
      <c r="A257" s="61"/>
      <c r="F257" s="18"/>
      <c r="G257" s="18"/>
      <c r="H257" s="18"/>
      <c r="I257" s="18"/>
      <c r="J257" s="18"/>
      <c r="K257" s="18"/>
      <c r="L257" s="18"/>
      <c r="M257" s="18"/>
      <c r="N257" s="58"/>
    </row>
    <row r="258">
      <c r="A258" s="61"/>
      <c r="F258" s="18"/>
      <c r="G258" s="18"/>
      <c r="H258" s="18"/>
      <c r="I258" s="18"/>
      <c r="J258" s="18"/>
      <c r="K258" s="18"/>
      <c r="L258" s="18"/>
      <c r="M258" s="18"/>
      <c r="N258" s="58"/>
    </row>
    <row r="259">
      <c r="A259" s="61"/>
      <c r="F259" s="18"/>
      <c r="G259" s="18"/>
      <c r="H259" s="18"/>
      <c r="I259" s="18"/>
      <c r="J259" s="18"/>
      <c r="K259" s="18"/>
      <c r="L259" s="18"/>
      <c r="M259" s="18"/>
      <c r="N259" s="58"/>
    </row>
    <row r="260">
      <c r="A260" s="61"/>
      <c r="F260" s="18"/>
      <c r="G260" s="18"/>
      <c r="H260" s="18"/>
      <c r="I260" s="18"/>
      <c r="J260" s="18"/>
      <c r="K260" s="18"/>
      <c r="L260" s="18"/>
      <c r="M260" s="18"/>
      <c r="N260" s="58"/>
    </row>
    <row r="261">
      <c r="A261" s="61"/>
      <c r="F261" s="18"/>
      <c r="G261" s="18"/>
      <c r="H261" s="18"/>
      <c r="I261" s="18"/>
      <c r="J261" s="18"/>
      <c r="K261" s="18"/>
      <c r="L261" s="18"/>
      <c r="M261" s="18"/>
      <c r="N261" s="58"/>
    </row>
    <row r="262">
      <c r="A262" s="61"/>
      <c r="F262" s="18"/>
      <c r="G262" s="18"/>
      <c r="H262" s="18"/>
      <c r="I262" s="18"/>
      <c r="J262" s="18"/>
      <c r="K262" s="18"/>
      <c r="L262" s="18"/>
      <c r="M262" s="18"/>
      <c r="N262" s="58"/>
    </row>
    <row r="263">
      <c r="A263" s="61"/>
      <c r="F263" s="18"/>
      <c r="G263" s="18"/>
      <c r="H263" s="18"/>
      <c r="I263" s="18"/>
      <c r="J263" s="18"/>
      <c r="K263" s="18"/>
      <c r="L263" s="18"/>
      <c r="M263" s="18"/>
      <c r="N263" s="58"/>
    </row>
    <row r="264">
      <c r="A264" s="61"/>
      <c r="F264" s="18"/>
      <c r="G264" s="18"/>
      <c r="H264" s="18"/>
      <c r="I264" s="18"/>
      <c r="J264" s="18"/>
      <c r="K264" s="18"/>
      <c r="L264" s="18"/>
      <c r="M264" s="18"/>
      <c r="N264" s="58"/>
    </row>
    <row r="265">
      <c r="A265" s="61"/>
      <c r="F265" s="18"/>
      <c r="G265" s="18"/>
      <c r="H265" s="18"/>
      <c r="I265" s="18"/>
      <c r="J265" s="18"/>
      <c r="K265" s="18"/>
      <c r="L265" s="18"/>
      <c r="M265" s="18"/>
      <c r="N265" s="58"/>
    </row>
    <row r="266">
      <c r="A266" s="61"/>
      <c r="F266" s="18"/>
      <c r="G266" s="18"/>
      <c r="H266" s="18"/>
      <c r="I266" s="18"/>
      <c r="J266" s="18"/>
      <c r="K266" s="18"/>
      <c r="L266" s="18"/>
      <c r="M266" s="18"/>
      <c r="N266" s="58"/>
    </row>
    <row r="267">
      <c r="A267" s="61"/>
      <c r="F267" s="18"/>
      <c r="G267" s="18"/>
      <c r="H267" s="18"/>
      <c r="I267" s="18"/>
      <c r="J267" s="18"/>
      <c r="K267" s="18"/>
      <c r="L267" s="18"/>
      <c r="M267" s="18"/>
      <c r="N267" s="58"/>
    </row>
    <row r="268">
      <c r="A268" s="61"/>
      <c r="F268" s="18"/>
      <c r="G268" s="18"/>
      <c r="H268" s="18"/>
      <c r="I268" s="18"/>
      <c r="J268" s="18"/>
      <c r="K268" s="18"/>
      <c r="L268" s="18"/>
      <c r="M268" s="18"/>
      <c r="N268" s="58"/>
    </row>
    <row r="269">
      <c r="A269" s="61"/>
      <c r="F269" s="18"/>
      <c r="G269" s="18"/>
      <c r="H269" s="18"/>
      <c r="I269" s="18"/>
      <c r="J269" s="18"/>
      <c r="K269" s="18"/>
      <c r="L269" s="18"/>
      <c r="M269" s="18"/>
      <c r="N269" s="58"/>
    </row>
    <row r="270">
      <c r="A270" s="61"/>
      <c r="F270" s="18"/>
      <c r="G270" s="18"/>
      <c r="H270" s="18"/>
      <c r="I270" s="18"/>
      <c r="J270" s="18"/>
      <c r="K270" s="18"/>
      <c r="L270" s="18"/>
      <c r="M270" s="18"/>
      <c r="N270" s="58"/>
    </row>
    <row r="271">
      <c r="A271" s="61"/>
      <c r="F271" s="18"/>
      <c r="G271" s="18"/>
      <c r="H271" s="18"/>
      <c r="I271" s="18"/>
      <c r="J271" s="18"/>
      <c r="K271" s="18"/>
      <c r="L271" s="18"/>
      <c r="M271" s="18"/>
      <c r="N271" s="58"/>
    </row>
    <row r="272">
      <c r="A272" s="61"/>
      <c r="F272" s="18"/>
      <c r="G272" s="18"/>
      <c r="H272" s="18"/>
      <c r="I272" s="18"/>
      <c r="J272" s="18"/>
      <c r="K272" s="18"/>
      <c r="L272" s="18"/>
      <c r="M272" s="18"/>
      <c r="N272" s="58"/>
    </row>
    <row r="273">
      <c r="A273" s="61"/>
      <c r="F273" s="18"/>
      <c r="G273" s="18"/>
      <c r="H273" s="18"/>
      <c r="I273" s="18"/>
      <c r="J273" s="18"/>
      <c r="K273" s="18"/>
      <c r="L273" s="18"/>
      <c r="M273" s="18"/>
      <c r="N273" s="58"/>
    </row>
    <row r="274">
      <c r="A274" s="61"/>
      <c r="F274" s="18"/>
      <c r="G274" s="18"/>
      <c r="H274" s="18"/>
      <c r="I274" s="18"/>
      <c r="J274" s="18"/>
      <c r="K274" s="18"/>
      <c r="L274" s="18"/>
      <c r="M274" s="18"/>
      <c r="N274" s="58"/>
    </row>
    <row r="275">
      <c r="A275" s="61"/>
      <c r="F275" s="18"/>
      <c r="G275" s="18"/>
      <c r="H275" s="18"/>
      <c r="I275" s="18"/>
      <c r="J275" s="18"/>
      <c r="K275" s="18"/>
      <c r="L275" s="18"/>
      <c r="M275" s="18"/>
      <c r="N275" s="58"/>
    </row>
    <row r="276">
      <c r="A276" s="61"/>
      <c r="F276" s="18"/>
      <c r="G276" s="18"/>
      <c r="H276" s="18"/>
      <c r="I276" s="18"/>
      <c r="J276" s="18"/>
      <c r="K276" s="18"/>
      <c r="L276" s="18"/>
      <c r="M276" s="18"/>
      <c r="N276" s="58"/>
    </row>
    <row r="277">
      <c r="A277" s="61"/>
      <c r="F277" s="18"/>
      <c r="G277" s="18"/>
      <c r="H277" s="18"/>
      <c r="I277" s="18"/>
      <c r="J277" s="18"/>
      <c r="K277" s="18"/>
      <c r="L277" s="18"/>
      <c r="M277" s="18"/>
      <c r="N277" s="58"/>
    </row>
    <row r="278">
      <c r="A278" s="61"/>
      <c r="F278" s="18"/>
      <c r="G278" s="18"/>
      <c r="H278" s="18"/>
      <c r="I278" s="18"/>
      <c r="J278" s="18"/>
      <c r="K278" s="18"/>
      <c r="L278" s="18"/>
      <c r="M278" s="18"/>
      <c r="N278" s="58"/>
    </row>
    <row r="279">
      <c r="A279" s="61"/>
      <c r="F279" s="18"/>
      <c r="G279" s="18"/>
      <c r="H279" s="18"/>
      <c r="I279" s="18"/>
      <c r="J279" s="18"/>
      <c r="K279" s="18"/>
      <c r="L279" s="18"/>
      <c r="M279" s="18"/>
      <c r="N279" s="58"/>
    </row>
    <row r="280">
      <c r="A280" s="61"/>
      <c r="F280" s="18"/>
      <c r="G280" s="18"/>
      <c r="H280" s="18"/>
      <c r="I280" s="18"/>
      <c r="J280" s="18"/>
      <c r="K280" s="18"/>
      <c r="L280" s="18"/>
      <c r="M280" s="18"/>
      <c r="N280" s="58"/>
    </row>
    <row r="281">
      <c r="A281" s="61"/>
      <c r="F281" s="18"/>
      <c r="G281" s="18"/>
      <c r="H281" s="18"/>
      <c r="I281" s="18"/>
      <c r="J281" s="18"/>
      <c r="K281" s="18"/>
      <c r="L281" s="18"/>
      <c r="M281" s="18"/>
      <c r="N281" s="58"/>
    </row>
    <row r="282">
      <c r="A282" s="61"/>
      <c r="F282" s="18"/>
      <c r="G282" s="18"/>
      <c r="H282" s="18"/>
      <c r="I282" s="18"/>
      <c r="J282" s="18"/>
      <c r="K282" s="18"/>
      <c r="L282" s="18"/>
      <c r="M282" s="18"/>
      <c r="N282" s="58"/>
    </row>
    <row r="283">
      <c r="A283" s="61"/>
      <c r="F283" s="18"/>
      <c r="G283" s="18"/>
      <c r="H283" s="18"/>
      <c r="I283" s="18"/>
      <c r="J283" s="18"/>
      <c r="K283" s="18"/>
      <c r="L283" s="18"/>
      <c r="M283" s="18"/>
      <c r="N283" s="58"/>
    </row>
    <row r="284">
      <c r="A284" s="61"/>
      <c r="F284" s="18"/>
      <c r="G284" s="18"/>
      <c r="H284" s="18"/>
      <c r="I284" s="18"/>
      <c r="J284" s="18"/>
      <c r="K284" s="18"/>
      <c r="L284" s="18"/>
      <c r="M284" s="18"/>
      <c r="N284" s="58"/>
    </row>
    <row r="285">
      <c r="A285" s="61"/>
      <c r="F285" s="18"/>
      <c r="G285" s="18"/>
      <c r="H285" s="18"/>
      <c r="I285" s="18"/>
      <c r="J285" s="18"/>
      <c r="K285" s="18"/>
      <c r="L285" s="18"/>
      <c r="M285" s="18"/>
      <c r="N285" s="58"/>
    </row>
    <row r="286">
      <c r="A286" s="61"/>
      <c r="F286" s="18"/>
      <c r="G286" s="18"/>
      <c r="H286" s="18"/>
      <c r="I286" s="18"/>
      <c r="J286" s="18"/>
      <c r="K286" s="18"/>
      <c r="L286" s="18"/>
      <c r="M286" s="18"/>
      <c r="N286" s="58"/>
    </row>
    <row r="287">
      <c r="A287" s="61"/>
      <c r="F287" s="18"/>
      <c r="G287" s="18"/>
      <c r="H287" s="18"/>
      <c r="I287" s="18"/>
      <c r="J287" s="18"/>
      <c r="K287" s="18"/>
      <c r="L287" s="18"/>
      <c r="M287" s="18"/>
      <c r="N287" s="58"/>
    </row>
    <row r="288">
      <c r="A288" s="61"/>
      <c r="F288" s="18"/>
      <c r="G288" s="18"/>
      <c r="H288" s="18"/>
      <c r="I288" s="18"/>
      <c r="J288" s="18"/>
      <c r="K288" s="18"/>
      <c r="L288" s="18"/>
      <c r="M288" s="18"/>
      <c r="N288" s="58"/>
    </row>
    <row r="289">
      <c r="A289" s="61"/>
      <c r="F289" s="18"/>
      <c r="G289" s="18"/>
      <c r="H289" s="18"/>
      <c r="I289" s="18"/>
      <c r="J289" s="18"/>
      <c r="K289" s="18"/>
      <c r="L289" s="18"/>
      <c r="M289" s="18"/>
      <c r="N289" s="58"/>
    </row>
    <row r="290">
      <c r="A290" s="61"/>
      <c r="F290" s="18"/>
      <c r="G290" s="18"/>
      <c r="H290" s="18"/>
      <c r="I290" s="18"/>
      <c r="J290" s="18"/>
      <c r="K290" s="18"/>
      <c r="L290" s="18"/>
      <c r="M290" s="18"/>
      <c r="N290" s="58"/>
    </row>
    <row r="291">
      <c r="A291" s="61"/>
      <c r="F291" s="18"/>
      <c r="G291" s="18"/>
      <c r="H291" s="18"/>
      <c r="I291" s="18"/>
      <c r="J291" s="18"/>
      <c r="K291" s="18"/>
      <c r="L291" s="18"/>
      <c r="M291" s="18"/>
      <c r="N291" s="58"/>
    </row>
    <row r="292">
      <c r="A292" s="61"/>
      <c r="F292" s="18"/>
      <c r="G292" s="18"/>
      <c r="H292" s="18"/>
      <c r="I292" s="18"/>
      <c r="J292" s="18"/>
      <c r="K292" s="18"/>
      <c r="L292" s="18"/>
      <c r="M292" s="18"/>
      <c r="N292" s="58"/>
    </row>
    <row r="293">
      <c r="A293" s="61"/>
      <c r="F293" s="18"/>
      <c r="G293" s="18"/>
      <c r="H293" s="18"/>
      <c r="I293" s="18"/>
      <c r="J293" s="18"/>
      <c r="K293" s="18"/>
      <c r="L293" s="18"/>
      <c r="M293" s="18"/>
      <c r="N293" s="58"/>
    </row>
    <row r="294">
      <c r="A294" s="61"/>
      <c r="F294" s="18"/>
      <c r="G294" s="18"/>
      <c r="H294" s="18"/>
      <c r="I294" s="18"/>
      <c r="J294" s="18"/>
      <c r="K294" s="18"/>
      <c r="L294" s="18"/>
      <c r="M294" s="18"/>
      <c r="N294" s="58"/>
    </row>
    <row r="295">
      <c r="A295" s="61"/>
      <c r="F295" s="18"/>
      <c r="G295" s="18"/>
      <c r="H295" s="18"/>
      <c r="I295" s="18"/>
      <c r="J295" s="18"/>
      <c r="K295" s="18"/>
      <c r="L295" s="18"/>
      <c r="M295" s="18"/>
      <c r="N295" s="58"/>
    </row>
    <row r="296">
      <c r="A296" s="61"/>
      <c r="F296" s="18"/>
      <c r="G296" s="18"/>
      <c r="H296" s="18"/>
      <c r="I296" s="18"/>
      <c r="J296" s="18"/>
      <c r="K296" s="18"/>
      <c r="L296" s="18"/>
      <c r="M296" s="18"/>
      <c r="N296" s="58"/>
    </row>
    <row r="297">
      <c r="A297" s="61"/>
      <c r="F297" s="18"/>
      <c r="G297" s="18"/>
      <c r="H297" s="18"/>
      <c r="I297" s="18"/>
      <c r="J297" s="18"/>
      <c r="K297" s="18"/>
      <c r="L297" s="18"/>
      <c r="M297" s="18"/>
      <c r="N297" s="58"/>
    </row>
    <row r="298">
      <c r="A298" s="61"/>
      <c r="F298" s="18"/>
      <c r="G298" s="18"/>
      <c r="H298" s="18"/>
      <c r="I298" s="18"/>
      <c r="J298" s="18"/>
      <c r="K298" s="18"/>
      <c r="L298" s="18"/>
      <c r="M298" s="18"/>
      <c r="N298" s="58"/>
    </row>
    <row r="299">
      <c r="A299" s="61"/>
      <c r="F299" s="18"/>
      <c r="G299" s="18"/>
      <c r="H299" s="18"/>
      <c r="I299" s="18"/>
      <c r="J299" s="18"/>
      <c r="K299" s="18"/>
      <c r="L299" s="18"/>
      <c r="M299" s="18"/>
      <c r="N299" s="58"/>
    </row>
    <row r="300">
      <c r="A300" s="61"/>
      <c r="F300" s="18"/>
      <c r="G300" s="18"/>
      <c r="H300" s="18"/>
      <c r="I300" s="18"/>
      <c r="J300" s="18"/>
      <c r="K300" s="18"/>
      <c r="L300" s="18"/>
      <c r="M300" s="18"/>
      <c r="N300" s="58"/>
    </row>
    <row r="301">
      <c r="A301" s="61"/>
      <c r="F301" s="18"/>
      <c r="G301" s="18"/>
      <c r="H301" s="18"/>
      <c r="I301" s="18"/>
      <c r="J301" s="18"/>
      <c r="K301" s="18"/>
      <c r="L301" s="18"/>
      <c r="M301" s="18"/>
      <c r="N301" s="58"/>
    </row>
    <row r="302">
      <c r="A302" s="61"/>
      <c r="F302" s="18"/>
      <c r="G302" s="18"/>
      <c r="H302" s="18"/>
      <c r="I302" s="18"/>
      <c r="J302" s="18"/>
      <c r="K302" s="18"/>
      <c r="L302" s="18"/>
      <c r="M302" s="18"/>
      <c r="N302" s="58"/>
    </row>
    <row r="303">
      <c r="A303" s="61"/>
      <c r="F303" s="18"/>
      <c r="G303" s="18"/>
      <c r="H303" s="18"/>
      <c r="I303" s="18"/>
      <c r="J303" s="18"/>
      <c r="K303" s="18"/>
      <c r="L303" s="18"/>
      <c r="M303" s="18"/>
      <c r="N303" s="58"/>
    </row>
    <row r="304">
      <c r="A304" s="61"/>
      <c r="F304" s="18"/>
      <c r="G304" s="18"/>
      <c r="H304" s="18"/>
      <c r="I304" s="18"/>
      <c r="J304" s="18"/>
      <c r="K304" s="18"/>
      <c r="L304" s="18"/>
      <c r="M304" s="18"/>
      <c r="N304" s="58"/>
    </row>
    <row r="305">
      <c r="A305" s="61"/>
      <c r="F305" s="18"/>
      <c r="G305" s="18"/>
      <c r="H305" s="18"/>
      <c r="I305" s="18"/>
      <c r="J305" s="18"/>
      <c r="K305" s="18"/>
      <c r="L305" s="18"/>
      <c r="M305" s="18"/>
      <c r="N305" s="58"/>
    </row>
    <row r="306">
      <c r="A306" s="61"/>
      <c r="F306" s="18"/>
      <c r="G306" s="18"/>
      <c r="H306" s="18"/>
      <c r="I306" s="18"/>
      <c r="J306" s="18"/>
      <c r="K306" s="18"/>
      <c r="L306" s="18"/>
      <c r="M306" s="18"/>
      <c r="N306" s="58"/>
    </row>
    <row r="307">
      <c r="A307" s="61"/>
      <c r="F307" s="18"/>
      <c r="G307" s="18"/>
      <c r="H307" s="18"/>
      <c r="I307" s="18"/>
      <c r="J307" s="18"/>
      <c r="K307" s="18"/>
      <c r="L307" s="18"/>
      <c r="M307" s="18"/>
      <c r="N307" s="58"/>
    </row>
    <row r="308">
      <c r="A308" s="61"/>
      <c r="F308" s="18"/>
      <c r="G308" s="18"/>
      <c r="H308" s="18"/>
      <c r="I308" s="18"/>
      <c r="J308" s="18"/>
      <c r="K308" s="18"/>
      <c r="L308" s="18"/>
      <c r="M308" s="18"/>
      <c r="N308" s="58"/>
    </row>
    <row r="309">
      <c r="A309" s="61"/>
      <c r="F309" s="18"/>
      <c r="G309" s="18"/>
      <c r="H309" s="18"/>
      <c r="I309" s="18"/>
      <c r="J309" s="18"/>
      <c r="K309" s="18"/>
      <c r="L309" s="18"/>
      <c r="M309" s="18"/>
      <c r="N309" s="58"/>
    </row>
    <row r="310">
      <c r="A310" s="61"/>
      <c r="F310" s="18"/>
      <c r="G310" s="18"/>
      <c r="H310" s="18"/>
      <c r="I310" s="18"/>
      <c r="J310" s="18"/>
      <c r="K310" s="18"/>
      <c r="L310" s="18"/>
      <c r="M310" s="18"/>
      <c r="N310" s="58"/>
    </row>
    <row r="311">
      <c r="A311" s="61"/>
      <c r="F311" s="18"/>
      <c r="G311" s="18"/>
      <c r="H311" s="18"/>
      <c r="I311" s="18"/>
      <c r="J311" s="18"/>
      <c r="K311" s="18"/>
      <c r="L311" s="18"/>
      <c r="M311" s="18"/>
      <c r="N311" s="58"/>
    </row>
    <row r="312">
      <c r="A312" s="61"/>
      <c r="F312" s="18"/>
      <c r="G312" s="18"/>
      <c r="H312" s="18"/>
      <c r="I312" s="18"/>
      <c r="J312" s="18"/>
      <c r="K312" s="18"/>
      <c r="L312" s="18"/>
      <c r="M312" s="18"/>
      <c r="N312" s="58"/>
    </row>
    <row r="313">
      <c r="A313" s="61"/>
      <c r="F313" s="18"/>
      <c r="G313" s="18"/>
      <c r="H313" s="18"/>
      <c r="I313" s="18"/>
      <c r="J313" s="18"/>
      <c r="K313" s="18"/>
      <c r="L313" s="18"/>
      <c r="M313" s="18"/>
      <c r="N313" s="58"/>
    </row>
    <row r="314">
      <c r="A314" s="61"/>
      <c r="F314" s="18"/>
      <c r="G314" s="18"/>
      <c r="H314" s="18"/>
      <c r="I314" s="18"/>
      <c r="J314" s="18"/>
      <c r="K314" s="18"/>
      <c r="L314" s="18"/>
      <c r="M314" s="18"/>
      <c r="N314" s="58"/>
    </row>
    <row r="315">
      <c r="A315" s="61"/>
      <c r="F315" s="18"/>
      <c r="G315" s="18"/>
      <c r="H315" s="18"/>
      <c r="I315" s="18"/>
      <c r="J315" s="18"/>
      <c r="K315" s="18"/>
      <c r="L315" s="18"/>
      <c r="M315" s="18"/>
      <c r="N315" s="58"/>
    </row>
    <row r="316">
      <c r="A316" s="61"/>
      <c r="F316" s="18"/>
      <c r="G316" s="18"/>
      <c r="H316" s="18"/>
      <c r="I316" s="18"/>
      <c r="J316" s="18"/>
      <c r="K316" s="18"/>
      <c r="L316" s="18"/>
      <c r="M316" s="18"/>
      <c r="N316" s="58"/>
    </row>
    <row r="317">
      <c r="A317" s="61"/>
      <c r="F317" s="18"/>
      <c r="G317" s="18"/>
      <c r="H317" s="18"/>
      <c r="I317" s="18"/>
      <c r="J317" s="18"/>
      <c r="K317" s="18"/>
      <c r="L317" s="18"/>
      <c r="M317" s="18"/>
      <c r="N317" s="58"/>
    </row>
    <row r="318">
      <c r="A318" s="61"/>
      <c r="F318" s="18"/>
      <c r="G318" s="18"/>
      <c r="H318" s="18"/>
      <c r="I318" s="18"/>
      <c r="J318" s="18"/>
      <c r="K318" s="18"/>
      <c r="L318" s="18"/>
      <c r="M318" s="18"/>
      <c r="N318" s="58"/>
    </row>
    <row r="319">
      <c r="A319" s="61"/>
      <c r="F319" s="18"/>
      <c r="G319" s="18"/>
      <c r="H319" s="18"/>
      <c r="I319" s="18"/>
      <c r="J319" s="18"/>
      <c r="K319" s="18"/>
      <c r="L319" s="18"/>
      <c r="M319" s="18"/>
      <c r="N319" s="58"/>
    </row>
    <row r="320">
      <c r="A320" s="61"/>
      <c r="F320" s="18"/>
      <c r="G320" s="18"/>
      <c r="H320" s="18"/>
      <c r="I320" s="18"/>
      <c r="J320" s="18"/>
      <c r="K320" s="18"/>
      <c r="L320" s="18"/>
      <c r="M320" s="18"/>
      <c r="N320" s="58"/>
    </row>
    <row r="321">
      <c r="A321" s="61"/>
      <c r="F321" s="18"/>
      <c r="G321" s="18"/>
      <c r="H321" s="18"/>
      <c r="I321" s="18"/>
      <c r="J321" s="18"/>
      <c r="K321" s="18"/>
      <c r="L321" s="18"/>
      <c r="M321" s="18"/>
      <c r="N321" s="58"/>
    </row>
    <row r="322">
      <c r="A322" s="61"/>
      <c r="F322" s="18"/>
      <c r="G322" s="18"/>
      <c r="H322" s="18"/>
      <c r="I322" s="18"/>
      <c r="J322" s="18"/>
      <c r="K322" s="18"/>
      <c r="L322" s="18"/>
      <c r="M322" s="18"/>
      <c r="N322" s="58"/>
    </row>
    <row r="323">
      <c r="A323" s="61"/>
      <c r="F323" s="18"/>
      <c r="G323" s="18"/>
      <c r="H323" s="18"/>
      <c r="I323" s="18"/>
      <c r="J323" s="18"/>
      <c r="K323" s="18"/>
      <c r="L323" s="18"/>
      <c r="M323" s="18"/>
      <c r="N323" s="58"/>
    </row>
    <row r="324">
      <c r="A324" s="61"/>
      <c r="F324" s="18"/>
      <c r="G324" s="18"/>
      <c r="H324" s="18"/>
      <c r="I324" s="18"/>
      <c r="J324" s="18"/>
      <c r="K324" s="18"/>
      <c r="L324" s="18"/>
      <c r="M324" s="18"/>
      <c r="N324" s="58"/>
    </row>
    <row r="325">
      <c r="A325" s="61"/>
      <c r="F325" s="18"/>
      <c r="G325" s="18"/>
      <c r="H325" s="18"/>
      <c r="I325" s="18"/>
      <c r="J325" s="18"/>
      <c r="K325" s="18"/>
      <c r="L325" s="18"/>
      <c r="M325" s="18"/>
      <c r="N325" s="58"/>
    </row>
    <row r="326">
      <c r="A326" s="61"/>
      <c r="F326" s="18"/>
      <c r="G326" s="18"/>
      <c r="H326" s="18"/>
      <c r="I326" s="18"/>
      <c r="J326" s="18"/>
      <c r="K326" s="18"/>
      <c r="L326" s="18"/>
      <c r="M326" s="18"/>
      <c r="N326" s="58"/>
    </row>
    <row r="327">
      <c r="A327" s="61"/>
      <c r="F327" s="18"/>
      <c r="G327" s="18"/>
      <c r="H327" s="18"/>
      <c r="I327" s="18"/>
      <c r="J327" s="18"/>
      <c r="K327" s="18"/>
      <c r="L327" s="18"/>
      <c r="M327" s="18"/>
      <c r="N327" s="58"/>
    </row>
    <row r="328">
      <c r="A328" s="61"/>
      <c r="F328" s="18"/>
      <c r="G328" s="18"/>
      <c r="H328" s="18"/>
      <c r="I328" s="18"/>
      <c r="J328" s="18"/>
      <c r="K328" s="18"/>
      <c r="L328" s="18"/>
      <c r="M328" s="18"/>
      <c r="N328" s="58"/>
    </row>
    <row r="329">
      <c r="A329" s="61"/>
      <c r="F329" s="18"/>
      <c r="G329" s="18"/>
      <c r="H329" s="18"/>
      <c r="I329" s="18"/>
      <c r="J329" s="18"/>
      <c r="K329" s="18"/>
      <c r="L329" s="18"/>
      <c r="M329" s="18"/>
      <c r="N329" s="58"/>
    </row>
    <row r="330">
      <c r="A330" s="61"/>
      <c r="F330" s="18"/>
      <c r="G330" s="18"/>
      <c r="H330" s="18"/>
      <c r="I330" s="18"/>
      <c r="J330" s="18"/>
      <c r="K330" s="18"/>
      <c r="L330" s="18"/>
      <c r="M330" s="18"/>
      <c r="N330" s="58"/>
    </row>
    <row r="331">
      <c r="A331" s="61"/>
      <c r="F331" s="18"/>
      <c r="G331" s="18"/>
      <c r="H331" s="18"/>
      <c r="I331" s="18"/>
      <c r="J331" s="18"/>
      <c r="K331" s="18"/>
      <c r="L331" s="18"/>
      <c r="M331" s="18"/>
      <c r="N331" s="58"/>
    </row>
    <row r="332">
      <c r="A332" s="61"/>
      <c r="F332" s="18"/>
      <c r="G332" s="18"/>
      <c r="H332" s="18"/>
      <c r="I332" s="18"/>
      <c r="J332" s="18"/>
      <c r="K332" s="18"/>
      <c r="L332" s="18"/>
      <c r="M332" s="18"/>
      <c r="N332" s="58"/>
    </row>
    <row r="333">
      <c r="A333" s="61"/>
      <c r="F333" s="18"/>
      <c r="G333" s="18"/>
      <c r="H333" s="18"/>
      <c r="I333" s="18"/>
      <c r="J333" s="18"/>
      <c r="K333" s="18"/>
      <c r="L333" s="18"/>
      <c r="M333" s="18"/>
      <c r="N333" s="58"/>
    </row>
    <row r="334">
      <c r="A334" s="61"/>
      <c r="F334" s="18"/>
      <c r="G334" s="18"/>
      <c r="H334" s="18"/>
      <c r="I334" s="18"/>
      <c r="J334" s="18"/>
      <c r="K334" s="18"/>
      <c r="L334" s="18"/>
      <c r="M334" s="18"/>
      <c r="N334" s="58"/>
    </row>
    <row r="335">
      <c r="A335" s="61"/>
      <c r="F335" s="18"/>
      <c r="G335" s="18"/>
      <c r="H335" s="18"/>
      <c r="I335" s="18"/>
      <c r="J335" s="18"/>
      <c r="K335" s="18"/>
      <c r="L335" s="18"/>
      <c r="M335" s="18"/>
      <c r="N335" s="58"/>
    </row>
    <row r="336">
      <c r="A336" s="61"/>
      <c r="F336" s="18"/>
      <c r="G336" s="18"/>
      <c r="H336" s="18"/>
      <c r="I336" s="18"/>
      <c r="J336" s="18"/>
      <c r="K336" s="18"/>
      <c r="L336" s="18"/>
      <c r="M336" s="18"/>
      <c r="N336" s="58"/>
    </row>
    <row r="337">
      <c r="A337" s="61"/>
      <c r="F337" s="18"/>
      <c r="G337" s="18"/>
      <c r="H337" s="18"/>
      <c r="I337" s="18"/>
      <c r="J337" s="18"/>
      <c r="K337" s="18"/>
      <c r="L337" s="18"/>
      <c r="M337" s="18"/>
      <c r="N337" s="58"/>
    </row>
    <row r="338">
      <c r="A338" s="61"/>
      <c r="F338" s="18"/>
      <c r="G338" s="18"/>
      <c r="H338" s="18"/>
      <c r="I338" s="18"/>
      <c r="J338" s="18"/>
      <c r="K338" s="18"/>
      <c r="L338" s="18"/>
      <c r="M338" s="18"/>
      <c r="N338" s="58"/>
    </row>
    <row r="339">
      <c r="A339" s="61"/>
      <c r="F339" s="18"/>
      <c r="G339" s="18"/>
      <c r="H339" s="18"/>
      <c r="I339" s="18"/>
      <c r="J339" s="18"/>
      <c r="K339" s="18"/>
      <c r="L339" s="18"/>
      <c r="M339" s="18"/>
      <c r="N339" s="58"/>
    </row>
    <row r="340">
      <c r="A340" s="61"/>
      <c r="F340" s="18"/>
      <c r="G340" s="18"/>
      <c r="H340" s="18"/>
      <c r="I340" s="18"/>
      <c r="J340" s="18"/>
      <c r="K340" s="18"/>
      <c r="L340" s="18"/>
      <c r="M340" s="18"/>
      <c r="N340" s="58"/>
    </row>
    <row r="341">
      <c r="A341" s="61"/>
      <c r="F341" s="18"/>
      <c r="G341" s="18"/>
      <c r="H341" s="18"/>
      <c r="I341" s="18"/>
      <c r="J341" s="18"/>
      <c r="K341" s="18"/>
      <c r="L341" s="18"/>
      <c r="M341" s="18"/>
      <c r="N341" s="58"/>
    </row>
    <row r="342">
      <c r="A342" s="61"/>
      <c r="F342" s="18"/>
      <c r="G342" s="18"/>
      <c r="H342" s="18"/>
      <c r="I342" s="18"/>
      <c r="J342" s="18"/>
      <c r="K342" s="18"/>
      <c r="L342" s="18"/>
      <c r="M342" s="18"/>
      <c r="N342" s="58"/>
    </row>
    <row r="343">
      <c r="A343" s="61"/>
      <c r="F343" s="18"/>
      <c r="G343" s="18"/>
      <c r="H343" s="18"/>
      <c r="I343" s="18"/>
      <c r="J343" s="18"/>
      <c r="K343" s="18"/>
      <c r="L343" s="18"/>
      <c r="M343" s="18"/>
      <c r="N343" s="58"/>
    </row>
    <row r="344">
      <c r="A344" s="61"/>
      <c r="F344" s="18"/>
      <c r="G344" s="18"/>
      <c r="H344" s="18"/>
      <c r="I344" s="18"/>
      <c r="J344" s="18"/>
      <c r="K344" s="18"/>
      <c r="L344" s="18"/>
      <c r="M344" s="18"/>
      <c r="N344" s="58"/>
    </row>
    <row r="345">
      <c r="A345" s="61"/>
      <c r="F345" s="18"/>
      <c r="G345" s="18"/>
      <c r="H345" s="18"/>
      <c r="I345" s="18"/>
      <c r="J345" s="18"/>
      <c r="K345" s="18"/>
      <c r="L345" s="18"/>
      <c r="M345" s="18"/>
      <c r="N345" s="58"/>
    </row>
    <row r="346">
      <c r="A346" s="61"/>
      <c r="F346" s="18"/>
      <c r="G346" s="18"/>
      <c r="H346" s="18"/>
      <c r="I346" s="18"/>
      <c r="J346" s="18"/>
      <c r="K346" s="18"/>
      <c r="L346" s="18"/>
      <c r="M346" s="18"/>
      <c r="N346" s="58"/>
    </row>
    <row r="347">
      <c r="A347" s="61"/>
      <c r="F347" s="18"/>
      <c r="G347" s="18"/>
      <c r="H347" s="18"/>
      <c r="I347" s="18"/>
      <c r="J347" s="18"/>
      <c r="K347" s="18"/>
      <c r="L347" s="18"/>
      <c r="M347" s="18"/>
      <c r="N347" s="58"/>
    </row>
    <row r="348">
      <c r="A348" s="61"/>
      <c r="F348" s="18"/>
      <c r="G348" s="18"/>
      <c r="H348" s="18"/>
      <c r="I348" s="18"/>
      <c r="J348" s="18"/>
      <c r="K348" s="18"/>
      <c r="L348" s="18"/>
      <c r="M348" s="18"/>
      <c r="N348" s="58"/>
    </row>
    <row r="349">
      <c r="A349" s="61"/>
      <c r="F349" s="18"/>
      <c r="G349" s="18"/>
      <c r="H349" s="18"/>
      <c r="I349" s="18"/>
      <c r="J349" s="18"/>
      <c r="K349" s="18"/>
      <c r="L349" s="18"/>
      <c r="M349" s="18"/>
      <c r="N349" s="58"/>
    </row>
    <row r="350">
      <c r="A350" s="61"/>
      <c r="F350" s="18"/>
      <c r="G350" s="18"/>
      <c r="H350" s="18"/>
      <c r="I350" s="18"/>
      <c r="J350" s="18"/>
      <c r="K350" s="18"/>
      <c r="L350" s="18"/>
      <c r="M350" s="18"/>
      <c r="N350" s="58"/>
    </row>
    <row r="351">
      <c r="A351" s="61"/>
      <c r="F351" s="18"/>
      <c r="G351" s="18"/>
      <c r="H351" s="18"/>
      <c r="I351" s="18"/>
      <c r="J351" s="18"/>
      <c r="K351" s="18"/>
      <c r="L351" s="18"/>
      <c r="M351" s="18"/>
      <c r="N351" s="58"/>
    </row>
    <row r="352">
      <c r="A352" s="61"/>
      <c r="F352" s="18"/>
      <c r="G352" s="18"/>
      <c r="H352" s="18"/>
      <c r="I352" s="18"/>
      <c r="J352" s="18"/>
      <c r="K352" s="18"/>
      <c r="L352" s="18"/>
      <c r="M352" s="18"/>
      <c r="N352" s="58"/>
    </row>
    <row r="353">
      <c r="A353" s="61"/>
      <c r="F353" s="18"/>
      <c r="G353" s="18"/>
      <c r="H353" s="18"/>
      <c r="I353" s="18"/>
      <c r="J353" s="18"/>
      <c r="K353" s="18"/>
      <c r="L353" s="18"/>
      <c r="M353" s="18"/>
      <c r="N353" s="58"/>
    </row>
    <row r="354">
      <c r="A354" s="61"/>
      <c r="F354" s="18"/>
      <c r="G354" s="18"/>
      <c r="H354" s="18"/>
      <c r="I354" s="18"/>
      <c r="J354" s="18"/>
      <c r="K354" s="18"/>
      <c r="L354" s="18"/>
      <c r="M354" s="18"/>
      <c r="N354" s="58"/>
    </row>
    <row r="355">
      <c r="A355" s="61"/>
      <c r="F355" s="18"/>
      <c r="G355" s="18"/>
      <c r="H355" s="18"/>
      <c r="I355" s="18"/>
      <c r="J355" s="18"/>
      <c r="K355" s="18"/>
      <c r="L355" s="18"/>
      <c r="M355" s="18"/>
      <c r="N355" s="58"/>
    </row>
    <row r="356">
      <c r="A356" s="61"/>
      <c r="F356" s="18"/>
      <c r="G356" s="18"/>
      <c r="H356" s="18"/>
      <c r="I356" s="18"/>
      <c r="J356" s="18"/>
      <c r="K356" s="18"/>
      <c r="L356" s="18"/>
      <c r="M356" s="18"/>
      <c r="N356" s="58"/>
    </row>
    <row r="357">
      <c r="A357" s="61"/>
      <c r="F357" s="18"/>
      <c r="G357" s="18"/>
      <c r="H357" s="18"/>
      <c r="I357" s="18"/>
      <c r="J357" s="18"/>
      <c r="K357" s="18"/>
      <c r="L357" s="18"/>
      <c r="M357" s="18"/>
      <c r="N357" s="58"/>
    </row>
    <row r="358">
      <c r="A358" s="61"/>
      <c r="F358" s="18"/>
      <c r="G358" s="18"/>
      <c r="H358" s="18"/>
      <c r="I358" s="18"/>
      <c r="J358" s="18"/>
      <c r="K358" s="18"/>
      <c r="L358" s="18"/>
      <c r="M358" s="18"/>
      <c r="N358" s="58"/>
    </row>
    <row r="359">
      <c r="A359" s="61"/>
      <c r="F359" s="18"/>
      <c r="G359" s="18"/>
      <c r="H359" s="18"/>
      <c r="I359" s="18"/>
      <c r="J359" s="18"/>
      <c r="K359" s="18"/>
      <c r="L359" s="18"/>
      <c r="M359" s="18"/>
      <c r="N359" s="58"/>
    </row>
    <row r="360">
      <c r="A360" s="61"/>
      <c r="F360" s="18"/>
      <c r="G360" s="18"/>
      <c r="H360" s="18"/>
      <c r="I360" s="18"/>
      <c r="J360" s="18"/>
      <c r="K360" s="18"/>
      <c r="L360" s="18"/>
      <c r="M360" s="18"/>
      <c r="N360" s="58"/>
    </row>
    <row r="361">
      <c r="A361" s="61"/>
      <c r="F361" s="18"/>
      <c r="G361" s="18"/>
      <c r="H361" s="18"/>
      <c r="I361" s="18"/>
      <c r="J361" s="18"/>
      <c r="K361" s="18"/>
      <c r="L361" s="18"/>
      <c r="M361" s="18"/>
      <c r="N361" s="58"/>
    </row>
    <row r="362">
      <c r="A362" s="61"/>
      <c r="F362" s="18"/>
      <c r="G362" s="18"/>
      <c r="H362" s="18"/>
      <c r="I362" s="18"/>
      <c r="J362" s="18"/>
      <c r="K362" s="18"/>
      <c r="L362" s="18"/>
      <c r="M362" s="18"/>
      <c r="N362" s="58"/>
    </row>
    <row r="363">
      <c r="A363" s="61"/>
      <c r="F363" s="18"/>
      <c r="G363" s="18"/>
      <c r="H363" s="18"/>
      <c r="I363" s="18"/>
      <c r="J363" s="18"/>
      <c r="K363" s="18"/>
      <c r="L363" s="18"/>
      <c r="M363" s="18"/>
      <c r="N363" s="58"/>
    </row>
    <row r="364">
      <c r="A364" s="61"/>
      <c r="F364" s="18"/>
      <c r="G364" s="18"/>
      <c r="H364" s="18"/>
      <c r="I364" s="18"/>
      <c r="J364" s="18"/>
      <c r="K364" s="18"/>
      <c r="L364" s="18"/>
      <c r="M364" s="18"/>
      <c r="N364" s="58"/>
    </row>
    <row r="365">
      <c r="A365" s="61"/>
      <c r="F365" s="18"/>
      <c r="G365" s="18"/>
      <c r="H365" s="18"/>
      <c r="I365" s="18"/>
      <c r="J365" s="18"/>
      <c r="K365" s="18"/>
      <c r="L365" s="18"/>
      <c r="M365" s="18"/>
      <c r="N365" s="58"/>
    </row>
    <row r="366">
      <c r="A366" s="61"/>
      <c r="F366" s="18"/>
      <c r="G366" s="18"/>
      <c r="H366" s="18"/>
      <c r="I366" s="18"/>
      <c r="J366" s="18"/>
      <c r="K366" s="18"/>
      <c r="L366" s="18"/>
      <c r="M366" s="18"/>
      <c r="N366" s="58"/>
    </row>
    <row r="367">
      <c r="A367" s="61"/>
      <c r="F367" s="18"/>
      <c r="G367" s="18"/>
      <c r="H367" s="18"/>
      <c r="I367" s="18"/>
      <c r="J367" s="18"/>
      <c r="K367" s="18"/>
      <c r="L367" s="18"/>
      <c r="M367" s="18"/>
      <c r="N367" s="58"/>
    </row>
    <row r="368">
      <c r="A368" s="61"/>
      <c r="F368" s="18"/>
      <c r="G368" s="18"/>
      <c r="H368" s="18"/>
      <c r="I368" s="18"/>
      <c r="J368" s="18"/>
      <c r="K368" s="18"/>
      <c r="L368" s="18"/>
      <c r="M368" s="18"/>
      <c r="N368" s="58"/>
    </row>
    <row r="369">
      <c r="A369" s="61"/>
      <c r="F369" s="18"/>
      <c r="G369" s="18"/>
      <c r="H369" s="18"/>
      <c r="I369" s="18"/>
      <c r="J369" s="18"/>
      <c r="K369" s="18"/>
      <c r="L369" s="18"/>
      <c r="M369" s="18"/>
      <c r="N369" s="58"/>
    </row>
    <row r="370">
      <c r="A370" s="61"/>
      <c r="F370" s="18"/>
      <c r="G370" s="18"/>
      <c r="H370" s="18"/>
      <c r="I370" s="18"/>
      <c r="J370" s="18"/>
      <c r="K370" s="18"/>
      <c r="L370" s="18"/>
      <c r="M370" s="18"/>
      <c r="N370" s="58"/>
    </row>
    <row r="371">
      <c r="A371" s="61"/>
      <c r="F371" s="18"/>
      <c r="G371" s="18"/>
      <c r="H371" s="18"/>
      <c r="I371" s="18"/>
      <c r="J371" s="18"/>
      <c r="K371" s="18"/>
      <c r="L371" s="18"/>
      <c r="M371" s="18"/>
      <c r="N371" s="58"/>
    </row>
    <row r="372">
      <c r="A372" s="61"/>
      <c r="F372" s="18"/>
      <c r="G372" s="18"/>
      <c r="H372" s="18"/>
      <c r="I372" s="18"/>
      <c r="J372" s="18"/>
      <c r="K372" s="18"/>
      <c r="L372" s="18"/>
      <c r="M372" s="18"/>
      <c r="N372" s="58"/>
    </row>
    <row r="373">
      <c r="A373" s="61"/>
      <c r="F373" s="18"/>
      <c r="G373" s="18"/>
      <c r="H373" s="18"/>
      <c r="I373" s="18"/>
      <c r="J373" s="18"/>
      <c r="K373" s="18"/>
      <c r="L373" s="18"/>
      <c r="M373" s="18"/>
      <c r="N373" s="58"/>
    </row>
    <row r="374">
      <c r="A374" s="61"/>
      <c r="F374" s="18"/>
      <c r="G374" s="18"/>
      <c r="H374" s="18"/>
      <c r="I374" s="18"/>
      <c r="J374" s="18"/>
      <c r="K374" s="18"/>
      <c r="L374" s="18"/>
      <c r="M374" s="18"/>
      <c r="N374" s="58"/>
    </row>
    <row r="375">
      <c r="A375" s="61"/>
      <c r="F375" s="18"/>
      <c r="G375" s="18"/>
      <c r="H375" s="18"/>
      <c r="I375" s="18"/>
      <c r="J375" s="18"/>
      <c r="K375" s="18"/>
      <c r="L375" s="18"/>
      <c r="M375" s="18"/>
      <c r="N375" s="58"/>
    </row>
    <row r="376">
      <c r="A376" s="61"/>
      <c r="F376" s="18"/>
      <c r="G376" s="18"/>
      <c r="H376" s="18"/>
      <c r="I376" s="18"/>
      <c r="J376" s="18"/>
      <c r="K376" s="18"/>
      <c r="L376" s="18"/>
      <c r="M376" s="18"/>
      <c r="N376" s="58"/>
    </row>
    <row r="377">
      <c r="A377" s="61"/>
      <c r="F377" s="18"/>
      <c r="G377" s="18"/>
      <c r="H377" s="18"/>
      <c r="I377" s="18"/>
      <c r="J377" s="18"/>
      <c r="K377" s="18"/>
      <c r="L377" s="18"/>
      <c r="M377" s="18"/>
      <c r="N377" s="58"/>
    </row>
    <row r="378">
      <c r="A378" s="61"/>
      <c r="F378" s="18"/>
      <c r="G378" s="18"/>
      <c r="H378" s="18"/>
      <c r="I378" s="18"/>
      <c r="J378" s="18"/>
      <c r="K378" s="18"/>
      <c r="L378" s="18"/>
      <c r="M378" s="18"/>
      <c r="N378" s="58"/>
    </row>
    <row r="379">
      <c r="A379" s="61"/>
      <c r="F379" s="18"/>
      <c r="G379" s="18"/>
      <c r="H379" s="18"/>
      <c r="I379" s="18"/>
      <c r="J379" s="18"/>
      <c r="K379" s="18"/>
      <c r="L379" s="18"/>
      <c r="M379" s="18"/>
      <c r="N379" s="58"/>
    </row>
    <row r="380">
      <c r="A380" s="61"/>
      <c r="F380" s="18"/>
      <c r="G380" s="18"/>
      <c r="H380" s="18"/>
      <c r="I380" s="18"/>
      <c r="J380" s="18"/>
      <c r="K380" s="18"/>
      <c r="L380" s="18"/>
      <c r="M380" s="18"/>
      <c r="N380" s="58"/>
    </row>
    <row r="381">
      <c r="A381" s="61"/>
      <c r="F381" s="18"/>
      <c r="G381" s="18"/>
      <c r="H381" s="18"/>
      <c r="I381" s="18"/>
      <c r="J381" s="18"/>
      <c r="K381" s="18"/>
      <c r="L381" s="18"/>
      <c r="M381" s="18"/>
      <c r="N381" s="58"/>
    </row>
    <row r="382">
      <c r="A382" s="61"/>
      <c r="F382" s="18"/>
      <c r="G382" s="18"/>
      <c r="H382" s="18"/>
      <c r="I382" s="18"/>
      <c r="J382" s="18"/>
      <c r="K382" s="18"/>
      <c r="L382" s="18"/>
      <c r="M382" s="18"/>
      <c r="N382" s="58"/>
    </row>
    <row r="383">
      <c r="A383" s="61"/>
      <c r="F383" s="18"/>
      <c r="G383" s="18"/>
      <c r="H383" s="18"/>
      <c r="I383" s="18"/>
      <c r="J383" s="18"/>
      <c r="K383" s="18"/>
      <c r="L383" s="18"/>
      <c r="M383" s="18"/>
      <c r="N383" s="58"/>
    </row>
    <row r="384">
      <c r="A384" s="61"/>
      <c r="F384" s="18"/>
      <c r="G384" s="18"/>
      <c r="H384" s="18"/>
      <c r="I384" s="18"/>
      <c r="J384" s="18"/>
      <c r="K384" s="18"/>
      <c r="L384" s="18"/>
      <c r="M384" s="18"/>
      <c r="N384" s="58"/>
    </row>
    <row r="385">
      <c r="A385" s="61"/>
      <c r="F385" s="18"/>
      <c r="G385" s="18"/>
      <c r="H385" s="18"/>
      <c r="I385" s="18"/>
      <c r="J385" s="18"/>
      <c r="K385" s="18"/>
      <c r="L385" s="18"/>
      <c r="M385" s="18"/>
      <c r="N385" s="58"/>
    </row>
    <row r="386">
      <c r="A386" s="61"/>
      <c r="F386" s="18"/>
      <c r="G386" s="18"/>
      <c r="H386" s="18"/>
      <c r="I386" s="18"/>
      <c r="J386" s="18"/>
      <c r="K386" s="18"/>
      <c r="L386" s="18"/>
      <c r="M386" s="18"/>
      <c r="N386" s="58"/>
    </row>
    <row r="387">
      <c r="A387" s="61"/>
      <c r="F387" s="18"/>
      <c r="G387" s="18"/>
      <c r="H387" s="18"/>
      <c r="I387" s="18"/>
      <c r="J387" s="18"/>
      <c r="K387" s="18"/>
      <c r="L387" s="18"/>
      <c r="M387" s="18"/>
      <c r="N387" s="58"/>
    </row>
    <row r="388">
      <c r="A388" s="61"/>
      <c r="F388" s="18"/>
      <c r="G388" s="18"/>
      <c r="H388" s="18"/>
      <c r="I388" s="18"/>
      <c r="J388" s="18"/>
      <c r="K388" s="18"/>
      <c r="L388" s="18"/>
      <c r="M388" s="18"/>
      <c r="N388" s="58"/>
    </row>
    <row r="389">
      <c r="A389" s="61"/>
      <c r="F389" s="18"/>
      <c r="G389" s="18"/>
      <c r="H389" s="18"/>
      <c r="I389" s="18"/>
      <c r="J389" s="18"/>
      <c r="K389" s="18"/>
      <c r="L389" s="18"/>
      <c r="M389" s="18"/>
      <c r="N389" s="58"/>
    </row>
    <row r="390">
      <c r="A390" s="61"/>
      <c r="F390" s="18"/>
      <c r="G390" s="18"/>
      <c r="H390" s="18"/>
      <c r="I390" s="18"/>
      <c r="J390" s="18"/>
      <c r="K390" s="18"/>
      <c r="L390" s="18"/>
      <c r="M390" s="18"/>
      <c r="N390" s="58"/>
    </row>
    <row r="391">
      <c r="A391" s="61"/>
      <c r="F391" s="18"/>
      <c r="G391" s="18"/>
      <c r="H391" s="18"/>
      <c r="I391" s="18"/>
      <c r="J391" s="18"/>
      <c r="K391" s="18"/>
      <c r="L391" s="18"/>
      <c r="M391" s="18"/>
      <c r="N391" s="58"/>
    </row>
    <row r="392">
      <c r="A392" s="61"/>
      <c r="F392" s="18"/>
      <c r="G392" s="18"/>
      <c r="H392" s="18"/>
      <c r="I392" s="18"/>
      <c r="J392" s="18"/>
      <c r="K392" s="18"/>
      <c r="L392" s="18"/>
      <c r="M392" s="18"/>
      <c r="N392" s="58"/>
    </row>
    <row r="393">
      <c r="A393" s="61"/>
      <c r="F393" s="18"/>
      <c r="G393" s="18"/>
      <c r="H393" s="18"/>
      <c r="I393" s="18"/>
      <c r="J393" s="18"/>
      <c r="K393" s="18"/>
      <c r="L393" s="18"/>
      <c r="M393" s="18"/>
      <c r="N393" s="58"/>
    </row>
    <row r="394">
      <c r="A394" s="61"/>
      <c r="F394" s="18"/>
      <c r="G394" s="18"/>
      <c r="H394" s="18"/>
      <c r="I394" s="18"/>
      <c r="J394" s="18"/>
      <c r="K394" s="18"/>
      <c r="L394" s="18"/>
      <c r="M394" s="18"/>
      <c r="N394" s="58"/>
    </row>
    <row r="395">
      <c r="A395" s="61"/>
      <c r="F395" s="18"/>
      <c r="G395" s="18"/>
      <c r="H395" s="18"/>
      <c r="I395" s="18"/>
      <c r="J395" s="18"/>
      <c r="K395" s="18"/>
      <c r="L395" s="18"/>
      <c r="M395" s="18"/>
      <c r="N395" s="58"/>
    </row>
    <row r="396">
      <c r="A396" s="61"/>
      <c r="F396" s="18"/>
      <c r="G396" s="18"/>
      <c r="H396" s="18"/>
      <c r="I396" s="18"/>
      <c r="J396" s="18"/>
      <c r="K396" s="18"/>
      <c r="L396" s="18"/>
      <c r="M396" s="18"/>
      <c r="N396" s="58"/>
    </row>
    <row r="397">
      <c r="A397" s="61"/>
      <c r="F397" s="18"/>
      <c r="G397" s="18"/>
      <c r="H397" s="18"/>
      <c r="I397" s="18"/>
      <c r="J397" s="18"/>
      <c r="K397" s="18"/>
      <c r="L397" s="18"/>
      <c r="M397" s="18"/>
      <c r="N397" s="58"/>
    </row>
    <row r="398">
      <c r="A398" s="61"/>
      <c r="F398" s="18"/>
      <c r="G398" s="18"/>
      <c r="H398" s="18"/>
      <c r="I398" s="18"/>
      <c r="J398" s="18"/>
      <c r="K398" s="18"/>
      <c r="L398" s="18"/>
      <c r="M398" s="18"/>
      <c r="N398" s="58"/>
    </row>
    <row r="399">
      <c r="A399" s="61"/>
      <c r="F399" s="18"/>
      <c r="G399" s="18"/>
      <c r="H399" s="18"/>
      <c r="I399" s="18"/>
      <c r="J399" s="18"/>
      <c r="K399" s="18"/>
      <c r="L399" s="18"/>
      <c r="M399" s="18"/>
      <c r="N399" s="58"/>
    </row>
    <row r="400">
      <c r="A400" s="61"/>
      <c r="F400" s="18"/>
      <c r="G400" s="18"/>
      <c r="H400" s="18"/>
      <c r="I400" s="18"/>
      <c r="J400" s="18"/>
      <c r="K400" s="18"/>
      <c r="L400" s="18"/>
      <c r="M400" s="18"/>
      <c r="N400" s="58"/>
    </row>
    <row r="401">
      <c r="A401" s="61"/>
      <c r="F401" s="18"/>
      <c r="G401" s="18"/>
      <c r="H401" s="18"/>
      <c r="I401" s="18"/>
      <c r="J401" s="18"/>
      <c r="K401" s="18"/>
      <c r="L401" s="18"/>
      <c r="M401" s="18"/>
      <c r="N401" s="58"/>
    </row>
    <row r="402">
      <c r="A402" s="61"/>
      <c r="F402" s="18"/>
      <c r="G402" s="18"/>
      <c r="H402" s="18"/>
      <c r="I402" s="18"/>
      <c r="J402" s="18"/>
      <c r="K402" s="18"/>
      <c r="L402" s="18"/>
      <c r="M402" s="18"/>
      <c r="N402" s="58"/>
    </row>
    <row r="403">
      <c r="A403" s="61"/>
      <c r="F403" s="18"/>
      <c r="G403" s="18"/>
      <c r="H403" s="18"/>
      <c r="I403" s="18"/>
      <c r="J403" s="18"/>
      <c r="K403" s="18"/>
      <c r="L403" s="18"/>
      <c r="M403" s="18"/>
      <c r="N403" s="58"/>
    </row>
    <row r="404">
      <c r="A404" s="61"/>
      <c r="F404" s="18"/>
      <c r="G404" s="18"/>
      <c r="H404" s="18"/>
      <c r="I404" s="18"/>
      <c r="J404" s="18"/>
      <c r="K404" s="18"/>
      <c r="L404" s="18"/>
      <c r="M404" s="18"/>
      <c r="N404" s="58"/>
    </row>
    <row r="405">
      <c r="A405" s="61"/>
      <c r="F405" s="18"/>
      <c r="G405" s="18"/>
      <c r="H405" s="18"/>
      <c r="I405" s="18"/>
      <c r="J405" s="18"/>
      <c r="K405" s="18"/>
      <c r="L405" s="18"/>
      <c r="M405" s="18"/>
      <c r="N405" s="58"/>
    </row>
    <row r="406">
      <c r="A406" s="61"/>
      <c r="F406" s="18"/>
      <c r="G406" s="18"/>
      <c r="H406" s="18"/>
      <c r="I406" s="18"/>
      <c r="J406" s="18"/>
      <c r="K406" s="18"/>
      <c r="L406" s="18"/>
      <c r="M406" s="18"/>
      <c r="N406" s="58"/>
    </row>
    <row r="407">
      <c r="A407" s="61"/>
      <c r="F407" s="18"/>
      <c r="G407" s="18"/>
      <c r="H407" s="18"/>
      <c r="I407" s="18"/>
      <c r="J407" s="18"/>
      <c r="K407" s="18"/>
      <c r="L407" s="18"/>
      <c r="M407" s="18"/>
      <c r="N407" s="58"/>
    </row>
    <row r="408">
      <c r="A408" s="61"/>
      <c r="F408" s="18"/>
      <c r="G408" s="18"/>
      <c r="H408" s="18"/>
      <c r="I408" s="18"/>
      <c r="J408" s="18"/>
      <c r="K408" s="18"/>
      <c r="L408" s="18"/>
      <c r="M408" s="18"/>
      <c r="N408" s="58"/>
    </row>
    <row r="409">
      <c r="A409" s="61"/>
      <c r="F409" s="18"/>
      <c r="G409" s="18"/>
      <c r="H409" s="18"/>
      <c r="I409" s="18"/>
      <c r="J409" s="18"/>
      <c r="K409" s="18"/>
      <c r="L409" s="18"/>
      <c r="M409" s="18"/>
      <c r="N409" s="58"/>
    </row>
    <row r="410">
      <c r="A410" s="61"/>
      <c r="F410" s="18"/>
      <c r="G410" s="18"/>
      <c r="H410" s="18"/>
      <c r="I410" s="18"/>
      <c r="J410" s="18"/>
      <c r="K410" s="18"/>
      <c r="L410" s="18"/>
      <c r="M410" s="18"/>
      <c r="N410" s="58"/>
    </row>
    <row r="411">
      <c r="A411" s="61"/>
      <c r="F411" s="18"/>
      <c r="G411" s="18"/>
      <c r="H411" s="18"/>
      <c r="I411" s="18"/>
      <c r="J411" s="18"/>
      <c r="K411" s="18"/>
      <c r="L411" s="18"/>
      <c r="M411" s="18"/>
      <c r="N411" s="58"/>
    </row>
    <row r="412">
      <c r="A412" s="61"/>
      <c r="F412" s="18"/>
      <c r="G412" s="18"/>
      <c r="H412" s="18"/>
      <c r="I412" s="18"/>
      <c r="J412" s="18"/>
      <c r="K412" s="18"/>
      <c r="L412" s="18"/>
      <c r="M412" s="18"/>
      <c r="N412" s="58"/>
    </row>
    <row r="413">
      <c r="A413" s="61"/>
      <c r="F413" s="18"/>
      <c r="G413" s="18"/>
      <c r="H413" s="18"/>
      <c r="I413" s="18"/>
      <c r="J413" s="18"/>
      <c r="K413" s="18"/>
      <c r="L413" s="18"/>
      <c r="M413" s="18"/>
      <c r="N413" s="58"/>
    </row>
    <row r="414">
      <c r="A414" s="61"/>
      <c r="F414" s="18"/>
      <c r="G414" s="18"/>
      <c r="H414" s="18"/>
      <c r="I414" s="18"/>
      <c r="J414" s="18"/>
      <c r="K414" s="18"/>
      <c r="L414" s="18"/>
      <c r="M414" s="18"/>
      <c r="N414" s="58"/>
    </row>
    <row r="415">
      <c r="A415" s="61"/>
      <c r="F415" s="18"/>
      <c r="G415" s="18"/>
      <c r="H415" s="18"/>
      <c r="I415" s="18"/>
      <c r="J415" s="18"/>
      <c r="K415" s="18"/>
      <c r="L415" s="18"/>
      <c r="M415" s="18"/>
      <c r="N415" s="58"/>
    </row>
    <row r="416">
      <c r="A416" s="61"/>
      <c r="F416" s="18"/>
      <c r="G416" s="18"/>
      <c r="H416" s="18"/>
      <c r="I416" s="18"/>
      <c r="J416" s="18"/>
      <c r="K416" s="18"/>
      <c r="L416" s="18"/>
      <c r="M416" s="18"/>
      <c r="N416" s="58"/>
    </row>
    <row r="417">
      <c r="A417" s="61"/>
      <c r="F417" s="18"/>
      <c r="G417" s="18"/>
      <c r="H417" s="18"/>
      <c r="I417" s="18"/>
      <c r="J417" s="18"/>
      <c r="K417" s="18"/>
      <c r="L417" s="18"/>
      <c r="M417" s="18"/>
      <c r="N417" s="58"/>
    </row>
    <row r="418">
      <c r="A418" s="61"/>
      <c r="F418" s="18"/>
      <c r="G418" s="18"/>
      <c r="H418" s="18"/>
      <c r="I418" s="18"/>
      <c r="J418" s="18"/>
      <c r="K418" s="18"/>
      <c r="L418" s="18"/>
      <c r="M418" s="18"/>
      <c r="N418" s="58"/>
    </row>
    <row r="419">
      <c r="A419" s="61"/>
      <c r="F419" s="18"/>
      <c r="G419" s="18"/>
      <c r="H419" s="18"/>
      <c r="I419" s="18"/>
      <c r="J419" s="18"/>
      <c r="K419" s="18"/>
      <c r="L419" s="18"/>
      <c r="M419" s="18"/>
      <c r="N419" s="58"/>
    </row>
    <row r="420">
      <c r="A420" s="61"/>
      <c r="F420" s="18"/>
      <c r="G420" s="18"/>
      <c r="H420" s="18"/>
      <c r="I420" s="18"/>
      <c r="J420" s="18"/>
      <c r="K420" s="18"/>
      <c r="L420" s="18"/>
      <c r="M420" s="18"/>
      <c r="N420" s="58"/>
    </row>
    <row r="421">
      <c r="A421" s="61"/>
      <c r="F421" s="18"/>
      <c r="G421" s="18"/>
      <c r="H421" s="18"/>
      <c r="I421" s="18"/>
      <c r="J421" s="18"/>
      <c r="K421" s="18"/>
      <c r="L421" s="18"/>
      <c r="M421" s="18"/>
      <c r="N421" s="58"/>
    </row>
    <row r="422">
      <c r="A422" s="61"/>
      <c r="F422" s="18"/>
      <c r="G422" s="18"/>
      <c r="H422" s="18"/>
      <c r="I422" s="18"/>
      <c r="J422" s="18"/>
      <c r="K422" s="18"/>
      <c r="L422" s="18"/>
      <c r="M422" s="18"/>
      <c r="N422" s="58"/>
    </row>
    <row r="423">
      <c r="A423" s="61"/>
      <c r="F423" s="18"/>
      <c r="G423" s="18"/>
      <c r="H423" s="18"/>
      <c r="I423" s="18"/>
      <c r="J423" s="18"/>
      <c r="K423" s="18"/>
      <c r="L423" s="18"/>
      <c r="M423" s="18"/>
      <c r="N423" s="58"/>
    </row>
    <row r="424">
      <c r="A424" s="61"/>
      <c r="F424" s="18"/>
      <c r="G424" s="18"/>
      <c r="H424" s="18"/>
      <c r="I424" s="18"/>
      <c r="J424" s="18"/>
      <c r="K424" s="18"/>
      <c r="L424" s="18"/>
      <c r="M424" s="18"/>
      <c r="N424" s="58"/>
    </row>
    <row r="425">
      <c r="A425" s="61"/>
      <c r="F425" s="18"/>
      <c r="G425" s="18"/>
      <c r="H425" s="18"/>
      <c r="I425" s="18"/>
      <c r="J425" s="18"/>
      <c r="K425" s="18"/>
      <c r="L425" s="18"/>
      <c r="M425" s="18"/>
      <c r="N425" s="58"/>
    </row>
    <row r="426">
      <c r="A426" s="61"/>
      <c r="F426" s="18"/>
      <c r="G426" s="18"/>
      <c r="H426" s="18"/>
      <c r="I426" s="18"/>
      <c r="J426" s="18"/>
      <c r="K426" s="18"/>
      <c r="L426" s="18"/>
      <c r="M426" s="18"/>
      <c r="N426" s="58"/>
    </row>
    <row r="427">
      <c r="A427" s="61"/>
      <c r="F427" s="18"/>
      <c r="G427" s="18"/>
      <c r="H427" s="18"/>
      <c r="I427" s="18"/>
      <c r="J427" s="18"/>
      <c r="K427" s="18"/>
      <c r="L427" s="18"/>
      <c r="M427" s="18"/>
      <c r="N427" s="58"/>
    </row>
    <row r="428">
      <c r="A428" s="61"/>
      <c r="F428" s="18"/>
      <c r="G428" s="18"/>
      <c r="H428" s="18"/>
      <c r="I428" s="18"/>
      <c r="J428" s="18"/>
      <c r="K428" s="18"/>
      <c r="L428" s="18"/>
      <c r="M428" s="18"/>
      <c r="N428" s="58"/>
    </row>
    <row r="429">
      <c r="A429" s="61"/>
      <c r="F429" s="18"/>
      <c r="G429" s="18"/>
      <c r="H429" s="18"/>
      <c r="I429" s="18"/>
      <c r="J429" s="18"/>
      <c r="K429" s="18"/>
      <c r="L429" s="18"/>
      <c r="M429" s="18"/>
      <c r="N429" s="58"/>
    </row>
    <row r="430">
      <c r="A430" s="61"/>
      <c r="F430" s="18"/>
      <c r="G430" s="18"/>
      <c r="H430" s="18"/>
      <c r="I430" s="18"/>
      <c r="J430" s="18"/>
      <c r="K430" s="18"/>
      <c r="L430" s="18"/>
      <c r="M430" s="18"/>
      <c r="N430" s="58"/>
    </row>
    <row r="431">
      <c r="A431" s="61"/>
      <c r="F431" s="18"/>
      <c r="G431" s="18"/>
      <c r="H431" s="18"/>
      <c r="I431" s="18"/>
      <c r="J431" s="18"/>
      <c r="K431" s="18"/>
      <c r="L431" s="18"/>
      <c r="M431" s="18"/>
      <c r="N431" s="58"/>
    </row>
    <row r="432">
      <c r="A432" s="61"/>
      <c r="F432" s="18"/>
      <c r="G432" s="18"/>
      <c r="H432" s="18"/>
      <c r="I432" s="18"/>
      <c r="J432" s="18"/>
      <c r="K432" s="18"/>
      <c r="L432" s="18"/>
      <c r="M432" s="18"/>
      <c r="N432" s="58"/>
    </row>
    <row r="433">
      <c r="A433" s="61"/>
      <c r="F433" s="18"/>
      <c r="G433" s="18"/>
      <c r="H433" s="18"/>
      <c r="I433" s="18"/>
      <c r="J433" s="18"/>
      <c r="K433" s="18"/>
      <c r="L433" s="18"/>
      <c r="M433" s="18"/>
      <c r="N433" s="58"/>
    </row>
    <row r="434">
      <c r="A434" s="61"/>
      <c r="F434" s="18"/>
      <c r="G434" s="18"/>
      <c r="H434" s="18"/>
      <c r="I434" s="18"/>
      <c r="J434" s="18"/>
      <c r="K434" s="18"/>
      <c r="L434" s="18"/>
      <c r="M434" s="18"/>
      <c r="N434" s="58"/>
    </row>
    <row r="435">
      <c r="A435" s="61"/>
      <c r="F435" s="18"/>
      <c r="G435" s="18"/>
      <c r="H435" s="18"/>
      <c r="I435" s="18"/>
      <c r="J435" s="18"/>
      <c r="K435" s="18"/>
      <c r="L435" s="18"/>
      <c r="M435" s="18"/>
      <c r="N435" s="58"/>
    </row>
    <row r="436">
      <c r="A436" s="61"/>
      <c r="F436" s="18"/>
      <c r="G436" s="18"/>
      <c r="H436" s="18"/>
      <c r="I436" s="18"/>
      <c r="J436" s="18"/>
      <c r="K436" s="18"/>
      <c r="L436" s="18"/>
      <c r="M436" s="18"/>
      <c r="N436" s="58"/>
    </row>
    <row r="437">
      <c r="A437" s="61"/>
      <c r="F437" s="18"/>
      <c r="G437" s="18"/>
      <c r="H437" s="18"/>
      <c r="I437" s="18"/>
      <c r="J437" s="18"/>
      <c r="K437" s="18"/>
      <c r="L437" s="18"/>
      <c r="M437" s="18"/>
      <c r="N437" s="58"/>
    </row>
    <row r="438">
      <c r="A438" s="61"/>
      <c r="F438" s="18"/>
      <c r="G438" s="18"/>
      <c r="H438" s="18"/>
      <c r="I438" s="18"/>
      <c r="J438" s="18"/>
      <c r="K438" s="18"/>
      <c r="L438" s="18"/>
      <c r="M438" s="18"/>
      <c r="N438" s="58"/>
    </row>
    <row r="439">
      <c r="A439" s="61"/>
      <c r="F439" s="18"/>
      <c r="G439" s="18"/>
      <c r="H439" s="18"/>
      <c r="I439" s="18"/>
      <c r="J439" s="18"/>
      <c r="K439" s="18"/>
      <c r="L439" s="18"/>
      <c r="M439" s="18"/>
      <c r="N439" s="58"/>
    </row>
    <row r="440">
      <c r="A440" s="61"/>
      <c r="F440" s="18"/>
      <c r="G440" s="18"/>
      <c r="H440" s="18"/>
      <c r="I440" s="18"/>
      <c r="J440" s="18"/>
      <c r="K440" s="18"/>
      <c r="L440" s="18"/>
      <c r="M440" s="18"/>
      <c r="N440" s="58"/>
    </row>
    <row r="441">
      <c r="A441" s="61"/>
      <c r="F441" s="18"/>
      <c r="G441" s="18"/>
      <c r="H441" s="18"/>
      <c r="I441" s="18"/>
      <c r="J441" s="18"/>
      <c r="K441" s="18"/>
      <c r="L441" s="18"/>
      <c r="M441" s="18"/>
      <c r="N441" s="58"/>
    </row>
    <row r="442">
      <c r="A442" s="61"/>
      <c r="F442" s="18"/>
      <c r="G442" s="18"/>
      <c r="H442" s="18"/>
      <c r="I442" s="18"/>
      <c r="J442" s="18"/>
      <c r="K442" s="18"/>
      <c r="L442" s="18"/>
      <c r="M442" s="18"/>
      <c r="N442" s="58"/>
    </row>
    <row r="443">
      <c r="A443" s="61"/>
      <c r="F443" s="18"/>
      <c r="G443" s="18"/>
      <c r="H443" s="18"/>
      <c r="I443" s="18"/>
      <c r="J443" s="18"/>
      <c r="K443" s="18"/>
      <c r="L443" s="18"/>
      <c r="M443" s="18"/>
      <c r="N443" s="58"/>
    </row>
    <row r="444">
      <c r="A444" s="61"/>
      <c r="F444" s="18"/>
      <c r="G444" s="18"/>
      <c r="H444" s="18"/>
      <c r="I444" s="18"/>
      <c r="J444" s="18"/>
      <c r="K444" s="18"/>
      <c r="L444" s="18"/>
      <c r="M444" s="18"/>
      <c r="N444" s="58"/>
    </row>
    <row r="445">
      <c r="A445" s="61"/>
      <c r="F445" s="18"/>
      <c r="G445" s="18"/>
      <c r="H445" s="18"/>
      <c r="I445" s="18"/>
      <c r="J445" s="18"/>
      <c r="K445" s="18"/>
      <c r="L445" s="18"/>
      <c r="M445" s="18"/>
      <c r="N445" s="58"/>
    </row>
    <row r="446">
      <c r="A446" s="61"/>
      <c r="F446" s="18"/>
      <c r="G446" s="18"/>
      <c r="H446" s="18"/>
      <c r="I446" s="18"/>
      <c r="J446" s="18"/>
      <c r="K446" s="18"/>
      <c r="L446" s="18"/>
      <c r="M446" s="18"/>
      <c r="N446" s="58"/>
    </row>
    <row r="447">
      <c r="A447" s="61"/>
      <c r="F447" s="18"/>
      <c r="G447" s="18"/>
      <c r="H447" s="18"/>
      <c r="I447" s="18"/>
      <c r="J447" s="18"/>
      <c r="K447" s="18"/>
      <c r="L447" s="18"/>
      <c r="M447" s="18"/>
      <c r="N447" s="58"/>
    </row>
    <row r="448">
      <c r="A448" s="61"/>
      <c r="F448" s="18"/>
      <c r="G448" s="18"/>
      <c r="H448" s="18"/>
      <c r="I448" s="18"/>
      <c r="J448" s="18"/>
      <c r="K448" s="18"/>
      <c r="L448" s="18"/>
      <c r="M448" s="18"/>
      <c r="N448" s="58"/>
    </row>
    <row r="449">
      <c r="A449" s="61"/>
      <c r="F449" s="18"/>
      <c r="G449" s="18"/>
      <c r="H449" s="18"/>
      <c r="I449" s="18"/>
      <c r="J449" s="18"/>
      <c r="K449" s="18"/>
      <c r="L449" s="18"/>
      <c r="M449" s="18"/>
      <c r="N449" s="58"/>
    </row>
    <row r="450">
      <c r="A450" s="61"/>
      <c r="F450" s="18"/>
      <c r="G450" s="18"/>
      <c r="H450" s="18"/>
      <c r="I450" s="18"/>
      <c r="J450" s="18"/>
      <c r="K450" s="18"/>
      <c r="L450" s="18"/>
      <c r="M450" s="18"/>
      <c r="N450" s="58"/>
    </row>
    <row r="451">
      <c r="A451" s="61"/>
      <c r="F451" s="18"/>
      <c r="G451" s="18"/>
      <c r="H451" s="18"/>
      <c r="I451" s="18"/>
      <c r="J451" s="18"/>
      <c r="K451" s="18"/>
      <c r="L451" s="18"/>
      <c r="M451" s="18"/>
      <c r="N451" s="58"/>
    </row>
    <row r="452">
      <c r="A452" s="61"/>
      <c r="F452" s="18"/>
      <c r="G452" s="18"/>
      <c r="H452" s="18"/>
      <c r="I452" s="18"/>
      <c r="J452" s="18"/>
      <c r="K452" s="18"/>
      <c r="L452" s="18"/>
      <c r="M452" s="18"/>
      <c r="N452" s="58"/>
    </row>
    <row r="453">
      <c r="A453" s="61"/>
      <c r="F453" s="18"/>
      <c r="G453" s="18"/>
      <c r="H453" s="18"/>
      <c r="I453" s="18"/>
      <c r="J453" s="18"/>
      <c r="K453" s="18"/>
      <c r="L453" s="18"/>
      <c r="M453" s="18"/>
      <c r="N453" s="58"/>
    </row>
    <row r="454">
      <c r="A454" s="61"/>
      <c r="F454" s="18"/>
      <c r="G454" s="18"/>
      <c r="H454" s="18"/>
      <c r="I454" s="18"/>
      <c r="J454" s="18"/>
      <c r="K454" s="18"/>
      <c r="L454" s="18"/>
      <c r="M454" s="18"/>
      <c r="N454" s="58"/>
    </row>
    <row r="455">
      <c r="A455" s="61"/>
      <c r="F455" s="18"/>
      <c r="G455" s="18"/>
      <c r="H455" s="18"/>
      <c r="I455" s="18"/>
      <c r="J455" s="18"/>
      <c r="K455" s="18"/>
      <c r="L455" s="18"/>
      <c r="M455" s="18"/>
      <c r="N455" s="58"/>
    </row>
    <row r="456">
      <c r="A456" s="61"/>
      <c r="F456" s="18"/>
      <c r="G456" s="18"/>
      <c r="H456" s="18"/>
      <c r="I456" s="18"/>
      <c r="J456" s="18"/>
      <c r="K456" s="18"/>
      <c r="L456" s="18"/>
      <c r="M456" s="18"/>
      <c r="N456" s="58"/>
    </row>
    <row r="457">
      <c r="A457" s="61"/>
      <c r="F457" s="18"/>
      <c r="G457" s="18"/>
      <c r="H457" s="18"/>
      <c r="I457" s="18"/>
      <c r="J457" s="18"/>
      <c r="K457" s="18"/>
      <c r="L457" s="18"/>
      <c r="M457" s="18"/>
      <c r="N457" s="58"/>
    </row>
    <row r="458">
      <c r="A458" s="61"/>
      <c r="F458" s="18"/>
      <c r="G458" s="18"/>
      <c r="H458" s="18"/>
      <c r="I458" s="18"/>
      <c r="J458" s="18"/>
      <c r="K458" s="18"/>
      <c r="L458" s="18"/>
      <c r="M458" s="18"/>
      <c r="N458" s="58"/>
    </row>
    <row r="459">
      <c r="A459" s="61"/>
      <c r="F459" s="18"/>
      <c r="G459" s="18"/>
      <c r="H459" s="18"/>
      <c r="I459" s="18"/>
      <c r="J459" s="18"/>
      <c r="K459" s="18"/>
      <c r="L459" s="18"/>
      <c r="M459" s="18"/>
      <c r="N459" s="58"/>
    </row>
    <row r="460">
      <c r="A460" s="61"/>
      <c r="F460" s="18"/>
      <c r="G460" s="18"/>
      <c r="H460" s="18"/>
      <c r="I460" s="18"/>
      <c r="J460" s="18"/>
      <c r="K460" s="18"/>
      <c r="L460" s="18"/>
      <c r="M460" s="18"/>
      <c r="N460" s="58"/>
    </row>
    <row r="461">
      <c r="A461" s="61"/>
      <c r="F461" s="18"/>
      <c r="G461" s="18"/>
      <c r="H461" s="18"/>
      <c r="I461" s="18"/>
      <c r="J461" s="18"/>
      <c r="K461" s="18"/>
      <c r="L461" s="18"/>
      <c r="M461" s="18"/>
      <c r="N461" s="58"/>
    </row>
    <row r="462">
      <c r="A462" s="61"/>
      <c r="F462" s="18"/>
      <c r="G462" s="18"/>
      <c r="H462" s="18"/>
      <c r="I462" s="18"/>
      <c r="J462" s="18"/>
      <c r="K462" s="18"/>
      <c r="L462" s="18"/>
      <c r="M462" s="18"/>
      <c r="N462" s="58"/>
    </row>
    <row r="463">
      <c r="A463" s="61"/>
      <c r="F463" s="18"/>
      <c r="G463" s="18"/>
      <c r="H463" s="18"/>
      <c r="I463" s="18"/>
      <c r="J463" s="18"/>
      <c r="K463" s="18"/>
      <c r="L463" s="18"/>
      <c r="M463" s="18"/>
      <c r="N463" s="58"/>
    </row>
    <row r="464">
      <c r="A464" s="61"/>
      <c r="F464" s="18"/>
      <c r="G464" s="18"/>
      <c r="H464" s="18"/>
      <c r="I464" s="18"/>
      <c r="J464" s="18"/>
      <c r="K464" s="18"/>
      <c r="L464" s="18"/>
      <c r="M464" s="18"/>
      <c r="N464" s="58"/>
    </row>
    <row r="465">
      <c r="A465" s="61"/>
      <c r="F465" s="18"/>
      <c r="G465" s="18"/>
      <c r="H465" s="18"/>
      <c r="I465" s="18"/>
      <c r="J465" s="18"/>
      <c r="K465" s="18"/>
      <c r="L465" s="18"/>
      <c r="M465" s="18"/>
      <c r="N465" s="58"/>
    </row>
    <row r="466">
      <c r="A466" s="61"/>
      <c r="F466" s="18"/>
      <c r="G466" s="18"/>
      <c r="H466" s="18"/>
      <c r="I466" s="18"/>
      <c r="J466" s="18"/>
      <c r="K466" s="18"/>
      <c r="L466" s="18"/>
      <c r="M466" s="18"/>
      <c r="N466" s="58"/>
    </row>
    <row r="467">
      <c r="A467" s="61"/>
      <c r="F467" s="18"/>
      <c r="G467" s="18"/>
      <c r="H467" s="18"/>
      <c r="I467" s="18"/>
      <c r="J467" s="18"/>
      <c r="K467" s="18"/>
      <c r="L467" s="18"/>
      <c r="M467" s="18"/>
      <c r="N467" s="58"/>
    </row>
    <row r="468">
      <c r="A468" s="61"/>
      <c r="F468" s="18"/>
      <c r="G468" s="18"/>
      <c r="H468" s="18"/>
      <c r="I468" s="18"/>
      <c r="J468" s="18"/>
      <c r="K468" s="18"/>
      <c r="L468" s="18"/>
      <c r="M468" s="18"/>
      <c r="N468" s="58"/>
    </row>
    <row r="469">
      <c r="A469" s="61"/>
      <c r="F469" s="18"/>
      <c r="G469" s="18"/>
      <c r="H469" s="18"/>
      <c r="I469" s="18"/>
      <c r="J469" s="18"/>
      <c r="K469" s="18"/>
      <c r="L469" s="18"/>
      <c r="M469" s="18"/>
      <c r="N469" s="58"/>
    </row>
    <row r="470">
      <c r="A470" s="61"/>
      <c r="F470" s="18"/>
      <c r="G470" s="18"/>
      <c r="H470" s="18"/>
      <c r="I470" s="18"/>
      <c r="J470" s="18"/>
      <c r="K470" s="18"/>
      <c r="L470" s="18"/>
      <c r="M470" s="18"/>
      <c r="N470" s="58"/>
    </row>
    <row r="471">
      <c r="A471" s="61"/>
      <c r="F471" s="18"/>
      <c r="G471" s="18"/>
      <c r="H471" s="18"/>
      <c r="I471" s="18"/>
      <c r="J471" s="18"/>
      <c r="K471" s="18"/>
      <c r="L471" s="18"/>
      <c r="M471" s="18"/>
      <c r="N471" s="58"/>
    </row>
    <row r="472">
      <c r="A472" s="61"/>
      <c r="F472" s="18"/>
      <c r="G472" s="18"/>
      <c r="H472" s="18"/>
      <c r="I472" s="18"/>
      <c r="J472" s="18"/>
      <c r="K472" s="18"/>
      <c r="L472" s="18"/>
      <c r="M472" s="18"/>
      <c r="N472" s="58"/>
    </row>
    <row r="473">
      <c r="A473" s="61"/>
      <c r="F473" s="18"/>
      <c r="G473" s="18"/>
      <c r="H473" s="18"/>
      <c r="I473" s="18"/>
      <c r="J473" s="18"/>
      <c r="K473" s="18"/>
      <c r="L473" s="18"/>
      <c r="M473" s="18"/>
      <c r="N473" s="58"/>
    </row>
    <row r="474">
      <c r="A474" s="61"/>
      <c r="F474" s="18"/>
      <c r="G474" s="18"/>
      <c r="H474" s="18"/>
      <c r="I474" s="18"/>
      <c r="J474" s="18"/>
      <c r="K474" s="18"/>
      <c r="L474" s="18"/>
      <c r="M474" s="18"/>
      <c r="N474" s="58"/>
    </row>
    <row r="475">
      <c r="A475" s="61"/>
      <c r="F475" s="18"/>
      <c r="G475" s="18"/>
      <c r="H475" s="18"/>
      <c r="I475" s="18"/>
      <c r="J475" s="18"/>
      <c r="K475" s="18"/>
      <c r="L475" s="18"/>
      <c r="M475" s="18"/>
      <c r="N475" s="58"/>
    </row>
    <row r="476">
      <c r="A476" s="61"/>
      <c r="F476" s="18"/>
      <c r="G476" s="18"/>
      <c r="H476" s="18"/>
      <c r="I476" s="18"/>
      <c r="J476" s="18"/>
      <c r="K476" s="18"/>
      <c r="L476" s="18"/>
      <c r="M476" s="18"/>
      <c r="N476" s="58"/>
    </row>
    <row r="477">
      <c r="A477" s="61"/>
      <c r="F477" s="18"/>
      <c r="G477" s="18"/>
      <c r="H477" s="18"/>
      <c r="I477" s="18"/>
      <c r="J477" s="18"/>
      <c r="K477" s="18"/>
      <c r="L477" s="18"/>
      <c r="M477" s="18"/>
      <c r="N477" s="58"/>
    </row>
    <row r="478">
      <c r="A478" s="61"/>
      <c r="F478" s="18"/>
      <c r="G478" s="18"/>
      <c r="H478" s="18"/>
      <c r="I478" s="18"/>
      <c r="J478" s="18"/>
      <c r="K478" s="18"/>
      <c r="L478" s="18"/>
      <c r="M478" s="18"/>
      <c r="N478" s="58"/>
    </row>
    <row r="479">
      <c r="A479" s="61"/>
      <c r="F479" s="18"/>
      <c r="G479" s="18"/>
      <c r="H479" s="18"/>
      <c r="I479" s="18"/>
      <c r="J479" s="18"/>
      <c r="K479" s="18"/>
      <c r="L479" s="18"/>
      <c r="M479" s="18"/>
      <c r="N479" s="58"/>
    </row>
    <row r="480">
      <c r="A480" s="61"/>
      <c r="F480" s="18"/>
      <c r="G480" s="18"/>
      <c r="H480" s="18"/>
      <c r="I480" s="18"/>
      <c r="J480" s="18"/>
      <c r="K480" s="18"/>
      <c r="L480" s="18"/>
      <c r="M480" s="18"/>
      <c r="N480" s="58"/>
    </row>
    <row r="481">
      <c r="A481" s="61"/>
      <c r="F481" s="18"/>
      <c r="G481" s="18"/>
      <c r="H481" s="18"/>
      <c r="I481" s="18"/>
      <c r="J481" s="18"/>
      <c r="K481" s="18"/>
      <c r="L481" s="18"/>
      <c r="M481" s="18"/>
      <c r="N481" s="58"/>
    </row>
    <row r="482">
      <c r="A482" s="61"/>
      <c r="F482" s="18"/>
      <c r="G482" s="18"/>
      <c r="H482" s="18"/>
      <c r="I482" s="18"/>
      <c r="J482" s="18"/>
      <c r="K482" s="18"/>
      <c r="L482" s="18"/>
      <c r="M482" s="18"/>
      <c r="N482" s="58"/>
    </row>
    <row r="483">
      <c r="A483" s="61"/>
      <c r="F483" s="18"/>
      <c r="G483" s="18"/>
      <c r="H483" s="18"/>
      <c r="I483" s="18"/>
      <c r="J483" s="18"/>
      <c r="K483" s="18"/>
      <c r="L483" s="18"/>
      <c r="M483" s="18"/>
      <c r="N483" s="58"/>
    </row>
    <row r="484">
      <c r="A484" s="61"/>
      <c r="F484" s="18"/>
      <c r="G484" s="18"/>
      <c r="H484" s="18"/>
      <c r="I484" s="18"/>
      <c r="J484" s="18"/>
      <c r="K484" s="18"/>
      <c r="L484" s="18"/>
      <c r="M484" s="18"/>
      <c r="N484" s="58"/>
    </row>
    <row r="485">
      <c r="A485" s="61"/>
      <c r="F485" s="18"/>
      <c r="G485" s="18"/>
      <c r="H485" s="18"/>
      <c r="I485" s="18"/>
      <c r="J485" s="18"/>
      <c r="K485" s="18"/>
      <c r="L485" s="18"/>
      <c r="M485" s="18"/>
      <c r="N485" s="58"/>
    </row>
    <row r="486">
      <c r="A486" s="61"/>
      <c r="F486" s="18"/>
      <c r="G486" s="18"/>
      <c r="H486" s="18"/>
      <c r="I486" s="18"/>
      <c r="J486" s="18"/>
      <c r="K486" s="18"/>
      <c r="L486" s="18"/>
      <c r="M486" s="18"/>
      <c r="N486" s="58"/>
    </row>
    <row r="487">
      <c r="A487" s="61"/>
      <c r="F487" s="18"/>
      <c r="G487" s="18"/>
      <c r="H487" s="18"/>
      <c r="I487" s="18"/>
      <c r="J487" s="18"/>
      <c r="K487" s="18"/>
      <c r="L487" s="18"/>
      <c r="M487" s="18"/>
      <c r="N487" s="58"/>
    </row>
    <row r="488">
      <c r="A488" s="61"/>
      <c r="F488" s="18"/>
      <c r="G488" s="18"/>
      <c r="H488" s="18"/>
      <c r="I488" s="18"/>
      <c r="J488" s="18"/>
      <c r="K488" s="18"/>
      <c r="L488" s="18"/>
      <c r="M488" s="18"/>
      <c r="N488" s="58"/>
    </row>
    <row r="489">
      <c r="A489" s="61"/>
      <c r="F489" s="18"/>
      <c r="G489" s="18"/>
      <c r="H489" s="18"/>
      <c r="I489" s="18"/>
      <c r="J489" s="18"/>
      <c r="K489" s="18"/>
      <c r="L489" s="18"/>
      <c r="M489" s="18"/>
      <c r="N489" s="58"/>
    </row>
    <row r="490">
      <c r="A490" s="61"/>
      <c r="F490" s="18"/>
      <c r="G490" s="18"/>
      <c r="H490" s="18"/>
      <c r="I490" s="18"/>
      <c r="J490" s="18"/>
      <c r="K490" s="18"/>
      <c r="L490" s="18"/>
      <c r="M490" s="18"/>
      <c r="N490" s="58"/>
    </row>
    <row r="491">
      <c r="A491" s="61"/>
      <c r="F491" s="18"/>
      <c r="G491" s="18"/>
      <c r="H491" s="18"/>
      <c r="I491" s="18"/>
      <c r="J491" s="18"/>
      <c r="K491" s="18"/>
      <c r="L491" s="18"/>
      <c r="M491" s="18"/>
      <c r="N491" s="58"/>
    </row>
    <row r="492">
      <c r="A492" s="61"/>
      <c r="F492" s="18"/>
      <c r="G492" s="18"/>
      <c r="H492" s="18"/>
      <c r="I492" s="18"/>
      <c r="J492" s="18"/>
      <c r="K492" s="18"/>
      <c r="L492" s="18"/>
      <c r="M492" s="18"/>
      <c r="N492" s="58"/>
    </row>
    <row r="493">
      <c r="A493" s="61"/>
      <c r="F493" s="18"/>
      <c r="G493" s="18"/>
      <c r="H493" s="18"/>
      <c r="I493" s="18"/>
      <c r="J493" s="18"/>
      <c r="K493" s="18"/>
      <c r="L493" s="18"/>
      <c r="M493" s="18"/>
      <c r="N493" s="58"/>
    </row>
    <row r="494">
      <c r="A494" s="61"/>
      <c r="F494" s="18"/>
      <c r="G494" s="18"/>
      <c r="H494" s="18"/>
      <c r="I494" s="18"/>
      <c r="J494" s="18"/>
      <c r="K494" s="18"/>
      <c r="L494" s="18"/>
      <c r="M494" s="18"/>
      <c r="N494" s="58"/>
    </row>
    <row r="495">
      <c r="A495" s="61"/>
      <c r="F495" s="18"/>
      <c r="G495" s="18"/>
      <c r="H495" s="18"/>
      <c r="I495" s="18"/>
      <c r="J495" s="18"/>
      <c r="K495" s="18"/>
      <c r="L495" s="18"/>
      <c r="M495" s="18"/>
      <c r="N495" s="58"/>
    </row>
    <row r="496">
      <c r="A496" s="61"/>
      <c r="F496" s="18"/>
      <c r="G496" s="18"/>
      <c r="H496" s="18"/>
      <c r="I496" s="18"/>
      <c r="J496" s="18"/>
      <c r="K496" s="18"/>
      <c r="L496" s="18"/>
      <c r="M496" s="18"/>
      <c r="N496" s="58"/>
    </row>
    <row r="497">
      <c r="A497" s="61"/>
      <c r="F497" s="18"/>
      <c r="G497" s="18"/>
      <c r="H497" s="18"/>
      <c r="I497" s="18"/>
      <c r="J497" s="18"/>
      <c r="K497" s="18"/>
      <c r="L497" s="18"/>
      <c r="M497" s="18"/>
      <c r="N497" s="58"/>
    </row>
    <row r="498">
      <c r="A498" s="61"/>
      <c r="F498" s="18"/>
      <c r="G498" s="18"/>
      <c r="H498" s="18"/>
      <c r="I498" s="18"/>
      <c r="J498" s="18"/>
      <c r="K498" s="18"/>
      <c r="L498" s="18"/>
      <c r="M498" s="18"/>
      <c r="N498" s="58"/>
    </row>
    <row r="499">
      <c r="A499" s="61"/>
      <c r="F499" s="18"/>
      <c r="G499" s="18"/>
      <c r="H499" s="18"/>
      <c r="I499" s="18"/>
      <c r="J499" s="18"/>
      <c r="K499" s="18"/>
      <c r="L499" s="18"/>
      <c r="M499" s="18"/>
      <c r="N499" s="58"/>
    </row>
    <row r="500">
      <c r="A500" s="61"/>
      <c r="F500" s="18"/>
      <c r="G500" s="18"/>
      <c r="H500" s="18"/>
      <c r="I500" s="18"/>
      <c r="J500" s="18"/>
      <c r="K500" s="18"/>
      <c r="L500" s="18"/>
      <c r="M500" s="18"/>
      <c r="N500" s="58"/>
    </row>
    <row r="501">
      <c r="A501" s="61"/>
      <c r="F501" s="18"/>
      <c r="G501" s="18"/>
      <c r="H501" s="18"/>
      <c r="I501" s="18"/>
      <c r="J501" s="18"/>
      <c r="K501" s="18"/>
      <c r="L501" s="18"/>
      <c r="M501" s="18"/>
      <c r="N501" s="58"/>
    </row>
    <row r="502">
      <c r="A502" s="61"/>
      <c r="F502" s="18"/>
      <c r="G502" s="18"/>
      <c r="H502" s="18"/>
      <c r="I502" s="18"/>
      <c r="J502" s="18"/>
      <c r="K502" s="18"/>
      <c r="L502" s="18"/>
      <c r="M502" s="18"/>
      <c r="N502" s="58"/>
    </row>
    <row r="503">
      <c r="A503" s="61"/>
      <c r="F503" s="18"/>
      <c r="G503" s="18"/>
      <c r="H503" s="18"/>
      <c r="I503" s="18"/>
      <c r="J503" s="18"/>
      <c r="K503" s="18"/>
      <c r="L503" s="18"/>
      <c r="M503" s="18"/>
      <c r="N503" s="58"/>
    </row>
    <row r="504">
      <c r="A504" s="61"/>
      <c r="F504" s="18"/>
      <c r="G504" s="18"/>
      <c r="H504" s="18"/>
      <c r="I504" s="18"/>
      <c r="J504" s="18"/>
      <c r="K504" s="18"/>
      <c r="L504" s="18"/>
      <c r="M504" s="18"/>
      <c r="N504" s="58"/>
    </row>
    <row r="505">
      <c r="A505" s="61"/>
      <c r="F505" s="18"/>
      <c r="G505" s="18"/>
      <c r="H505" s="18"/>
      <c r="I505" s="18"/>
      <c r="J505" s="18"/>
      <c r="K505" s="18"/>
      <c r="L505" s="18"/>
      <c r="M505" s="18"/>
      <c r="N505" s="58"/>
    </row>
    <row r="506">
      <c r="A506" s="61"/>
      <c r="F506" s="18"/>
      <c r="G506" s="18"/>
      <c r="H506" s="18"/>
      <c r="I506" s="18"/>
      <c r="J506" s="18"/>
      <c r="K506" s="18"/>
      <c r="L506" s="18"/>
      <c r="M506" s="18"/>
      <c r="N506" s="58"/>
    </row>
    <row r="507">
      <c r="A507" s="61"/>
      <c r="F507" s="18"/>
      <c r="G507" s="18"/>
      <c r="H507" s="18"/>
      <c r="I507" s="18"/>
      <c r="J507" s="18"/>
      <c r="K507" s="18"/>
      <c r="L507" s="18"/>
      <c r="M507" s="18"/>
      <c r="N507" s="58"/>
    </row>
    <row r="508">
      <c r="A508" s="61"/>
      <c r="F508" s="18"/>
      <c r="G508" s="18"/>
      <c r="H508" s="18"/>
      <c r="I508" s="18"/>
      <c r="J508" s="18"/>
      <c r="K508" s="18"/>
      <c r="L508" s="18"/>
      <c r="M508" s="18"/>
      <c r="N508" s="58"/>
    </row>
    <row r="509">
      <c r="A509" s="61"/>
      <c r="F509" s="18"/>
      <c r="G509" s="18"/>
      <c r="H509" s="18"/>
      <c r="I509" s="18"/>
      <c r="J509" s="18"/>
      <c r="K509" s="18"/>
      <c r="L509" s="18"/>
      <c r="M509" s="18"/>
      <c r="N509" s="58"/>
    </row>
    <row r="510">
      <c r="A510" s="61"/>
      <c r="F510" s="18"/>
      <c r="G510" s="18"/>
      <c r="H510" s="18"/>
      <c r="I510" s="18"/>
      <c r="J510" s="18"/>
      <c r="K510" s="18"/>
      <c r="L510" s="18"/>
      <c r="M510" s="18"/>
      <c r="N510" s="58"/>
    </row>
    <row r="511">
      <c r="A511" s="61"/>
      <c r="F511" s="18"/>
      <c r="G511" s="18"/>
      <c r="H511" s="18"/>
      <c r="I511" s="18"/>
      <c r="J511" s="18"/>
      <c r="K511" s="18"/>
      <c r="L511" s="18"/>
      <c r="M511" s="18"/>
      <c r="N511" s="58"/>
    </row>
    <row r="512">
      <c r="A512" s="61"/>
      <c r="F512" s="18"/>
      <c r="G512" s="18"/>
      <c r="H512" s="18"/>
      <c r="I512" s="18"/>
      <c r="J512" s="18"/>
      <c r="K512" s="18"/>
      <c r="L512" s="18"/>
      <c r="M512" s="18"/>
      <c r="N512" s="58"/>
    </row>
    <row r="513">
      <c r="A513" s="61"/>
      <c r="F513" s="18"/>
      <c r="G513" s="18"/>
      <c r="H513" s="18"/>
      <c r="I513" s="18"/>
      <c r="J513" s="18"/>
      <c r="K513" s="18"/>
      <c r="L513" s="18"/>
      <c r="M513" s="18"/>
      <c r="N513" s="58"/>
    </row>
    <row r="514">
      <c r="A514" s="61"/>
      <c r="F514" s="18"/>
      <c r="G514" s="18"/>
      <c r="H514" s="18"/>
      <c r="I514" s="18"/>
      <c r="J514" s="18"/>
      <c r="K514" s="18"/>
      <c r="L514" s="18"/>
      <c r="M514" s="18"/>
      <c r="N514" s="58"/>
    </row>
    <row r="515">
      <c r="A515" s="61"/>
      <c r="F515" s="18"/>
      <c r="G515" s="18"/>
      <c r="H515" s="18"/>
      <c r="I515" s="18"/>
      <c r="J515" s="18"/>
      <c r="K515" s="18"/>
      <c r="L515" s="18"/>
      <c r="M515" s="18"/>
      <c r="N515" s="58"/>
    </row>
    <row r="516">
      <c r="A516" s="61"/>
      <c r="F516" s="18"/>
      <c r="G516" s="18"/>
      <c r="H516" s="18"/>
      <c r="I516" s="18"/>
      <c r="J516" s="18"/>
      <c r="K516" s="18"/>
      <c r="L516" s="18"/>
      <c r="M516" s="18"/>
      <c r="N516" s="58"/>
    </row>
    <row r="517">
      <c r="A517" s="61"/>
      <c r="F517" s="18"/>
      <c r="G517" s="18"/>
      <c r="H517" s="18"/>
      <c r="I517" s="18"/>
      <c r="J517" s="18"/>
      <c r="K517" s="18"/>
      <c r="L517" s="18"/>
      <c r="M517" s="18"/>
      <c r="N517" s="58"/>
    </row>
    <row r="518">
      <c r="A518" s="61"/>
      <c r="F518" s="18"/>
      <c r="G518" s="18"/>
      <c r="H518" s="18"/>
      <c r="I518" s="18"/>
      <c r="J518" s="18"/>
      <c r="K518" s="18"/>
      <c r="L518" s="18"/>
      <c r="M518" s="18"/>
      <c r="N518" s="58"/>
    </row>
    <row r="519">
      <c r="A519" s="61"/>
      <c r="F519" s="18"/>
      <c r="G519" s="18"/>
      <c r="H519" s="18"/>
      <c r="I519" s="18"/>
      <c r="J519" s="18"/>
      <c r="K519" s="18"/>
      <c r="L519" s="18"/>
      <c r="M519" s="18"/>
      <c r="N519" s="58"/>
    </row>
    <row r="520">
      <c r="A520" s="61"/>
      <c r="F520" s="18"/>
      <c r="G520" s="18"/>
      <c r="H520" s="18"/>
      <c r="I520" s="18"/>
      <c r="J520" s="18"/>
      <c r="K520" s="18"/>
      <c r="L520" s="18"/>
      <c r="M520" s="18"/>
      <c r="N520" s="58"/>
    </row>
    <row r="521">
      <c r="A521" s="61"/>
      <c r="F521" s="18"/>
      <c r="G521" s="18"/>
      <c r="H521" s="18"/>
      <c r="I521" s="18"/>
      <c r="J521" s="18"/>
      <c r="K521" s="18"/>
      <c r="L521" s="18"/>
      <c r="M521" s="18"/>
      <c r="N521" s="58"/>
    </row>
    <row r="522">
      <c r="A522" s="61"/>
      <c r="F522" s="18"/>
      <c r="G522" s="18"/>
      <c r="H522" s="18"/>
      <c r="I522" s="18"/>
      <c r="J522" s="18"/>
      <c r="K522" s="18"/>
      <c r="L522" s="18"/>
      <c r="M522" s="18"/>
      <c r="N522" s="58"/>
    </row>
    <row r="523">
      <c r="A523" s="61"/>
      <c r="F523" s="18"/>
      <c r="G523" s="18"/>
      <c r="H523" s="18"/>
      <c r="I523" s="18"/>
      <c r="J523" s="18"/>
      <c r="K523" s="18"/>
      <c r="L523" s="18"/>
      <c r="M523" s="18"/>
      <c r="N523" s="58"/>
    </row>
    <row r="524">
      <c r="A524" s="61"/>
      <c r="F524" s="18"/>
      <c r="G524" s="18"/>
      <c r="H524" s="18"/>
      <c r="I524" s="18"/>
      <c r="J524" s="18"/>
      <c r="K524" s="18"/>
      <c r="L524" s="18"/>
      <c r="M524" s="18"/>
      <c r="N524" s="58"/>
    </row>
    <row r="525">
      <c r="A525" s="61"/>
      <c r="F525" s="18"/>
      <c r="G525" s="18"/>
      <c r="H525" s="18"/>
      <c r="I525" s="18"/>
      <c r="J525" s="18"/>
      <c r="K525" s="18"/>
      <c r="L525" s="18"/>
      <c r="M525" s="18"/>
      <c r="N525" s="58"/>
    </row>
    <row r="526">
      <c r="A526" s="61"/>
      <c r="F526" s="18"/>
      <c r="G526" s="18"/>
      <c r="H526" s="18"/>
      <c r="I526" s="18"/>
      <c r="J526" s="18"/>
      <c r="K526" s="18"/>
      <c r="L526" s="18"/>
      <c r="M526" s="18"/>
      <c r="N526" s="58"/>
    </row>
    <row r="527">
      <c r="A527" s="61"/>
      <c r="F527" s="18"/>
      <c r="G527" s="18"/>
      <c r="H527" s="18"/>
      <c r="I527" s="18"/>
      <c r="J527" s="18"/>
      <c r="K527" s="18"/>
      <c r="L527" s="18"/>
      <c r="M527" s="18"/>
      <c r="N527" s="58"/>
    </row>
    <row r="528">
      <c r="A528" s="61"/>
      <c r="F528" s="18"/>
      <c r="G528" s="18"/>
      <c r="H528" s="18"/>
      <c r="I528" s="18"/>
      <c r="J528" s="18"/>
      <c r="K528" s="18"/>
      <c r="L528" s="18"/>
      <c r="M528" s="18"/>
      <c r="N528" s="58"/>
    </row>
    <row r="529">
      <c r="A529" s="61"/>
      <c r="F529" s="18"/>
      <c r="G529" s="18"/>
      <c r="H529" s="18"/>
      <c r="I529" s="18"/>
      <c r="J529" s="18"/>
      <c r="K529" s="18"/>
      <c r="L529" s="18"/>
      <c r="M529" s="18"/>
      <c r="N529" s="58"/>
    </row>
    <row r="530">
      <c r="A530" s="61"/>
      <c r="F530" s="18"/>
      <c r="G530" s="18"/>
      <c r="H530" s="18"/>
      <c r="I530" s="18"/>
      <c r="J530" s="18"/>
      <c r="K530" s="18"/>
      <c r="L530" s="18"/>
      <c r="M530" s="18"/>
      <c r="N530" s="58"/>
    </row>
    <row r="531">
      <c r="A531" s="61"/>
      <c r="F531" s="18"/>
      <c r="G531" s="18"/>
      <c r="H531" s="18"/>
      <c r="I531" s="18"/>
      <c r="J531" s="18"/>
      <c r="K531" s="18"/>
      <c r="L531" s="18"/>
      <c r="M531" s="18"/>
      <c r="N531" s="58"/>
    </row>
    <row r="532">
      <c r="A532" s="61"/>
      <c r="F532" s="18"/>
      <c r="G532" s="18"/>
      <c r="H532" s="18"/>
      <c r="I532" s="18"/>
      <c r="J532" s="18"/>
      <c r="K532" s="18"/>
      <c r="L532" s="18"/>
      <c r="M532" s="18"/>
      <c r="N532" s="58"/>
    </row>
    <row r="533">
      <c r="A533" s="61"/>
      <c r="F533" s="18"/>
      <c r="G533" s="18"/>
      <c r="H533" s="18"/>
      <c r="I533" s="18"/>
      <c r="J533" s="18"/>
      <c r="K533" s="18"/>
      <c r="L533" s="18"/>
      <c r="M533" s="18"/>
      <c r="N533" s="58"/>
    </row>
    <row r="534">
      <c r="A534" s="61"/>
      <c r="F534" s="18"/>
      <c r="G534" s="18"/>
      <c r="H534" s="18"/>
      <c r="I534" s="18"/>
      <c r="J534" s="18"/>
      <c r="K534" s="18"/>
      <c r="L534" s="18"/>
      <c r="M534" s="18"/>
      <c r="N534" s="58"/>
    </row>
    <row r="535">
      <c r="A535" s="61"/>
      <c r="F535" s="18"/>
      <c r="G535" s="18"/>
      <c r="H535" s="18"/>
      <c r="I535" s="18"/>
      <c r="J535" s="18"/>
      <c r="K535" s="18"/>
      <c r="L535" s="18"/>
      <c r="M535" s="18"/>
      <c r="N535" s="58"/>
    </row>
    <row r="536">
      <c r="A536" s="61"/>
      <c r="F536" s="18"/>
      <c r="G536" s="18"/>
      <c r="H536" s="18"/>
      <c r="I536" s="18"/>
      <c r="J536" s="18"/>
      <c r="K536" s="18"/>
      <c r="L536" s="18"/>
      <c r="M536" s="18"/>
      <c r="N536" s="58"/>
    </row>
    <row r="537">
      <c r="A537" s="61"/>
      <c r="F537" s="18"/>
      <c r="G537" s="18"/>
      <c r="H537" s="18"/>
      <c r="I537" s="18"/>
      <c r="J537" s="18"/>
      <c r="K537" s="18"/>
      <c r="L537" s="18"/>
      <c r="M537" s="18"/>
      <c r="N537" s="58"/>
    </row>
    <row r="538">
      <c r="A538" s="61"/>
      <c r="F538" s="18"/>
      <c r="G538" s="18"/>
      <c r="H538" s="18"/>
      <c r="I538" s="18"/>
      <c r="J538" s="18"/>
      <c r="K538" s="18"/>
      <c r="L538" s="18"/>
      <c r="M538" s="18"/>
      <c r="N538" s="58"/>
    </row>
    <row r="539">
      <c r="A539" s="61"/>
      <c r="F539" s="18"/>
      <c r="G539" s="18"/>
      <c r="H539" s="18"/>
      <c r="I539" s="18"/>
      <c r="J539" s="18"/>
      <c r="K539" s="18"/>
      <c r="L539" s="18"/>
      <c r="M539" s="18"/>
      <c r="N539" s="58"/>
    </row>
    <row r="540">
      <c r="A540" s="61"/>
      <c r="F540" s="18"/>
      <c r="G540" s="18"/>
      <c r="H540" s="18"/>
      <c r="I540" s="18"/>
      <c r="J540" s="18"/>
      <c r="K540" s="18"/>
      <c r="L540" s="18"/>
      <c r="M540" s="18"/>
      <c r="N540" s="58"/>
    </row>
    <row r="541">
      <c r="A541" s="61"/>
      <c r="F541" s="18"/>
      <c r="G541" s="18"/>
      <c r="H541" s="18"/>
      <c r="I541" s="18"/>
      <c r="J541" s="18"/>
      <c r="K541" s="18"/>
      <c r="L541" s="18"/>
      <c r="M541" s="18"/>
      <c r="N541" s="58"/>
    </row>
    <row r="542">
      <c r="A542" s="61"/>
      <c r="F542" s="18"/>
      <c r="G542" s="18"/>
      <c r="H542" s="18"/>
      <c r="I542" s="18"/>
      <c r="J542" s="18"/>
      <c r="K542" s="18"/>
      <c r="L542" s="18"/>
      <c r="M542" s="18"/>
      <c r="N542" s="58"/>
    </row>
    <row r="543">
      <c r="A543" s="61"/>
      <c r="F543" s="18"/>
      <c r="G543" s="18"/>
      <c r="H543" s="18"/>
      <c r="I543" s="18"/>
      <c r="J543" s="18"/>
      <c r="K543" s="18"/>
      <c r="L543" s="18"/>
      <c r="M543" s="18"/>
      <c r="N543" s="58"/>
    </row>
    <row r="544">
      <c r="A544" s="61"/>
      <c r="F544" s="18"/>
      <c r="G544" s="18"/>
      <c r="H544" s="18"/>
      <c r="I544" s="18"/>
      <c r="J544" s="18"/>
      <c r="K544" s="18"/>
      <c r="L544" s="18"/>
      <c r="M544" s="18"/>
      <c r="N544" s="58"/>
    </row>
    <row r="545">
      <c r="A545" s="61"/>
      <c r="F545" s="18"/>
      <c r="G545" s="18"/>
      <c r="H545" s="18"/>
      <c r="I545" s="18"/>
      <c r="J545" s="18"/>
      <c r="K545" s="18"/>
      <c r="L545" s="18"/>
      <c r="M545" s="18"/>
      <c r="N545" s="58"/>
    </row>
    <row r="546">
      <c r="A546" s="61"/>
      <c r="F546" s="18"/>
      <c r="G546" s="18"/>
      <c r="H546" s="18"/>
      <c r="I546" s="18"/>
      <c r="J546" s="18"/>
      <c r="K546" s="18"/>
      <c r="L546" s="18"/>
      <c r="M546" s="18"/>
      <c r="N546" s="58"/>
    </row>
    <row r="547">
      <c r="A547" s="61"/>
      <c r="F547" s="18"/>
      <c r="G547" s="18"/>
      <c r="H547" s="18"/>
      <c r="I547" s="18"/>
      <c r="J547" s="18"/>
      <c r="K547" s="18"/>
      <c r="L547" s="18"/>
      <c r="M547" s="18"/>
      <c r="N547" s="58"/>
    </row>
    <row r="548">
      <c r="A548" s="61"/>
      <c r="F548" s="18"/>
      <c r="G548" s="18"/>
      <c r="H548" s="18"/>
      <c r="I548" s="18"/>
      <c r="J548" s="18"/>
      <c r="K548" s="18"/>
      <c r="L548" s="18"/>
      <c r="M548" s="18"/>
      <c r="N548" s="58"/>
    </row>
    <row r="549">
      <c r="A549" s="61"/>
      <c r="F549" s="18"/>
      <c r="G549" s="18"/>
      <c r="H549" s="18"/>
      <c r="I549" s="18"/>
      <c r="J549" s="18"/>
      <c r="K549" s="18"/>
      <c r="L549" s="18"/>
      <c r="M549" s="18"/>
      <c r="N549" s="58"/>
    </row>
    <row r="550">
      <c r="A550" s="61"/>
      <c r="F550" s="18"/>
      <c r="G550" s="18"/>
      <c r="H550" s="18"/>
      <c r="I550" s="18"/>
      <c r="J550" s="18"/>
      <c r="K550" s="18"/>
      <c r="L550" s="18"/>
      <c r="M550" s="18"/>
      <c r="N550" s="58"/>
    </row>
    <row r="551">
      <c r="A551" s="61"/>
      <c r="F551" s="18"/>
      <c r="G551" s="18"/>
      <c r="H551" s="18"/>
      <c r="I551" s="18"/>
      <c r="J551" s="18"/>
      <c r="K551" s="18"/>
      <c r="L551" s="18"/>
      <c r="M551" s="18"/>
      <c r="N551" s="58"/>
    </row>
    <row r="552">
      <c r="A552" s="61"/>
      <c r="F552" s="18"/>
      <c r="G552" s="18"/>
      <c r="H552" s="18"/>
      <c r="I552" s="18"/>
      <c r="J552" s="18"/>
      <c r="K552" s="18"/>
      <c r="L552" s="18"/>
      <c r="M552" s="18"/>
      <c r="N552" s="58"/>
    </row>
    <row r="553">
      <c r="A553" s="61"/>
      <c r="F553" s="18"/>
      <c r="G553" s="18"/>
      <c r="H553" s="18"/>
      <c r="I553" s="18"/>
      <c r="J553" s="18"/>
      <c r="K553" s="18"/>
      <c r="L553" s="18"/>
      <c r="M553" s="18"/>
      <c r="N553" s="58"/>
    </row>
    <row r="554">
      <c r="A554" s="61"/>
      <c r="F554" s="18"/>
      <c r="G554" s="18"/>
      <c r="H554" s="18"/>
      <c r="I554" s="18"/>
      <c r="J554" s="18"/>
      <c r="K554" s="18"/>
      <c r="L554" s="18"/>
      <c r="M554" s="18"/>
      <c r="N554" s="58"/>
    </row>
    <row r="555">
      <c r="A555" s="61"/>
      <c r="F555" s="18"/>
      <c r="G555" s="18"/>
      <c r="H555" s="18"/>
      <c r="I555" s="18"/>
      <c r="J555" s="18"/>
      <c r="K555" s="18"/>
      <c r="L555" s="18"/>
      <c r="M555" s="18"/>
      <c r="N555" s="58"/>
    </row>
    <row r="556">
      <c r="A556" s="61"/>
      <c r="F556" s="18"/>
      <c r="G556" s="18"/>
      <c r="H556" s="18"/>
      <c r="I556" s="18"/>
      <c r="J556" s="18"/>
      <c r="K556" s="18"/>
      <c r="L556" s="18"/>
      <c r="M556" s="18"/>
      <c r="N556" s="58"/>
    </row>
    <row r="557">
      <c r="A557" s="61"/>
      <c r="F557" s="18"/>
      <c r="G557" s="18"/>
      <c r="H557" s="18"/>
      <c r="I557" s="18"/>
      <c r="J557" s="18"/>
      <c r="K557" s="18"/>
      <c r="L557" s="18"/>
      <c r="M557" s="18"/>
      <c r="N557" s="58"/>
    </row>
    <row r="558">
      <c r="A558" s="61"/>
      <c r="F558" s="18"/>
      <c r="G558" s="18"/>
      <c r="H558" s="18"/>
      <c r="I558" s="18"/>
      <c r="J558" s="18"/>
      <c r="K558" s="18"/>
      <c r="L558" s="18"/>
      <c r="M558" s="18"/>
      <c r="N558" s="58"/>
    </row>
    <row r="559">
      <c r="A559" s="61"/>
      <c r="F559" s="18"/>
      <c r="G559" s="18"/>
      <c r="H559" s="18"/>
      <c r="I559" s="18"/>
      <c r="J559" s="18"/>
      <c r="K559" s="18"/>
      <c r="L559" s="18"/>
      <c r="M559" s="18"/>
      <c r="N559" s="58"/>
    </row>
    <row r="560">
      <c r="A560" s="61"/>
      <c r="F560" s="18"/>
      <c r="G560" s="18"/>
      <c r="H560" s="18"/>
      <c r="I560" s="18"/>
      <c r="J560" s="18"/>
      <c r="K560" s="18"/>
      <c r="L560" s="18"/>
      <c r="M560" s="18"/>
      <c r="N560" s="58"/>
    </row>
    <row r="561">
      <c r="A561" s="61"/>
      <c r="F561" s="18"/>
      <c r="G561" s="18"/>
      <c r="H561" s="18"/>
      <c r="I561" s="18"/>
      <c r="J561" s="18"/>
      <c r="K561" s="18"/>
      <c r="L561" s="18"/>
      <c r="M561" s="18"/>
      <c r="N561" s="58"/>
    </row>
    <row r="562">
      <c r="A562" s="61"/>
      <c r="F562" s="18"/>
      <c r="G562" s="18"/>
      <c r="H562" s="18"/>
      <c r="I562" s="18"/>
      <c r="J562" s="18"/>
      <c r="K562" s="18"/>
      <c r="L562" s="18"/>
      <c r="M562" s="18"/>
      <c r="N562" s="58"/>
    </row>
    <row r="563">
      <c r="A563" s="61"/>
      <c r="F563" s="18"/>
      <c r="G563" s="18"/>
      <c r="H563" s="18"/>
      <c r="I563" s="18"/>
      <c r="J563" s="18"/>
      <c r="K563" s="18"/>
      <c r="L563" s="18"/>
      <c r="M563" s="18"/>
      <c r="N563" s="58"/>
    </row>
    <row r="564">
      <c r="A564" s="61"/>
      <c r="F564" s="18"/>
      <c r="G564" s="18"/>
      <c r="H564" s="18"/>
      <c r="I564" s="18"/>
      <c r="J564" s="18"/>
      <c r="K564" s="18"/>
      <c r="L564" s="18"/>
      <c r="M564" s="18"/>
      <c r="N564" s="58"/>
    </row>
    <row r="565">
      <c r="A565" s="61"/>
      <c r="F565" s="18"/>
      <c r="G565" s="18"/>
      <c r="H565" s="18"/>
      <c r="I565" s="18"/>
      <c r="J565" s="18"/>
      <c r="K565" s="18"/>
      <c r="L565" s="18"/>
      <c r="M565" s="18"/>
      <c r="N565" s="58"/>
    </row>
    <row r="566">
      <c r="A566" s="61"/>
      <c r="F566" s="18"/>
      <c r="G566" s="18"/>
      <c r="H566" s="18"/>
      <c r="I566" s="18"/>
      <c r="J566" s="18"/>
      <c r="K566" s="18"/>
      <c r="L566" s="18"/>
      <c r="M566" s="18"/>
      <c r="N566" s="58"/>
    </row>
    <row r="567">
      <c r="A567" s="61"/>
      <c r="F567" s="18"/>
      <c r="G567" s="18"/>
      <c r="H567" s="18"/>
      <c r="I567" s="18"/>
      <c r="J567" s="18"/>
      <c r="K567" s="18"/>
      <c r="L567" s="18"/>
      <c r="M567" s="18"/>
      <c r="N567" s="58"/>
    </row>
    <row r="568">
      <c r="A568" s="61"/>
      <c r="F568" s="18"/>
      <c r="G568" s="18"/>
      <c r="H568" s="18"/>
      <c r="I568" s="18"/>
      <c r="J568" s="18"/>
      <c r="K568" s="18"/>
      <c r="L568" s="18"/>
      <c r="M568" s="18"/>
      <c r="N568" s="58"/>
    </row>
    <row r="569">
      <c r="A569" s="61"/>
      <c r="F569" s="18"/>
      <c r="G569" s="18"/>
      <c r="H569" s="18"/>
      <c r="I569" s="18"/>
      <c r="J569" s="18"/>
      <c r="K569" s="18"/>
      <c r="L569" s="18"/>
      <c r="M569" s="18"/>
      <c r="N569" s="58"/>
    </row>
    <row r="570">
      <c r="A570" s="61"/>
      <c r="F570" s="18"/>
      <c r="G570" s="18"/>
      <c r="H570" s="18"/>
      <c r="I570" s="18"/>
      <c r="J570" s="18"/>
      <c r="K570" s="18"/>
      <c r="L570" s="18"/>
      <c r="M570" s="18"/>
      <c r="N570" s="58"/>
    </row>
    <row r="571">
      <c r="A571" s="61"/>
      <c r="F571" s="18"/>
      <c r="G571" s="18"/>
      <c r="H571" s="18"/>
      <c r="I571" s="18"/>
      <c r="J571" s="18"/>
      <c r="K571" s="18"/>
      <c r="L571" s="18"/>
      <c r="M571" s="18"/>
      <c r="N571" s="58"/>
    </row>
    <row r="572">
      <c r="A572" s="61"/>
      <c r="F572" s="18"/>
      <c r="G572" s="18"/>
      <c r="H572" s="18"/>
      <c r="I572" s="18"/>
      <c r="J572" s="18"/>
      <c r="K572" s="18"/>
      <c r="L572" s="18"/>
      <c r="M572" s="18"/>
      <c r="N572" s="58"/>
    </row>
    <row r="573">
      <c r="A573" s="61"/>
      <c r="F573" s="18"/>
      <c r="G573" s="18"/>
      <c r="H573" s="18"/>
      <c r="I573" s="18"/>
      <c r="J573" s="18"/>
      <c r="K573" s="18"/>
      <c r="L573" s="18"/>
      <c r="M573" s="18"/>
      <c r="N573" s="58"/>
    </row>
    <row r="574">
      <c r="A574" s="61"/>
      <c r="F574" s="18"/>
      <c r="G574" s="18"/>
      <c r="H574" s="18"/>
      <c r="I574" s="18"/>
      <c r="J574" s="18"/>
      <c r="K574" s="18"/>
      <c r="L574" s="18"/>
      <c r="M574" s="18"/>
      <c r="N574" s="58"/>
    </row>
    <row r="575">
      <c r="A575" s="61"/>
      <c r="F575" s="18"/>
      <c r="G575" s="18"/>
      <c r="H575" s="18"/>
      <c r="I575" s="18"/>
      <c r="J575" s="18"/>
      <c r="K575" s="18"/>
      <c r="L575" s="18"/>
      <c r="M575" s="18"/>
      <c r="N575" s="58"/>
    </row>
    <row r="576">
      <c r="A576" s="61"/>
      <c r="F576" s="18"/>
      <c r="G576" s="18"/>
      <c r="H576" s="18"/>
      <c r="I576" s="18"/>
      <c r="J576" s="18"/>
      <c r="K576" s="18"/>
      <c r="L576" s="18"/>
      <c r="M576" s="18"/>
      <c r="N576" s="58"/>
    </row>
    <row r="577">
      <c r="A577" s="61"/>
      <c r="F577" s="18"/>
      <c r="G577" s="18"/>
      <c r="H577" s="18"/>
      <c r="I577" s="18"/>
      <c r="J577" s="18"/>
      <c r="K577" s="18"/>
      <c r="L577" s="18"/>
      <c r="M577" s="18"/>
      <c r="N577" s="58"/>
    </row>
    <row r="578">
      <c r="A578" s="61"/>
      <c r="F578" s="18"/>
      <c r="G578" s="18"/>
      <c r="H578" s="18"/>
      <c r="I578" s="18"/>
      <c r="J578" s="18"/>
      <c r="K578" s="18"/>
      <c r="L578" s="18"/>
      <c r="M578" s="18"/>
      <c r="N578" s="58"/>
    </row>
    <row r="579">
      <c r="A579" s="61"/>
      <c r="F579" s="18"/>
      <c r="G579" s="18"/>
      <c r="H579" s="18"/>
      <c r="I579" s="18"/>
      <c r="J579" s="18"/>
      <c r="K579" s="18"/>
      <c r="L579" s="18"/>
      <c r="M579" s="18"/>
      <c r="N579" s="58"/>
    </row>
    <row r="580">
      <c r="A580" s="61"/>
      <c r="F580" s="18"/>
      <c r="G580" s="18"/>
      <c r="H580" s="18"/>
      <c r="I580" s="18"/>
      <c r="J580" s="18"/>
      <c r="K580" s="18"/>
      <c r="L580" s="18"/>
      <c r="M580" s="18"/>
      <c r="N580" s="58"/>
    </row>
    <row r="581">
      <c r="A581" s="61"/>
      <c r="F581" s="18"/>
      <c r="G581" s="18"/>
      <c r="H581" s="18"/>
      <c r="I581" s="18"/>
      <c r="J581" s="18"/>
      <c r="K581" s="18"/>
      <c r="L581" s="18"/>
      <c r="M581" s="18"/>
      <c r="N581" s="58"/>
    </row>
    <row r="582">
      <c r="A582" s="61"/>
      <c r="F582" s="18"/>
      <c r="G582" s="18"/>
      <c r="H582" s="18"/>
      <c r="I582" s="18"/>
      <c r="J582" s="18"/>
      <c r="K582" s="18"/>
      <c r="L582" s="18"/>
      <c r="M582" s="18"/>
      <c r="N582" s="58"/>
    </row>
    <row r="583">
      <c r="A583" s="61"/>
      <c r="F583" s="18"/>
      <c r="G583" s="18"/>
      <c r="H583" s="18"/>
      <c r="I583" s="18"/>
      <c r="J583" s="18"/>
      <c r="K583" s="18"/>
      <c r="L583" s="18"/>
      <c r="M583" s="18"/>
      <c r="N583" s="58"/>
    </row>
    <row r="584">
      <c r="A584" s="61"/>
      <c r="F584" s="18"/>
      <c r="G584" s="18"/>
      <c r="H584" s="18"/>
      <c r="I584" s="18"/>
      <c r="J584" s="18"/>
      <c r="K584" s="18"/>
      <c r="L584" s="18"/>
      <c r="M584" s="18"/>
      <c r="N584" s="58"/>
    </row>
    <row r="585">
      <c r="A585" s="61"/>
      <c r="F585" s="18"/>
      <c r="G585" s="18"/>
      <c r="H585" s="18"/>
      <c r="I585" s="18"/>
      <c r="J585" s="18"/>
      <c r="K585" s="18"/>
      <c r="L585" s="18"/>
      <c r="M585" s="18"/>
      <c r="N585" s="58"/>
    </row>
    <row r="586">
      <c r="A586" s="61"/>
      <c r="F586" s="18"/>
      <c r="G586" s="18"/>
      <c r="H586" s="18"/>
      <c r="I586" s="18"/>
      <c r="J586" s="18"/>
      <c r="K586" s="18"/>
      <c r="L586" s="18"/>
      <c r="M586" s="18"/>
      <c r="N586" s="58"/>
    </row>
    <row r="587">
      <c r="A587" s="61"/>
      <c r="F587" s="18"/>
      <c r="G587" s="18"/>
      <c r="H587" s="18"/>
      <c r="I587" s="18"/>
      <c r="J587" s="18"/>
      <c r="K587" s="18"/>
      <c r="L587" s="18"/>
      <c r="M587" s="18"/>
      <c r="N587" s="58"/>
    </row>
    <row r="588">
      <c r="A588" s="61"/>
      <c r="F588" s="18"/>
      <c r="G588" s="18"/>
      <c r="H588" s="18"/>
      <c r="I588" s="18"/>
      <c r="J588" s="18"/>
      <c r="K588" s="18"/>
      <c r="L588" s="18"/>
      <c r="M588" s="18"/>
      <c r="N588" s="58"/>
    </row>
    <row r="589">
      <c r="A589" s="61"/>
      <c r="F589" s="18"/>
      <c r="G589" s="18"/>
      <c r="H589" s="18"/>
      <c r="I589" s="18"/>
      <c r="J589" s="18"/>
      <c r="K589" s="18"/>
      <c r="L589" s="18"/>
      <c r="M589" s="18"/>
      <c r="N589" s="58"/>
    </row>
    <row r="590">
      <c r="A590" s="61"/>
      <c r="F590" s="18"/>
      <c r="G590" s="18"/>
      <c r="H590" s="18"/>
      <c r="I590" s="18"/>
      <c r="J590" s="18"/>
      <c r="K590" s="18"/>
      <c r="L590" s="18"/>
      <c r="M590" s="18"/>
      <c r="N590" s="58"/>
    </row>
    <row r="591">
      <c r="A591" s="61"/>
      <c r="F591" s="18"/>
      <c r="G591" s="18"/>
      <c r="H591" s="18"/>
      <c r="I591" s="18"/>
      <c r="J591" s="18"/>
      <c r="K591" s="18"/>
      <c r="L591" s="18"/>
      <c r="M591" s="18"/>
      <c r="N591" s="58"/>
    </row>
    <row r="592">
      <c r="A592" s="61"/>
      <c r="F592" s="18"/>
      <c r="G592" s="18"/>
      <c r="H592" s="18"/>
      <c r="I592" s="18"/>
      <c r="J592" s="18"/>
      <c r="K592" s="18"/>
      <c r="L592" s="18"/>
      <c r="M592" s="18"/>
      <c r="N592" s="58"/>
    </row>
    <row r="593">
      <c r="A593" s="61"/>
      <c r="F593" s="18"/>
      <c r="G593" s="18"/>
      <c r="H593" s="18"/>
      <c r="I593" s="18"/>
      <c r="J593" s="18"/>
      <c r="K593" s="18"/>
      <c r="L593" s="18"/>
      <c r="M593" s="18"/>
      <c r="N593" s="58"/>
    </row>
    <row r="594">
      <c r="A594" s="61"/>
      <c r="F594" s="18"/>
      <c r="G594" s="18"/>
      <c r="H594" s="18"/>
      <c r="I594" s="18"/>
      <c r="J594" s="18"/>
      <c r="K594" s="18"/>
      <c r="L594" s="18"/>
      <c r="M594" s="18"/>
      <c r="N594" s="58"/>
    </row>
    <row r="595">
      <c r="A595" s="61"/>
      <c r="F595" s="18"/>
      <c r="G595" s="18"/>
      <c r="H595" s="18"/>
      <c r="I595" s="18"/>
      <c r="J595" s="18"/>
      <c r="K595" s="18"/>
      <c r="L595" s="18"/>
      <c r="M595" s="18"/>
      <c r="N595" s="58"/>
    </row>
    <row r="596">
      <c r="A596" s="61"/>
      <c r="F596" s="18"/>
      <c r="G596" s="18"/>
      <c r="H596" s="18"/>
      <c r="I596" s="18"/>
      <c r="J596" s="18"/>
      <c r="K596" s="18"/>
      <c r="L596" s="18"/>
      <c r="M596" s="18"/>
      <c r="N596" s="58"/>
    </row>
    <row r="597">
      <c r="A597" s="61"/>
      <c r="F597" s="18"/>
      <c r="G597" s="18"/>
      <c r="H597" s="18"/>
      <c r="I597" s="18"/>
      <c r="J597" s="18"/>
      <c r="K597" s="18"/>
      <c r="L597" s="18"/>
      <c r="M597" s="18"/>
      <c r="N597" s="58"/>
    </row>
    <row r="598">
      <c r="A598" s="61"/>
      <c r="F598" s="18"/>
      <c r="G598" s="18"/>
      <c r="H598" s="18"/>
      <c r="I598" s="18"/>
      <c r="J598" s="18"/>
      <c r="K598" s="18"/>
      <c r="L598" s="18"/>
      <c r="M598" s="18"/>
      <c r="N598" s="58"/>
    </row>
    <row r="599">
      <c r="A599" s="61"/>
      <c r="F599" s="18"/>
      <c r="G599" s="18"/>
      <c r="H599" s="18"/>
      <c r="I599" s="18"/>
      <c r="J599" s="18"/>
      <c r="K599" s="18"/>
      <c r="L599" s="18"/>
      <c r="M599" s="18"/>
      <c r="N599" s="58"/>
    </row>
    <row r="600">
      <c r="A600" s="61"/>
      <c r="F600" s="18"/>
      <c r="G600" s="18"/>
      <c r="H600" s="18"/>
      <c r="I600" s="18"/>
      <c r="J600" s="18"/>
      <c r="K600" s="18"/>
      <c r="L600" s="18"/>
      <c r="M600" s="18"/>
      <c r="N600" s="58"/>
    </row>
    <row r="601">
      <c r="A601" s="61"/>
      <c r="F601" s="18"/>
      <c r="G601" s="18"/>
      <c r="H601" s="18"/>
      <c r="I601" s="18"/>
      <c r="J601" s="18"/>
      <c r="K601" s="18"/>
      <c r="L601" s="18"/>
      <c r="M601" s="18"/>
      <c r="N601" s="58"/>
    </row>
    <row r="602">
      <c r="A602" s="61"/>
      <c r="F602" s="18"/>
      <c r="G602" s="18"/>
      <c r="H602" s="18"/>
      <c r="I602" s="18"/>
      <c r="J602" s="18"/>
      <c r="K602" s="18"/>
      <c r="L602" s="18"/>
      <c r="M602" s="18"/>
      <c r="N602" s="58"/>
    </row>
    <row r="603">
      <c r="A603" s="61"/>
      <c r="F603" s="18"/>
      <c r="G603" s="18"/>
      <c r="H603" s="18"/>
      <c r="I603" s="18"/>
      <c r="J603" s="18"/>
      <c r="K603" s="18"/>
      <c r="L603" s="18"/>
      <c r="M603" s="18"/>
      <c r="N603" s="58"/>
    </row>
    <row r="604">
      <c r="A604" s="61"/>
      <c r="F604" s="18"/>
      <c r="G604" s="18"/>
      <c r="H604" s="18"/>
      <c r="I604" s="18"/>
      <c r="J604" s="18"/>
      <c r="K604" s="18"/>
      <c r="L604" s="18"/>
      <c r="M604" s="18"/>
      <c r="N604" s="58"/>
    </row>
    <row r="605">
      <c r="A605" s="61"/>
      <c r="F605" s="18"/>
      <c r="G605" s="18"/>
      <c r="H605" s="18"/>
      <c r="I605" s="18"/>
      <c r="J605" s="18"/>
      <c r="K605" s="18"/>
      <c r="L605" s="18"/>
      <c r="M605" s="18"/>
      <c r="N605" s="58"/>
    </row>
    <row r="606">
      <c r="A606" s="61"/>
      <c r="F606" s="18"/>
      <c r="G606" s="18"/>
      <c r="H606" s="18"/>
      <c r="I606" s="18"/>
      <c r="J606" s="18"/>
      <c r="K606" s="18"/>
      <c r="L606" s="18"/>
      <c r="M606" s="18"/>
      <c r="N606" s="58"/>
    </row>
    <row r="607">
      <c r="A607" s="61"/>
      <c r="F607" s="18"/>
      <c r="G607" s="18"/>
      <c r="H607" s="18"/>
      <c r="I607" s="18"/>
      <c r="J607" s="18"/>
      <c r="K607" s="18"/>
      <c r="L607" s="18"/>
      <c r="M607" s="18"/>
      <c r="N607" s="58"/>
    </row>
    <row r="608">
      <c r="A608" s="61"/>
      <c r="F608" s="18"/>
      <c r="G608" s="18"/>
      <c r="H608" s="18"/>
      <c r="I608" s="18"/>
      <c r="J608" s="18"/>
      <c r="K608" s="18"/>
      <c r="L608" s="18"/>
      <c r="M608" s="18"/>
      <c r="N608" s="58"/>
    </row>
    <row r="609">
      <c r="A609" s="61"/>
      <c r="F609" s="18"/>
      <c r="G609" s="18"/>
      <c r="H609" s="18"/>
      <c r="I609" s="18"/>
      <c r="J609" s="18"/>
      <c r="K609" s="18"/>
      <c r="L609" s="18"/>
      <c r="M609" s="18"/>
      <c r="N609" s="58"/>
    </row>
    <row r="610">
      <c r="A610" s="61"/>
      <c r="F610" s="18"/>
      <c r="G610" s="18"/>
      <c r="H610" s="18"/>
      <c r="I610" s="18"/>
      <c r="J610" s="18"/>
      <c r="K610" s="18"/>
      <c r="L610" s="18"/>
      <c r="M610" s="18"/>
      <c r="N610" s="58"/>
    </row>
    <row r="611">
      <c r="A611" s="61"/>
      <c r="F611" s="18"/>
      <c r="G611" s="18"/>
      <c r="H611" s="18"/>
      <c r="I611" s="18"/>
      <c r="J611" s="18"/>
      <c r="K611" s="18"/>
      <c r="L611" s="18"/>
      <c r="M611" s="18"/>
      <c r="N611" s="58"/>
    </row>
    <row r="612">
      <c r="A612" s="61"/>
      <c r="F612" s="18"/>
      <c r="G612" s="18"/>
      <c r="H612" s="18"/>
      <c r="I612" s="18"/>
      <c r="J612" s="18"/>
      <c r="K612" s="18"/>
      <c r="L612" s="18"/>
      <c r="M612" s="18"/>
      <c r="N612" s="58"/>
    </row>
    <row r="613">
      <c r="A613" s="61"/>
      <c r="F613" s="18"/>
      <c r="G613" s="18"/>
      <c r="H613" s="18"/>
      <c r="I613" s="18"/>
      <c r="J613" s="18"/>
      <c r="K613" s="18"/>
      <c r="L613" s="18"/>
      <c r="M613" s="18"/>
      <c r="N613" s="58"/>
    </row>
    <row r="614">
      <c r="A614" s="61"/>
      <c r="F614" s="18"/>
      <c r="G614" s="18"/>
      <c r="H614" s="18"/>
      <c r="I614" s="18"/>
      <c r="J614" s="18"/>
      <c r="K614" s="18"/>
      <c r="L614" s="18"/>
      <c r="M614" s="18"/>
      <c r="N614" s="58"/>
    </row>
    <row r="615">
      <c r="A615" s="61"/>
      <c r="F615" s="18"/>
      <c r="G615" s="18"/>
      <c r="H615" s="18"/>
      <c r="I615" s="18"/>
      <c r="J615" s="18"/>
      <c r="K615" s="18"/>
      <c r="L615" s="18"/>
      <c r="M615" s="18"/>
      <c r="N615" s="58"/>
    </row>
    <row r="616">
      <c r="A616" s="61"/>
      <c r="F616" s="18"/>
      <c r="G616" s="18"/>
      <c r="H616" s="18"/>
      <c r="I616" s="18"/>
      <c r="J616" s="18"/>
      <c r="K616" s="18"/>
      <c r="L616" s="18"/>
      <c r="M616" s="18"/>
      <c r="N616" s="58"/>
    </row>
    <row r="617">
      <c r="A617" s="61"/>
      <c r="F617" s="18"/>
      <c r="G617" s="18"/>
      <c r="H617" s="18"/>
      <c r="I617" s="18"/>
      <c r="J617" s="18"/>
      <c r="K617" s="18"/>
      <c r="L617" s="18"/>
      <c r="M617" s="18"/>
      <c r="N617" s="58"/>
    </row>
    <row r="618">
      <c r="A618" s="61"/>
      <c r="F618" s="18"/>
      <c r="G618" s="18"/>
      <c r="H618" s="18"/>
      <c r="I618" s="18"/>
      <c r="J618" s="18"/>
      <c r="K618" s="18"/>
      <c r="L618" s="18"/>
      <c r="M618" s="18"/>
      <c r="N618" s="58"/>
    </row>
    <row r="619">
      <c r="A619" s="61"/>
      <c r="F619" s="18"/>
      <c r="G619" s="18"/>
      <c r="H619" s="18"/>
      <c r="I619" s="18"/>
      <c r="J619" s="18"/>
      <c r="K619" s="18"/>
      <c r="L619" s="18"/>
      <c r="M619" s="18"/>
      <c r="N619" s="58"/>
    </row>
    <row r="620">
      <c r="A620" s="61"/>
      <c r="F620" s="18"/>
      <c r="G620" s="18"/>
      <c r="H620" s="18"/>
      <c r="I620" s="18"/>
      <c r="J620" s="18"/>
      <c r="K620" s="18"/>
      <c r="L620" s="18"/>
      <c r="M620" s="18"/>
      <c r="N620" s="58"/>
    </row>
    <row r="621">
      <c r="A621" s="61"/>
      <c r="F621" s="18"/>
      <c r="G621" s="18"/>
      <c r="H621" s="18"/>
      <c r="I621" s="18"/>
      <c r="J621" s="18"/>
      <c r="K621" s="18"/>
      <c r="L621" s="18"/>
      <c r="M621" s="18"/>
      <c r="N621" s="58"/>
    </row>
    <row r="622">
      <c r="A622" s="61"/>
      <c r="F622" s="18"/>
      <c r="G622" s="18"/>
      <c r="H622" s="18"/>
      <c r="I622" s="18"/>
      <c r="J622" s="18"/>
      <c r="K622" s="18"/>
      <c r="L622" s="18"/>
      <c r="M622" s="18"/>
      <c r="N622" s="58"/>
    </row>
    <row r="623">
      <c r="A623" s="61"/>
      <c r="F623" s="18"/>
      <c r="G623" s="18"/>
      <c r="H623" s="18"/>
      <c r="I623" s="18"/>
      <c r="J623" s="18"/>
      <c r="K623" s="18"/>
      <c r="L623" s="18"/>
      <c r="M623" s="18"/>
      <c r="N623" s="58"/>
    </row>
    <row r="624">
      <c r="A624" s="61"/>
      <c r="F624" s="18"/>
      <c r="G624" s="18"/>
      <c r="H624" s="18"/>
      <c r="I624" s="18"/>
      <c r="J624" s="18"/>
      <c r="K624" s="18"/>
      <c r="L624" s="18"/>
      <c r="M624" s="18"/>
      <c r="N624" s="58"/>
    </row>
    <row r="625">
      <c r="A625" s="61"/>
      <c r="F625" s="18"/>
      <c r="G625" s="18"/>
      <c r="H625" s="18"/>
      <c r="I625" s="18"/>
      <c r="J625" s="18"/>
      <c r="K625" s="18"/>
      <c r="L625" s="18"/>
      <c r="M625" s="18"/>
      <c r="N625" s="58"/>
    </row>
    <row r="626">
      <c r="A626" s="61"/>
      <c r="F626" s="18"/>
      <c r="G626" s="18"/>
      <c r="H626" s="18"/>
      <c r="I626" s="18"/>
      <c r="J626" s="18"/>
      <c r="K626" s="18"/>
      <c r="L626" s="18"/>
      <c r="M626" s="18"/>
      <c r="N626" s="58"/>
    </row>
    <row r="627">
      <c r="A627" s="61"/>
      <c r="F627" s="18"/>
      <c r="G627" s="18"/>
      <c r="H627" s="18"/>
      <c r="I627" s="18"/>
      <c r="J627" s="18"/>
      <c r="K627" s="18"/>
      <c r="L627" s="18"/>
      <c r="M627" s="18"/>
      <c r="N627" s="58"/>
    </row>
    <row r="628">
      <c r="A628" s="61"/>
      <c r="F628" s="18"/>
      <c r="G628" s="18"/>
      <c r="H628" s="18"/>
      <c r="I628" s="18"/>
      <c r="J628" s="18"/>
      <c r="K628" s="18"/>
      <c r="L628" s="18"/>
      <c r="M628" s="18"/>
      <c r="N628" s="58"/>
    </row>
    <row r="629">
      <c r="A629" s="61"/>
      <c r="F629" s="18"/>
      <c r="G629" s="18"/>
      <c r="H629" s="18"/>
      <c r="I629" s="18"/>
      <c r="J629" s="18"/>
      <c r="K629" s="18"/>
      <c r="L629" s="18"/>
      <c r="M629" s="18"/>
      <c r="N629" s="58"/>
    </row>
    <row r="630">
      <c r="A630" s="61"/>
      <c r="F630" s="18"/>
      <c r="G630" s="18"/>
      <c r="H630" s="18"/>
      <c r="I630" s="18"/>
      <c r="J630" s="18"/>
      <c r="K630" s="18"/>
      <c r="L630" s="18"/>
      <c r="M630" s="18"/>
      <c r="N630" s="58"/>
    </row>
    <row r="631">
      <c r="A631" s="61"/>
      <c r="F631" s="18"/>
      <c r="G631" s="18"/>
      <c r="H631" s="18"/>
      <c r="I631" s="18"/>
      <c r="J631" s="18"/>
      <c r="K631" s="18"/>
      <c r="L631" s="18"/>
      <c r="M631" s="18"/>
      <c r="N631" s="58"/>
    </row>
    <row r="632">
      <c r="A632" s="61"/>
      <c r="F632" s="18"/>
      <c r="G632" s="18"/>
      <c r="H632" s="18"/>
      <c r="I632" s="18"/>
      <c r="J632" s="18"/>
      <c r="K632" s="18"/>
      <c r="L632" s="18"/>
      <c r="M632" s="18"/>
      <c r="N632" s="58"/>
    </row>
    <row r="633">
      <c r="A633" s="61"/>
      <c r="F633" s="18"/>
      <c r="G633" s="18"/>
      <c r="H633" s="18"/>
      <c r="I633" s="18"/>
      <c r="J633" s="18"/>
      <c r="K633" s="18"/>
      <c r="L633" s="18"/>
      <c r="M633" s="18"/>
      <c r="N633" s="58"/>
    </row>
    <row r="634">
      <c r="A634" s="61"/>
      <c r="F634" s="18"/>
      <c r="G634" s="18"/>
      <c r="H634" s="18"/>
      <c r="I634" s="18"/>
      <c r="J634" s="18"/>
      <c r="K634" s="18"/>
      <c r="L634" s="18"/>
      <c r="M634" s="18"/>
      <c r="N634" s="58"/>
    </row>
    <row r="635">
      <c r="A635" s="61"/>
      <c r="F635" s="18"/>
      <c r="G635" s="18"/>
      <c r="H635" s="18"/>
      <c r="I635" s="18"/>
      <c r="J635" s="18"/>
      <c r="K635" s="18"/>
      <c r="L635" s="18"/>
      <c r="M635" s="18"/>
      <c r="N635" s="58"/>
    </row>
    <row r="636">
      <c r="A636" s="61"/>
      <c r="F636" s="18"/>
      <c r="G636" s="18"/>
      <c r="H636" s="18"/>
      <c r="I636" s="18"/>
      <c r="J636" s="18"/>
      <c r="K636" s="18"/>
      <c r="L636" s="18"/>
      <c r="M636" s="18"/>
      <c r="N636" s="58"/>
    </row>
    <row r="637">
      <c r="A637" s="61"/>
      <c r="F637" s="18"/>
      <c r="G637" s="18"/>
      <c r="H637" s="18"/>
      <c r="I637" s="18"/>
      <c r="J637" s="18"/>
      <c r="K637" s="18"/>
      <c r="L637" s="18"/>
      <c r="M637" s="18"/>
      <c r="N637" s="58"/>
    </row>
    <row r="638">
      <c r="A638" s="61"/>
      <c r="F638" s="18"/>
      <c r="G638" s="18"/>
      <c r="H638" s="18"/>
      <c r="I638" s="18"/>
      <c r="J638" s="18"/>
      <c r="K638" s="18"/>
      <c r="L638" s="18"/>
      <c r="M638" s="18"/>
      <c r="N638" s="58"/>
    </row>
    <row r="639">
      <c r="A639" s="61"/>
      <c r="F639" s="18"/>
      <c r="G639" s="18"/>
      <c r="H639" s="18"/>
      <c r="I639" s="18"/>
      <c r="J639" s="18"/>
      <c r="K639" s="18"/>
      <c r="L639" s="18"/>
      <c r="M639" s="18"/>
      <c r="N639" s="58"/>
    </row>
    <row r="640">
      <c r="A640" s="61"/>
      <c r="F640" s="18"/>
      <c r="G640" s="18"/>
      <c r="H640" s="18"/>
      <c r="I640" s="18"/>
      <c r="J640" s="18"/>
      <c r="K640" s="18"/>
      <c r="L640" s="18"/>
      <c r="M640" s="18"/>
      <c r="N640" s="58"/>
    </row>
    <row r="641">
      <c r="A641" s="61"/>
      <c r="F641" s="18"/>
      <c r="G641" s="18"/>
      <c r="H641" s="18"/>
      <c r="I641" s="18"/>
      <c r="J641" s="18"/>
      <c r="K641" s="18"/>
      <c r="L641" s="18"/>
      <c r="M641" s="18"/>
      <c r="N641" s="58"/>
    </row>
    <row r="642">
      <c r="A642" s="61"/>
      <c r="F642" s="18"/>
      <c r="G642" s="18"/>
      <c r="H642" s="18"/>
      <c r="I642" s="18"/>
      <c r="J642" s="18"/>
      <c r="K642" s="18"/>
      <c r="L642" s="18"/>
      <c r="M642" s="18"/>
      <c r="N642" s="58"/>
    </row>
    <row r="643">
      <c r="A643" s="61"/>
      <c r="F643" s="18"/>
      <c r="G643" s="18"/>
      <c r="H643" s="18"/>
      <c r="I643" s="18"/>
      <c r="J643" s="18"/>
      <c r="K643" s="18"/>
      <c r="L643" s="18"/>
      <c r="M643" s="18"/>
      <c r="N643" s="58"/>
    </row>
    <row r="644">
      <c r="A644" s="61"/>
      <c r="F644" s="18"/>
      <c r="G644" s="18"/>
      <c r="H644" s="18"/>
      <c r="I644" s="18"/>
      <c r="J644" s="18"/>
      <c r="K644" s="18"/>
      <c r="L644" s="18"/>
      <c r="M644" s="18"/>
      <c r="N644" s="58"/>
    </row>
    <row r="645">
      <c r="A645" s="61"/>
      <c r="F645" s="18"/>
      <c r="G645" s="18"/>
      <c r="H645" s="18"/>
      <c r="I645" s="18"/>
      <c r="J645" s="18"/>
      <c r="K645" s="18"/>
      <c r="L645" s="18"/>
      <c r="M645" s="18"/>
      <c r="N645" s="58"/>
    </row>
    <row r="646">
      <c r="A646" s="61"/>
      <c r="F646" s="18"/>
      <c r="G646" s="18"/>
      <c r="H646" s="18"/>
      <c r="I646" s="18"/>
      <c r="J646" s="18"/>
      <c r="K646" s="18"/>
      <c r="L646" s="18"/>
      <c r="M646" s="18"/>
      <c r="N646" s="58"/>
    </row>
    <row r="647">
      <c r="A647" s="61"/>
      <c r="F647" s="18"/>
      <c r="G647" s="18"/>
      <c r="H647" s="18"/>
      <c r="I647" s="18"/>
      <c r="J647" s="18"/>
      <c r="K647" s="18"/>
      <c r="L647" s="18"/>
      <c r="M647" s="18"/>
      <c r="N647" s="58"/>
    </row>
    <row r="648">
      <c r="A648" s="61"/>
      <c r="F648" s="18"/>
      <c r="G648" s="18"/>
      <c r="H648" s="18"/>
      <c r="I648" s="18"/>
      <c r="J648" s="18"/>
      <c r="K648" s="18"/>
      <c r="L648" s="18"/>
      <c r="M648" s="18"/>
      <c r="N648" s="58"/>
    </row>
    <row r="649">
      <c r="A649" s="61"/>
      <c r="F649" s="18"/>
      <c r="G649" s="18"/>
      <c r="H649" s="18"/>
      <c r="I649" s="18"/>
      <c r="J649" s="18"/>
      <c r="K649" s="18"/>
      <c r="L649" s="18"/>
      <c r="M649" s="18"/>
      <c r="N649" s="58"/>
    </row>
  </sheetData>
  <autoFilter ref="$A$1:$Z$117"/>
  <mergeCells count="1">
    <mergeCell ref="Q4:T8"/>
  </mergeCells>
  <conditionalFormatting sqref="A2:O702">
    <cfRule type="expression" dxfId="0" priority="1">
      <formula>AND(   $A2&lt;&gt;"",   $A2&lt;ISOWEEKNUM(TODAY()),   $O2&lt;&gt;TRUE,   $N2&gt;0 )</formula>
    </cfRule>
  </conditionalFormatting>
  <conditionalFormatting sqref="A2:O702">
    <cfRule type="expression" dxfId="1" priority="2">
      <formula>AND($A2&lt;&gt;"",$A2=ISOWEEKNUM(TODAY()))</formula>
    </cfRule>
  </conditionalFormatting>
  <conditionalFormatting sqref="A2:O702">
    <cfRule type="expression" dxfId="2" priority="3">
      <formula>AND(   $A2&lt;&gt;"",   $A2&lt;ISOWEEKNUM(TODAY()),   OR($O2=TRUE,$N2=0) )</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9.0"/>
  </cols>
  <sheetData>
    <row r="1">
      <c r="A1" s="5" t="s">
        <v>11</v>
      </c>
      <c r="B1" s="5" t="s">
        <v>12</v>
      </c>
    </row>
    <row r="2">
      <c r="A2" s="5" t="s">
        <v>15</v>
      </c>
      <c r="B2" s="5">
        <v>161.0</v>
      </c>
    </row>
    <row r="3">
      <c r="A3" s="5" t="s">
        <v>16</v>
      </c>
      <c r="B3" s="5">
        <v>81.0</v>
      </c>
    </row>
    <row r="4">
      <c r="A4" s="5" t="s">
        <v>18</v>
      </c>
      <c r="B4" s="5">
        <v>137.0</v>
      </c>
    </row>
    <row r="5">
      <c r="A5" s="8"/>
    </row>
    <row r="6">
      <c r="A6" s="8"/>
    </row>
    <row r="7">
      <c r="A7" s="8"/>
    </row>
    <row r="8">
      <c r="A8" s="8"/>
    </row>
    <row r="9">
      <c r="A9" s="8"/>
    </row>
    <row r="10">
      <c r="A10" s="8"/>
    </row>
    <row r="11">
      <c r="A11" s="8"/>
    </row>
    <row r="12">
      <c r="A12" s="8"/>
    </row>
    <row r="13">
      <c r="A13" s="8"/>
    </row>
    <row r="14">
      <c r="A14" s="8"/>
    </row>
    <row r="15">
      <c r="A15" s="8"/>
    </row>
    <row r="16">
      <c r="A16" s="8"/>
    </row>
    <row r="17">
      <c r="A17" s="8"/>
    </row>
    <row r="18">
      <c r="A18" s="8"/>
    </row>
    <row r="19">
      <c r="A19" s="8"/>
    </row>
    <row r="20">
      <c r="A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dataValidations>
    <dataValidation type="list" allowBlank="1" showErrorMessage="1" sqref="A2:A1000">
      <formula1>'Données'!$M$2:$M1000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4.0"/>
    <col customWidth="1" min="3" max="3" width="22.5"/>
    <col customWidth="1" min="4" max="4" width="41.75"/>
    <col customWidth="1" min="5" max="5" width="22.13"/>
    <col customWidth="1" min="6" max="6" width="10.88"/>
    <col customWidth="1" min="7" max="7" width="11.5"/>
  </cols>
  <sheetData>
    <row r="1">
      <c r="A1" s="51" t="s">
        <v>179</v>
      </c>
      <c r="B1" s="52" t="s">
        <v>34</v>
      </c>
      <c r="C1" s="52" t="s">
        <v>180</v>
      </c>
      <c r="D1" s="52" t="s">
        <v>181</v>
      </c>
      <c r="E1" s="53" t="s">
        <v>182</v>
      </c>
      <c r="F1" s="52" t="s">
        <v>30</v>
      </c>
      <c r="G1" s="52" t="s">
        <v>183</v>
      </c>
    </row>
    <row r="2">
      <c r="A2" s="54">
        <v>46267.5</v>
      </c>
      <c r="B2" s="5" t="s">
        <v>184</v>
      </c>
      <c r="C2" s="5" t="s">
        <v>185</v>
      </c>
      <c r="D2" s="5" t="s">
        <v>186</v>
      </c>
      <c r="E2" s="55">
        <v>40.0</v>
      </c>
      <c r="F2" s="5" t="b">
        <v>1</v>
      </c>
      <c r="G2" s="5" t="b">
        <v>1</v>
      </c>
    </row>
    <row r="3">
      <c r="A3" s="54">
        <v>46267.5</v>
      </c>
      <c r="B3" s="5" t="s">
        <v>188</v>
      </c>
      <c r="C3" s="56" t="s">
        <v>189</v>
      </c>
      <c r="D3" s="5" t="s">
        <v>190</v>
      </c>
      <c r="E3" s="57">
        <v>15.0</v>
      </c>
      <c r="F3" s="5" t="b">
        <v>1</v>
      </c>
      <c r="G3" s="5" t="b">
        <v>0</v>
      </c>
    </row>
    <row r="4">
      <c r="A4" s="54">
        <v>46268.5</v>
      </c>
      <c r="B4" s="5" t="s">
        <v>191</v>
      </c>
      <c r="C4" s="5" t="s">
        <v>192</v>
      </c>
      <c r="D4" s="5" t="s">
        <v>190</v>
      </c>
      <c r="E4" s="57">
        <v>15.0</v>
      </c>
      <c r="F4" s="5" t="b">
        <v>1</v>
      </c>
      <c r="G4" s="5" t="b">
        <v>1</v>
      </c>
    </row>
    <row r="5">
      <c r="A5" s="54">
        <v>46268.5</v>
      </c>
      <c r="B5" s="5" t="s">
        <v>193</v>
      </c>
      <c r="C5" s="5" t="s">
        <v>194</v>
      </c>
      <c r="D5" s="5" t="s">
        <v>195</v>
      </c>
      <c r="E5" s="57">
        <v>15.0</v>
      </c>
      <c r="F5" s="5" t="b">
        <v>1</v>
      </c>
      <c r="G5" s="5" t="b">
        <v>1</v>
      </c>
    </row>
    <row r="6">
      <c r="A6" s="54">
        <v>46268.5</v>
      </c>
      <c r="B6" s="5" t="s">
        <v>193</v>
      </c>
      <c r="C6" s="5" t="s">
        <v>198</v>
      </c>
      <c r="D6" s="5" t="s">
        <v>195</v>
      </c>
      <c r="E6" s="57">
        <v>15.0</v>
      </c>
      <c r="F6" s="5" t="b">
        <v>1</v>
      </c>
      <c r="G6" s="5" t="b">
        <v>1</v>
      </c>
    </row>
    <row r="7">
      <c r="A7" s="54">
        <v>46269.5</v>
      </c>
      <c r="B7" s="5" t="s">
        <v>199</v>
      </c>
      <c r="C7" s="5" t="s">
        <v>200</v>
      </c>
      <c r="D7" s="5" t="s">
        <v>195</v>
      </c>
      <c r="E7" s="57">
        <v>15.0</v>
      </c>
      <c r="F7" s="5" t="b">
        <v>1</v>
      </c>
      <c r="G7" s="5" t="b">
        <v>0</v>
      </c>
    </row>
    <row r="8">
      <c r="A8" s="16"/>
      <c r="B8" s="8"/>
      <c r="D8" s="8"/>
      <c r="E8" s="58"/>
      <c r="F8" s="8"/>
      <c r="G8" s="8"/>
    </row>
    <row r="9">
      <c r="A9" s="16"/>
      <c r="B9" s="8"/>
      <c r="D9" s="8"/>
      <c r="E9" s="58"/>
      <c r="F9" s="8"/>
      <c r="G9" s="8"/>
    </row>
    <row r="10">
      <c r="A10" s="16"/>
      <c r="B10" s="8"/>
      <c r="D10" s="8"/>
      <c r="E10" s="58"/>
      <c r="F10" s="8"/>
      <c r="G10" s="8"/>
    </row>
    <row r="11">
      <c r="A11" s="16"/>
      <c r="B11" s="8"/>
      <c r="D11" s="8"/>
      <c r="E11" s="58"/>
      <c r="F11" s="8"/>
      <c r="G11" s="8"/>
    </row>
    <row r="12">
      <c r="A12" s="38"/>
      <c r="B12" s="8"/>
      <c r="D12" s="8"/>
      <c r="E12" s="58" t="str">
        <f t="array" ref="E12">IF(D12="","",IFERROR(_xlfn.XLOOKUP(D12,SyncCodex!L:L,SyncCodex!M:M),""))</f>
        <v/>
      </c>
      <c r="F12" s="8" t="b">
        <v>0</v>
      </c>
      <c r="G12" s="8" t="b">
        <v>0</v>
      </c>
    </row>
    <row r="13">
      <c r="A13" s="38"/>
      <c r="B13" s="8"/>
      <c r="D13" s="8"/>
      <c r="E13" s="58" t="str">
        <f t="array" ref="E13">IF(D13="","",IFERROR(_xlfn.XLOOKUP(D13,SyncCodex!L:L,SyncCodex!M:M),""))</f>
        <v/>
      </c>
      <c r="F13" s="8" t="b">
        <v>0</v>
      </c>
      <c r="G13" s="8" t="b">
        <v>0</v>
      </c>
    </row>
    <row r="14">
      <c r="A14" s="38"/>
      <c r="B14" s="8"/>
      <c r="D14" s="8"/>
      <c r="E14" s="58" t="str">
        <f t="array" ref="E14">IF(D14="","",IFERROR(_xlfn.XLOOKUP(D14,SyncCodex!L:L,SyncCodex!M:M),""))</f>
        <v/>
      </c>
      <c r="F14" s="8" t="b">
        <v>0</v>
      </c>
      <c r="G14" s="8" t="b">
        <v>0</v>
      </c>
    </row>
    <row r="15">
      <c r="A15" s="38"/>
      <c r="B15" s="8"/>
      <c r="D15" s="8"/>
      <c r="E15" s="58" t="str">
        <f t="array" ref="E15">IF(D15="","",IFERROR(_xlfn.XLOOKUP(D15,SyncCodex!L:L,SyncCodex!M:M),""))</f>
        <v/>
      </c>
      <c r="F15" s="8" t="b">
        <v>0</v>
      </c>
      <c r="G15" s="8" t="b">
        <v>0</v>
      </c>
    </row>
    <row r="16">
      <c r="A16" s="38"/>
      <c r="B16" s="8"/>
      <c r="D16" s="8"/>
      <c r="E16" s="58" t="str">
        <f t="array" ref="E16">IF(D16="","",IFERROR(_xlfn.XLOOKUP(D16,SyncCodex!L:L,SyncCodex!M:M),""))</f>
        <v/>
      </c>
      <c r="F16" s="8" t="b">
        <v>0</v>
      </c>
      <c r="G16" s="8" t="b">
        <v>0</v>
      </c>
    </row>
    <row r="17">
      <c r="A17" s="38"/>
      <c r="B17" s="8"/>
      <c r="D17" s="8"/>
      <c r="E17" s="58" t="str">
        <f t="array" ref="E17">IF(D17="","",IFERROR(_xlfn.XLOOKUP(D17,SyncCodex!L:L,SyncCodex!M:M),""))</f>
        <v/>
      </c>
      <c r="F17" s="8" t="b">
        <v>0</v>
      </c>
      <c r="G17" s="8" t="b">
        <v>0</v>
      </c>
    </row>
    <row r="18">
      <c r="A18" s="38"/>
      <c r="B18" s="8"/>
      <c r="D18" s="8"/>
      <c r="E18" s="58" t="str">
        <f t="array" ref="E18">IF(D18="","",IFERROR(_xlfn.XLOOKUP(D18,SyncCodex!L:L,SyncCodex!M:M),""))</f>
        <v/>
      </c>
      <c r="F18" s="8" t="b">
        <v>0</v>
      </c>
      <c r="G18" s="8" t="b">
        <v>0</v>
      </c>
    </row>
    <row r="19">
      <c r="A19" s="38"/>
      <c r="B19" s="8"/>
      <c r="D19" s="8"/>
      <c r="E19" s="58" t="str">
        <f t="array" ref="E19">IF(D19="","",IFERROR(_xlfn.XLOOKUP(D19,SyncCodex!L:L,SyncCodex!M:M),""))</f>
        <v/>
      </c>
      <c r="F19" s="8" t="b">
        <v>0</v>
      </c>
      <c r="G19" s="8" t="b">
        <v>0</v>
      </c>
    </row>
    <row r="20">
      <c r="A20" s="38"/>
      <c r="B20" s="8"/>
      <c r="D20" s="8"/>
      <c r="E20" s="58" t="str">
        <f t="array" ref="E20">IF(D20="","",IFERROR(_xlfn.XLOOKUP(D20,SyncCodex!L:L,SyncCodex!M:M),""))</f>
        <v/>
      </c>
      <c r="F20" s="8" t="b">
        <v>0</v>
      </c>
      <c r="G20" s="8" t="b">
        <v>0</v>
      </c>
    </row>
    <row r="21">
      <c r="A21" s="38"/>
      <c r="B21" s="8"/>
      <c r="D21" s="8"/>
      <c r="E21" s="58" t="str">
        <f t="array" ref="E21">IF(D21="","",IFERROR(_xlfn.XLOOKUP(D21,SyncCodex!L:L,SyncCodex!M:M),""))</f>
        <v/>
      </c>
      <c r="F21" s="8" t="b">
        <v>0</v>
      </c>
      <c r="G21" s="8" t="b">
        <v>0</v>
      </c>
    </row>
    <row r="22">
      <c r="A22" s="38"/>
      <c r="B22" s="8"/>
      <c r="D22" s="8"/>
      <c r="E22" s="58" t="str">
        <f t="array" ref="E22">IF(D22="","",IFERROR(_xlfn.XLOOKUP(D22,SyncCodex!L:L,SyncCodex!M:M),""))</f>
        <v/>
      </c>
      <c r="F22" s="8" t="b">
        <v>0</v>
      </c>
      <c r="G22" s="8" t="b">
        <v>0</v>
      </c>
    </row>
    <row r="23">
      <c r="A23" s="38"/>
      <c r="B23" s="8"/>
      <c r="D23" s="8"/>
      <c r="E23" s="58" t="str">
        <f t="array" ref="E23">IF(D23="","",IFERROR(_xlfn.XLOOKUP(D23,SyncCodex!L:L,SyncCodex!M:M),""))</f>
        <v/>
      </c>
      <c r="F23" s="8" t="b">
        <v>0</v>
      </c>
      <c r="G23" s="8" t="b">
        <v>0</v>
      </c>
    </row>
    <row r="24">
      <c r="A24" s="38"/>
      <c r="B24" s="8"/>
      <c r="D24" s="8"/>
      <c r="E24" s="58" t="str">
        <f t="array" ref="E24">IF(D24="","",IFERROR(_xlfn.XLOOKUP(D24,SyncCodex!L:L,SyncCodex!M:M),""))</f>
        <v/>
      </c>
      <c r="F24" s="8" t="b">
        <v>0</v>
      </c>
      <c r="G24" s="8" t="b">
        <v>0</v>
      </c>
    </row>
    <row r="25">
      <c r="A25" s="38"/>
      <c r="B25" s="8"/>
      <c r="D25" s="8"/>
      <c r="E25" s="58" t="str">
        <f t="array" ref="E25">IF(D25="","",IFERROR(_xlfn.XLOOKUP(D25,SyncCodex!L:L,SyncCodex!M:M),""))</f>
        <v/>
      </c>
      <c r="F25" s="8" t="b">
        <v>0</v>
      </c>
      <c r="G25" s="8" t="b">
        <v>0</v>
      </c>
    </row>
    <row r="26">
      <c r="A26" s="38"/>
      <c r="B26" s="8"/>
      <c r="D26" s="8"/>
      <c r="E26" s="58" t="str">
        <f t="array" ref="E26">IF(D26="","",IFERROR(_xlfn.XLOOKUP(D26,SyncCodex!L:L,SyncCodex!M:M),""))</f>
        <v/>
      </c>
      <c r="F26" s="8" t="b">
        <v>0</v>
      </c>
      <c r="G26" s="8" t="b">
        <v>0</v>
      </c>
    </row>
    <row r="27">
      <c r="A27" s="38"/>
      <c r="B27" s="8"/>
      <c r="D27" s="8"/>
      <c r="E27" s="58" t="str">
        <f t="array" ref="E27">IF(D27="","",IFERROR(_xlfn.XLOOKUP(D27,SyncCodex!L:L,SyncCodex!M:M),""))</f>
        <v/>
      </c>
      <c r="F27" s="8" t="b">
        <v>0</v>
      </c>
      <c r="G27" s="8" t="b">
        <v>0</v>
      </c>
    </row>
    <row r="28">
      <c r="A28" s="38"/>
      <c r="B28" s="8"/>
      <c r="D28" s="8"/>
      <c r="E28" s="58" t="str">
        <f t="array" ref="E28">IF(D28="","",IFERROR(_xlfn.XLOOKUP(D28,SyncCodex!L:L,SyncCodex!M:M),""))</f>
        <v/>
      </c>
      <c r="F28" s="8" t="b">
        <v>0</v>
      </c>
      <c r="G28" s="8" t="b">
        <v>0</v>
      </c>
    </row>
    <row r="29">
      <c r="A29" s="38"/>
      <c r="B29" s="8"/>
      <c r="D29" s="8"/>
      <c r="E29" s="58" t="str">
        <f t="array" ref="E29">IF(D29="","",IFERROR(_xlfn.XLOOKUP(D29,SyncCodex!L:L,SyncCodex!M:M),""))</f>
        <v/>
      </c>
      <c r="F29" s="8" t="b">
        <v>0</v>
      </c>
      <c r="G29" s="8" t="b">
        <v>0</v>
      </c>
    </row>
    <row r="30">
      <c r="A30" s="38"/>
      <c r="B30" s="8"/>
      <c r="D30" s="8"/>
      <c r="E30" s="58" t="str">
        <f t="array" ref="E30">IF(D30="","",IFERROR(_xlfn.XLOOKUP(D30,SyncCodex!L:L,SyncCodex!M:M),""))</f>
        <v/>
      </c>
      <c r="F30" s="8" t="b">
        <v>0</v>
      </c>
      <c r="G30" s="8" t="b">
        <v>0</v>
      </c>
    </row>
    <row r="31">
      <c r="A31" s="38"/>
      <c r="B31" s="8"/>
      <c r="D31" s="8"/>
      <c r="E31" s="58" t="str">
        <f t="array" ref="E31">IF(D31="","",IFERROR(_xlfn.XLOOKUP(D31,SyncCodex!L:L,SyncCodex!M:M),""))</f>
        <v/>
      </c>
      <c r="F31" s="8" t="b">
        <v>0</v>
      </c>
      <c r="G31" s="8" t="b">
        <v>0</v>
      </c>
    </row>
    <row r="32">
      <c r="A32" s="38"/>
      <c r="B32" s="8"/>
      <c r="D32" s="8"/>
      <c r="E32" s="58" t="str">
        <f t="array" ref="E32">IF(D32="","",IFERROR(_xlfn.XLOOKUP(D32,SyncCodex!L:L,SyncCodex!M:M),""))</f>
        <v/>
      </c>
      <c r="F32" s="8" t="b">
        <v>0</v>
      </c>
      <c r="G32" s="8" t="b">
        <v>0</v>
      </c>
    </row>
    <row r="33">
      <c r="A33" s="38"/>
      <c r="B33" s="8"/>
      <c r="D33" s="8"/>
      <c r="E33" s="58" t="str">
        <f t="array" ref="E33">IF(D33="","",IFERROR(_xlfn.XLOOKUP(D33,SyncCodex!L:L,SyncCodex!M:M),""))</f>
        <v/>
      </c>
      <c r="F33" s="8" t="b">
        <v>0</v>
      </c>
      <c r="G33" s="8" t="b">
        <v>0</v>
      </c>
    </row>
    <row r="34">
      <c r="A34" s="38"/>
      <c r="B34" s="8"/>
      <c r="D34" s="8"/>
      <c r="E34" s="58" t="str">
        <f t="array" ref="E34">IF(D34="","",IFERROR(_xlfn.XLOOKUP(D34,SyncCodex!L:L,SyncCodex!M:M),""))</f>
        <v/>
      </c>
      <c r="F34" s="8" t="b">
        <v>0</v>
      </c>
      <c r="G34" s="8" t="b">
        <v>0</v>
      </c>
    </row>
    <row r="35">
      <c r="A35" s="38"/>
      <c r="B35" s="8"/>
      <c r="D35" s="8"/>
      <c r="E35" s="58" t="str">
        <f t="array" ref="E35">IF(D35="","",IFERROR(_xlfn.XLOOKUP(D35,SyncCodex!L:L,SyncCodex!M:M),""))</f>
        <v/>
      </c>
      <c r="F35" s="8" t="b">
        <v>0</v>
      </c>
      <c r="G35" s="8" t="b">
        <v>0</v>
      </c>
    </row>
    <row r="36">
      <c r="A36" s="38"/>
      <c r="B36" s="8"/>
      <c r="D36" s="8"/>
      <c r="E36" s="58" t="str">
        <f t="array" ref="E36">IF(D36="","",IFERROR(_xlfn.XLOOKUP(D36,SyncCodex!L:L,SyncCodex!M:M),""))</f>
        <v/>
      </c>
      <c r="F36" s="8" t="b">
        <v>0</v>
      </c>
      <c r="G36" s="8" t="b">
        <v>0</v>
      </c>
    </row>
    <row r="37">
      <c r="A37" s="38"/>
      <c r="B37" s="8"/>
      <c r="D37" s="8"/>
      <c r="E37" s="58" t="str">
        <f t="array" ref="E37">IF(D37="","",IFERROR(_xlfn.XLOOKUP(D37,SyncCodex!L:L,SyncCodex!M:M),""))</f>
        <v/>
      </c>
      <c r="F37" s="8" t="b">
        <v>0</v>
      </c>
      <c r="G37" s="8" t="b">
        <v>0</v>
      </c>
    </row>
    <row r="38">
      <c r="A38" s="38"/>
      <c r="B38" s="8"/>
      <c r="D38" s="8"/>
      <c r="E38" s="58" t="str">
        <f t="array" ref="E38">IF(D38="","",IFERROR(_xlfn.XLOOKUP(D38,SyncCodex!L:L,SyncCodex!M:M),""))</f>
        <v/>
      </c>
      <c r="F38" s="8" t="b">
        <v>0</v>
      </c>
      <c r="G38" s="8" t="b">
        <v>0</v>
      </c>
    </row>
    <row r="39">
      <c r="A39" s="38"/>
      <c r="B39" s="8"/>
      <c r="D39" s="8"/>
      <c r="E39" s="58" t="str">
        <f t="array" ref="E39">IF(D39="","",IFERROR(_xlfn.XLOOKUP(D39,SyncCodex!L:L,SyncCodex!M:M),""))</f>
        <v/>
      </c>
      <c r="F39" s="8" t="b">
        <v>0</v>
      </c>
      <c r="G39" s="8" t="b">
        <v>0</v>
      </c>
    </row>
    <row r="40">
      <c r="A40" s="38"/>
      <c r="B40" s="8"/>
      <c r="D40" s="8"/>
      <c r="E40" s="58" t="str">
        <f t="array" ref="E40">IF(D40="","",IFERROR(_xlfn.XLOOKUP(D40,SyncCodex!L:L,SyncCodex!M:M),""))</f>
        <v/>
      </c>
      <c r="F40" s="8" t="b">
        <v>0</v>
      </c>
      <c r="G40" s="8" t="b">
        <v>0</v>
      </c>
    </row>
    <row r="41">
      <c r="A41" s="38"/>
      <c r="B41" s="8"/>
      <c r="D41" s="8"/>
      <c r="E41" s="58" t="str">
        <f t="array" ref="E41">IF(D41="","",IFERROR(_xlfn.XLOOKUP(D41,SyncCodex!L:L,SyncCodex!M:M),""))</f>
        <v/>
      </c>
      <c r="F41" s="8" t="b">
        <v>0</v>
      </c>
      <c r="G41" s="8" t="b">
        <v>0</v>
      </c>
    </row>
    <row r="42">
      <c r="A42" s="38"/>
      <c r="B42" s="8"/>
      <c r="D42" s="8"/>
      <c r="E42" s="58" t="str">
        <f t="array" ref="E42">IF(D42="","",IFERROR(_xlfn.XLOOKUP(D42,SyncCodex!L:L,SyncCodex!M:M),""))</f>
        <v/>
      </c>
      <c r="F42" s="8" t="b">
        <v>0</v>
      </c>
      <c r="G42" s="8" t="b">
        <v>0</v>
      </c>
    </row>
    <row r="43">
      <c r="A43" s="38"/>
      <c r="B43" s="8"/>
      <c r="D43" s="8"/>
      <c r="E43" s="58" t="str">
        <f t="array" ref="E43">IF(D43="","",IFERROR(_xlfn.XLOOKUP(D43,SyncCodex!L:L,SyncCodex!M:M),""))</f>
        <v/>
      </c>
      <c r="F43" s="8" t="b">
        <v>0</v>
      </c>
      <c r="G43" s="8" t="b">
        <v>0</v>
      </c>
    </row>
    <row r="44">
      <c r="A44" s="38"/>
      <c r="B44" s="8"/>
      <c r="D44" s="8"/>
      <c r="E44" s="58" t="str">
        <f t="array" ref="E44">IF(D44="","",IFERROR(_xlfn.XLOOKUP(D44,SyncCodex!L:L,SyncCodex!M:M),""))</f>
        <v/>
      </c>
      <c r="F44" s="8" t="b">
        <v>0</v>
      </c>
      <c r="G44" s="8" t="b">
        <v>0</v>
      </c>
    </row>
    <row r="45">
      <c r="A45" s="38"/>
      <c r="B45" s="8"/>
      <c r="D45" s="8"/>
      <c r="E45" s="58" t="str">
        <f t="array" ref="E45">IF(D45="","",IFERROR(_xlfn.XLOOKUP(D45,SyncCodex!L:L,SyncCodex!M:M),""))</f>
        <v/>
      </c>
      <c r="F45" s="8" t="b">
        <v>0</v>
      </c>
      <c r="G45" s="8" t="b">
        <v>0</v>
      </c>
    </row>
    <row r="46">
      <c r="A46" s="38"/>
      <c r="B46" s="8"/>
      <c r="D46" s="8"/>
      <c r="E46" s="58" t="str">
        <f t="array" ref="E46">IF(D46="","",IFERROR(_xlfn.XLOOKUP(D46,SyncCodex!L:L,SyncCodex!M:M),""))</f>
        <v/>
      </c>
      <c r="F46" s="8" t="b">
        <v>0</v>
      </c>
      <c r="G46" s="8" t="b">
        <v>0</v>
      </c>
    </row>
    <row r="47">
      <c r="A47" s="38"/>
      <c r="B47" s="8"/>
      <c r="D47" s="8"/>
      <c r="E47" s="58" t="str">
        <f t="array" ref="E47">IF(D47="","",IFERROR(_xlfn.XLOOKUP(D47,SyncCodex!L:L,SyncCodex!M:M),""))</f>
        <v/>
      </c>
      <c r="F47" s="8" t="b">
        <v>0</v>
      </c>
      <c r="G47" s="8" t="b">
        <v>0</v>
      </c>
    </row>
    <row r="48">
      <c r="A48" s="38"/>
      <c r="B48" s="8"/>
      <c r="D48" s="8"/>
      <c r="E48" s="58" t="str">
        <f t="array" ref="E48">IF(D48="","",IFERROR(_xlfn.XLOOKUP(D48,SyncCodex!L:L,SyncCodex!M:M),""))</f>
        <v/>
      </c>
      <c r="F48" s="8" t="b">
        <v>0</v>
      </c>
      <c r="G48" s="8" t="b">
        <v>0</v>
      </c>
    </row>
    <row r="49">
      <c r="A49" s="38"/>
      <c r="B49" s="8"/>
      <c r="D49" s="8"/>
      <c r="E49" s="58" t="str">
        <f t="array" ref="E49">IF(D49="","",IFERROR(_xlfn.XLOOKUP(D49,SyncCodex!L:L,SyncCodex!M:M),""))</f>
        <v/>
      </c>
      <c r="F49" s="8" t="b">
        <v>0</v>
      </c>
      <c r="G49" s="8" t="b">
        <v>0</v>
      </c>
    </row>
    <row r="50">
      <c r="A50" s="38"/>
      <c r="B50" s="8"/>
      <c r="D50" s="8"/>
      <c r="E50" s="58" t="str">
        <f t="array" ref="E50">IF(D50="","",IFERROR(_xlfn.XLOOKUP(D50,SyncCodex!L:L,SyncCodex!M:M),""))</f>
        <v/>
      </c>
      <c r="F50" s="8" t="b">
        <v>0</v>
      </c>
      <c r="G50" s="8" t="b">
        <v>0</v>
      </c>
    </row>
    <row r="51">
      <c r="A51" s="38"/>
      <c r="B51" s="8"/>
      <c r="D51" s="8"/>
      <c r="E51" s="58" t="str">
        <f t="array" ref="E51">IF(D51="","",IFERROR(_xlfn.XLOOKUP(D51,SyncCodex!L:L,SyncCodex!M:M),""))</f>
        <v/>
      </c>
      <c r="F51" s="8" t="b">
        <v>0</v>
      </c>
      <c r="G51" s="8" t="b">
        <v>0</v>
      </c>
    </row>
    <row r="52">
      <c r="A52" s="38"/>
      <c r="B52" s="8"/>
      <c r="D52" s="8"/>
      <c r="E52" s="58" t="str">
        <f t="array" ref="E52">IF(D52="","",IFERROR(_xlfn.XLOOKUP(D52,SyncCodex!L:L,SyncCodex!M:M),""))</f>
        <v/>
      </c>
      <c r="F52" s="8" t="b">
        <v>0</v>
      </c>
      <c r="G52" s="8" t="b">
        <v>0</v>
      </c>
    </row>
    <row r="53">
      <c r="A53" s="38"/>
      <c r="B53" s="8"/>
      <c r="D53" s="8"/>
      <c r="E53" s="58" t="str">
        <f t="array" ref="E53">IF(D53="","",IFERROR(_xlfn.XLOOKUP(D53,SyncCodex!L:L,SyncCodex!M:M),""))</f>
        <v/>
      </c>
      <c r="F53" s="8" t="b">
        <v>0</v>
      </c>
      <c r="G53" s="8" t="b">
        <v>0</v>
      </c>
    </row>
    <row r="54">
      <c r="A54" s="38"/>
      <c r="B54" s="8"/>
      <c r="D54" s="8"/>
      <c r="E54" s="58" t="str">
        <f t="array" ref="E54">IF(D54="","",IFERROR(_xlfn.XLOOKUP(D54,SyncCodex!L:L,SyncCodex!M:M),""))</f>
        <v/>
      </c>
      <c r="F54" s="8" t="b">
        <v>0</v>
      </c>
      <c r="G54" s="8" t="b">
        <v>0</v>
      </c>
    </row>
    <row r="55">
      <c r="A55" s="38"/>
      <c r="B55" s="8"/>
      <c r="D55" s="8"/>
      <c r="E55" s="58" t="str">
        <f t="array" ref="E55">IF(D55="","",IFERROR(_xlfn.XLOOKUP(D55,SyncCodex!L:L,SyncCodex!M:M),""))</f>
        <v/>
      </c>
      <c r="F55" s="8" t="b">
        <v>0</v>
      </c>
      <c r="G55" s="8" t="b">
        <v>0</v>
      </c>
    </row>
    <row r="56">
      <c r="A56" s="38"/>
      <c r="B56" s="8"/>
      <c r="D56" s="8"/>
      <c r="E56" s="58" t="str">
        <f t="array" ref="E56">IF(D56="","",IFERROR(_xlfn.XLOOKUP(D56,SyncCodex!L:L,SyncCodex!M:M),""))</f>
        <v/>
      </c>
      <c r="F56" s="8" t="b">
        <v>0</v>
      </c>
      <c r="G56" s="8" t="b">
        <v>0</v>
      </c>
    </row>
    <row r="57">
      <c r="A57" s="38"/>
      <c r="B57" s="8"/>
      <c r="D57" s="8"/>
      <c r="E57" s="58" t="str">
        <f t="array" ref="E57">IF(D57="","",IFERROR(_xlfn.XLOOKUP(D57,SyncCodex!L:L,SyncCodex!M:M),""))</f>
        <v/>
      </c>
      <c r="F57" s="8" t="b">
        <v>0</v>
      </c>
      <c r="G57" s="8" t="b">
        <v>0</v>
      </c>
    </row>
    <row r="58">
      <c r="A58" s="38"/>
      <c r="B58" s="8"/>
      <c r="D58" s="8"/>
      <c r="E58" s="58" t="str">
        <f t="array" ref="E58">IF(D58="","",IFERROR(_xlfn.XLOOKUP(D58,SyncCodex!L:L,SyncCodex!M:M),""))</f>
        <v/>
      </c>
      <c r="F58" s="8" t="b">
        <v>0</v>
      </c>
      <c r="G58" s="8" t="b">
        <v>0</v>
      </c>
    </row>
    <row r="59">
      <c r="A59" s="38"/>
      <c r="B59" s="8"/>
      <c r="D59" s="8"/>
      <c r="E59" s="58" t="str">
        <f t="array" ref="E59">IF(D59="","",IFERROR(_xlfn.XLOOKUP(D59,SyncCodex!L:L,SyncCodex!M:M),""))</f>
        <v/>
      </c>
      <c r="F59" s="8" t="b">
        <v>0</v>
      </c>
      <c r="G59" s="8" t="b">
        <v>0</v>
      </c>
    </row>
    <row r="60">
      <c r="A60" s="38"/>
      <c r="B60" s="8"/>
      <c r="D60" s="8"/>
      <c r="E60" s="58" t="str">
        <f t="array" ref="E60">IF(D60="","",IFERROR(_xlfn.XLOOKUP(D60,SyncCodex!L:L,SyncCodex!M:M),""))</f>
        <v/>
      </c>
      <c r="F60" s="8" t="b">
        <v>0</v>
      </c>
      <c r="G60" s="8" t="b">
        <v>0</v>
      </c>
    </row>
    <row r="61">
      <c r="A61" s="38"/>
      <c r="B61" s="8"/>
      <c r="D61" s="8"/>
      <c r="E61" s="58" t="str">
        <f t="array" ref="E61">IF(D61="","",IFERROR(_xlfn.XLOOKUP(D61,SyncCodex!L:L,SyncCodex!M:M),""))</f>
        <v/>
      </c>
      <c r="F61" s="8" t="b">
        <v>0</v>
      </c>
      <c r="G61" s="8" t="b">
        <v>0</v>
      </c>
    </row>
    <row r="62">
      <c r="A62" s="38"/>
      <c r="B62" s="8"/>
      <c r="D62" s="8"/>
      <c r="E62" s="58" t="str">
        <f t="array" ref="E62">IF(D62="","",IFERROR(_xlfn.XLOOKUP(D62,SyncCodex!L:L,SyncCodex!M:M),""))</f>
        <v/>
      </c>
      <c r="F62" s="8" t="b">
        <v>0</v>
      </c>
      <c r="G62" s="8" t="b">
        <v>0</v>
      </c>
    </row>
    <row r="63">
      <c r="A63" s="38"/>
      <c r="B63" s="8"/>
      <c r="D63" s="8"/>
      <c r="E63" s="58" t="str">
        <f t="array" ref="E63">IF(D63="","",IFERROR(_xlfn.XLOOKUP(D63,SyncCodex!L:L,SyncCodex!M:M),""))</f>
        <v/>
      </c>
      <c r="F63" s="8" t="b">
        <v>0</v>
      </c>
      <c r="G63" s="8" t="b">
        <v>0</v>
      </c>
    </row>
    <row r="64">
      <c r="A64" s="38"/>
      <c r="B64" s="8"/>
      <c r="D64" s="8"/>
      <c r="E64" s="58" t="str">
        <f t="array" ref="E64">IF(D64="","",IFERROR(_xlfn.XLOOKUP(D64,SyncCodex!L:L,SyncCodex!M:M),""))</f>
        <v/>
      </c>
      <c r="F64" s="8" t="b">
        <v>0</v>
      </c>
      <c r="G64" s="8" t="b">
        <v>0</v>
      </c>
    </row>
    <row r="65">
      <c r="A65" s="38"/>
      <c r="B65" s="8"/>
      <c r="D65" s="8"/>
      <c r="E65" s="58" t="str">
        <f t="array" ref="E65">IF(D65="","",IFERROR(_xlfn.XLOOKUP(D65,SyncCodex!L:L,SyncCodex!M:M),""))</f>
        <v/>
      </c>
      <c r="F65" s="8" t="b">
        <v>0</v>
      </c>
      <c r="G65" s="8" t="b">
        <v>0</v>
      </c>
    </row>
    <row r="66">
      <c r="A66" s="38"/>
      <c r="B66" s="8"/>
      <c r="D66" s="8"/>
      <c r="E66" s="58" t="str">
        <f t="array" ref="E66">IF(D66="","",IFERROR(_xlfn.XLOOKUP(D66,SyncCodex!L:L,SyncCodex!M:M),""))</f>
        <v/>
      </c>
      <c r="F66" s="8" t="b">
        <v>0</v>
      </c>
      <c r="G66" s="8" t="b">
        <v>0</v>
      </c>
    </row>
    <row r="67">
      <c r="A67" s="38"/>
      <c r="B67" s="8"/>
      <c r="D67" s="8"/>
      <c r="E67" s="58" t="str">
        <f t="array" ref="E67">IF(D67="","",IFERROR(_xlfn.XLOOKUP(D67,SyncCodex!L:L,SyncCodex!M:M),""))</f>
        <v/>
      </c>
      <c r="F67" s="8" t="b">
        <v>0</v>
      </c>
      <c r="G67" s="8" t="b">
        <v>0</v>
      </c>
    </row>
    <row r="68">
      <c r="A68" s="38"/>
      <c r="B68" s="8"/>
      <c r="D68" s="8"/>
      <c r="E68" s="58" t="str">
        <f t="array" ref="E68">IF(D68="","",IFERROR(_xlfn.XLOOKUP(D68,SyncCodex!L:L,SyncCodex!M:M),""))</f>
        <v/>
      </c>
      <c r="F68" s="8" t="b">
        <v>0</v>
      </c>
      <c r="G68" s="8" t="b">
        <v>0</v>
      </c>
    </row>
    <row r="69">
      <c r="A69" s="38"/>
      <c r="B69" s="8"/>
      <c r="D69" s="8"/>
      <c r="E69" s="58" t="str">
        <f t="array" ref="E69">IF(D69="","",IFERROR(_xlfn.XLOOKUP(D69,SyncCodex!L:L,SyncCodex!M:M),""))</f>
        <v/>
      </c>
      <c r="F69" s="8" t="b">
        <v>0</v>
      </c>
      <c r="G69" s="8" t="b">
        <v>0</v>
      </c>
    </row>
    <row r="70">
      <c r="A70" s="38"/>
      <c r="B70" s="8"/>
      <c r="D70" s="8"/>
      <c r="E70" s="58" t="str">
        <f t="array" ref="E70">IF(D70="","",IFERROR(_xlfn.XLOOKUP(D70,SyncCodex!L:L,SyncCodex!M:M),""))</f>
        <v/>
      </c>
      <c r="F70" s="8" t="b">
        <v>0</v>
      </c>
      <c r="G70" s="8" t="b">
        <v>0</v>
      </c>
    </row>
    <row r="71">
      <c r="A71" s="38"/>
      <c r="B71" s="8"/>
      <c r="D71" s="8"/>
      <c r="E71" s="58" t="str">
        <f t="array" ref="E71">IF(D71="","",IFERROR(_xlfn.XLOOKUP(D71,SyncCodex!L:L,SyncCodex!M:M),""))</f>
        <v/>
      </c>
      <c r="F71" s="8" t="b">
        <v>0</v>
      </c>
      <c r="G71" s="8" t="b">
        <v>0</v>
      </c>
    </row>
    <row r="72">
      <c r="A72" s="38"/>
      <c r="B72" s="8"/>
      <c r="D72" s="8"/>
      <c r="E72" s="58" t="str">
        <f t="array" ref="E72">IF(D72="","",IFERROR(_xlfn.XLOOKUP(D72,SyncCodex!L:L,SyncCodex!M:M),""))</f>
        <v/>
      </c>
      <c r="F72" s="8" t="b">
        <v>0</v>
      </c>
      <c r="G72" s="8" t="b">
        <v>0</v>
      </c>
    </row>
    <row r="73">
      <c r="A73" s="38"/>
      <c r="B73" s="8"/>
      <c r="D73" s="8"/>
      <c r="E73" s="58" t="str">
        <f t="array" ref="E73">IF(D73="","",IFERROR(_xlfn.XLOOKUP(D73,SyncCodex!L:L,SyncCodex!M:M),""))</f>
        <v/>
      </c>
      <c r="F73" s="8" t="b">
        <v>0</v>
      </c>
      <c r="G73" s="8" t="b">
        <v>0</v>
      </c>
    </row>
    <row r="74">
      <c r="A74" s="38"/>
      <c r="B74" s="8"/>
      <c r="D74" s="8"/>
      <c r="E74" s="58" t="str">
        <f t="array" ref="E74">IF(D74="","",IFERROR(_xlfn.XLOOKUP(D74,SyncCodex!L:L,SyncCodex!M:M),""))</f>
        <v/>
      </c>
      <c r="F74" s="8" t="b">
        <v>0</v>
      </c>
      <c r="G74" s="8" t="b">
        <v>0</v>
      </c>
    </row>
    <row r="75">
      <c r="A75" s="38"/>
      <c r="B75" s="8"/>
      <c r="D75" s="8"/>
      <c r="E75" s="58" t="str">
        <f t="array" ref="E75">IF(D75="","",IFERROR(_xlfn.XLOOKUP(D75,SyncCodex!L:L,SyncCodex!M:M),""))</f>
        <v/>
      </c>
      <c r="F75" s="8" t="b">
        <v>0</v>
      </c>
      <c r="G75" s="8" t="b">
        <v>0</v>
      </c>
    </row>
    <row r="76">
      <c r="A76" s="38"/>
      <c r="B76" s="8"/>
      <c r="D76" s="8"/>
      <c r="E76" s="58" t="str">
        <f t="array" ref="E76">IF(D76="","",IFERROR(_xlfn.XLOOKUP(D76,SyncCodex!L:L,SyncCodex!M:M),""))</f>
        <v/>
      </c>
      <c r="F76" s="8" t="b">
        <v>0</v>
      </c>
      <c r="G76" s="8" t="b">
        <v>0</v>
      </c>
    </row>
    <row r="77">
      <c r="A77" s="38"/>
      <c r="B77" s="8"/>
      <c r="D77" s="8"/>
      <c r="E77" s="58" t="str">
        <f t="array" ref="E77">IF(D77="","",IFERROR(_xlfn.XLOOKUP(D77,SyncCodex!L:L,SyncCodex!M:M),""))</f>
        <v/>
      </c>
      <c r="F77" s="8" t="b">
        <v>0</v>
      </c>
      <c r="G77" s="8" t="b">
        <v>0</v>
      </c>
    </row>
    <row r="78">
      <c r="A78" s="38"/>
      <c r="B78" s="8"/>
      <c r="D78" s="8"/>
      <c r="E78" s="58" t="str">
        <f t="array" ref="E78">IF(D78="","",IFERROR(_xlfn.XLOOKUP(D78,SyncCodex!L:L,SyncCodex!M:M),""))</f>
        <v/>
      </c>
      <c r="F78" s="8" t="b">
        <v>0</v>
      </c>
      <c r="G78" s="8" t="b">
        <v>0</v>
      </c>
    </row>
    <row r="79">
      <c r="A79" s="38"/>
      <c r="B79" s="8"/>
      <c r="D79" s="8"/>
      <c r="E79" s="58" t="str">
        <f t="array" ref="E79">IF(D79="","",IFERROR(_xlfn.XLOOKUP(D79,SyncCodex!L:L,SyncCodex!M:M),""))</f>
        <v/>
      </c>
      <c r="F79" s="8" t="b">
        <v>0</v>
      </c>
      <c r="G79" s="8" t="b">
        <v>0</v>
      </c>
    </row>
    <row r="80">
      <c r="A80" s="38"/>
      <c r="B80" s="8"/>
      <c r="D80" s="8"/>
      <c r="E80" s="58" t="str">
        <f t="array" ref="E80">IF(D80="","",IFERROR(_xlfn.XLOOKUP(D80,SyncCodex!L:L,SyncCodex!M:M),""))</f>
        <v/>
      </c>
      <c r="F80" s="8" t="b">
        <v>0</v>
      </c>
      <c r="G80" s="8" t="b">
        <v>0</v>
      </c>
    </row>
    <row r="81">
      <c r="A81" s="38"/>
      <c r="B81" s="8"/>
      <c r="D81" s="8"/>
      <c r="E81" s="58" t="str">
        <f t="array" ref="E81">IF(D81="","",IFERROR(_xlfn.XLOOKUP(D81,SyncCodex!L:L,SyncCodex!M:M),""))</f>
        <v/>
      </c>
      <c r="F81" s="8" t="b">
        <v>0</v>
      </c>
      <c r="G81" s="8" t="b">
        <v>0</v>
      </c>
    </row>
    <row r="82">
      <c r="A82" s="38"/>
      <c r="B82" s="8"/>
      <c r="D82" s="8"/>
      <c r="E82" s="58" t="str">
        <f t="array" ref="E82">IF(D82="","",IFERROR(_xlfn.XLOOKUP(D82,SyncCodex!L:L,SyncCodex!M:M),""))</f>
        <v/>
      </c>
      <c r="F82" s="8" t="b">
        <v>0</v>
      </c>
      <c r="G82" s="8" t="b">
        <v>0</v>
      </c>
    </row>
    <row r="83">
      <c r="A83" s="38"/>
      <c r="B83" s="8"/>
      <c r="D83" s="8"/>
      <c r="E83" s="58" t="str">
        <f t="array" ref="E83">IF(D83="","",IFERROR(_xlfn.XLOOKUP(D83,SyncCodex!L:L,SyncCodex!M:M),""))</f>
        <v/>
      </c>
      <c r="F83" s="8" t="b">
        <v>0</v>
      </c>
      <c r="G83" s="8" t="b">
        <v>0</v>
      </c>
    </row>
    <row r="84">
      <c r="A84" s="38"/>
      <c r="B84" s="8"/>
      <c r="D84" s="8"/>
      <c r="E84" s="58" t="str">
        <f t="array" ref="E84">IF(D84="","",IFERROR(_xlfn.XLOOKUP(D84,SyncCodex!L:L,SyncCodex!M:M),""))</f>
        <v/>
      </c>
      <c r="F84" s="8" t="b">
        <v>0</v>
      </c>
      <c r="G84" s="8" t="b">
        <v>0</v>
      </c>
    </row>
    <row r="85">
      <c r="A85" s="38"/>
      <c r="B85" s="8"/>
      <c r="D85" s="8"/>
      <c r="E85" s="58" t="str">
        <f t="array" ref="E85">IF(D85="","",IFERROR(_xlfn.XLOOKUP(D85,SyncCodex!L:L,SyncCodex!M:M),""))</f>
        <v/>
      </c>
      <c r="F85" s="8" t="b">
        <v>0</v>
      </c>
      <c r="G85" s="8" t="b">
        <v>0</v>
      </c>
    </row>
    <row r="86">
      <c r="A86" s="38"/>
      <c r="B86" s="8"/>
      <c r="D86" s="8"/>
      <c r="E86" s="58" t="str">
        <f t="array" ref="E86">IF(D86="","",IFERROR(_xlfn.XLOOKUP(D86,SyncCodex!L:L,SyncCodex!M:M),""))</f>
        <v/>
      </c>
      <c r="F86" s="8" t="b">
        <v>0</v>
      </c>
      <c r="G86" s="8" t="b">
        <v>0</v>
      </c>
    </row>
    <row r="87">
      <c r="A87" s="38"/>
      <c r="B87" s="8"/>
      <c r="D87" s="8"/>
      <c r="E87" s="58" t="str">
        <f t="array" ref="E87">IF(D87="","",IFERROR(_xlfn.XLOOKUP(D87,SyncCodex!L:L,SyncCodex!M:M),""))</f>
        <v/>
      </c>
      <c r="F87" s="8" t="b">
        <v>0</v>
      </c>
      <c r="G87" s="8" t="b">
        <v>0</v>
      </c>
    </row>
    <row r="88">
      <c r="A88" s="38"/>
      <c r="B88" s="8"/>
      <c r="D88" s="8"/>
      <c r="E88" s="58" t="str">
        <f t="array" ref="E88">IF(D88="","",IFERROR(_xlfn.XLOOKUP(D88,SyncCodex!L:L,SyncCodex!M:M),""))</f>
        <v/>
      </c>
      <c r="F88" s="8" t="b">
        <v>0</v>
      </c>
      <c r="G88" s="8" t="b">
        <v>0</v>
      </c>
    </row>
    <row r="89">
      <c r="A89" s="38"/>
      <c r="B89" s="8"/>
      <c r="D89" s="8"/>
      <c r="E89" s="58" t="str">
        <f t="array" ref="E89">IF(D89="","",IFERROR(_xlfn.XLOOKUP(D89,SyncCodex!L:L,SyncCodex!M:M),""))</f>
        <v/>
      </c>
      <c r="F89" s="8" t="b">
        <v>0</v>
      </c>
      <c r="G89" s="8" t="b">
        <v>0</v>
      </c>
    </row>
    <row r="90">
      <c r="A90" s="38"/>
      <c r="B90" s="8"/>
      <c r="D90" s="8"/>
      <c r="E90" s="58" t="str">
        <f t="array" ref="E90">IF(D90="","",IFERROR(_xlfn.XLOOKUP(D90,SyncCodex!L:L,SyncCodex!M:M),""))</f>
        <v/>
      </c>
      <c r="F90" s="8" t="b">
        <v>0</v>
      </c>
      <c r="G90" s="8" t="b">
        <v>0</v>
      </c>
    </row>
    <row r="91">
      <c r="A91" s="38"/>
      <c r="B91" s="8"/>
      <c r="D91" s="8"/>
      <c r="E91" s="58" t="str">
        <f t="array" ref="E91">IF(D91="","",IFERROR(_xlfn.XLOOKUP(D91,SyncCodex!L:L,SyncCodex!M:M),""))</f>
        <v/>
      </c>
      <c r="F91" s="8" t="b">
        <v>0</v>
      </c>
      <c r="G91" s="8" t="b">
        <v>0</v>
      </c>
    </row>
    <row r="92">
      <c r="A92" s="38"/>
      <c r="B92" s="8"/>
      <c r="D92" s="8"/>
      <c r="E92" s="58" t="str">
        <f t="array" ref="E92">IF(D92="","",IFERROR(_xlfn.XLOOKUP(D92,SyncCodex!L:L,SyncCodex!M:M),""))</f>
        <v/>
      </c>
      <c r="F92" s="8" t="b">
        <v>0</v>
      </c>
      <c r="G92" s="8" t="b">
        <v>0</v>
      </c>
    </row>
    <row r="93">
      <c r="A93" s="38"/>
      <c r="B93" s="8"/>
      <c r="D93" s="8"/>
      <c r="E93" s="58" t="str">
        <f t="array" ref="E93">IF(D93="","",IFERROR(_xlfn.XLOOKUP(D93,SyncCodex!L:L,SyncCodex!M:M),""))</f>
        <v/>
      </c>
      <c r="F93" s="8" t="b">
        <v>0</v>
      </c>
      <c r="G93" s="8" t="b">
        <v>0</v>
      </c>
    </row>
    <row r="94">
      <c r="A94" s="38"/>
      <c r="B94" s="8"/>
      <c r="D94" s="8"/>
      <c r="E94" s="58" t="str">
        <f t="array" ref="E94">IF(D94="","",IFERROR(_xlfn.XLOOKUP(D94,SyncCodex!L:L,SyncCodex!M:M),""))</f>
        <v/>
      </c>
      <c r="F94" s="8" t="b">
        <v>0</v>
      </c>
      <c r="G94" s="8" t="b">
        <v>0</v>
      </c>
    </row>
    <row r="95">
      <c r="A95" s="38"/>
      <c r="B95" s="8"/>
      <c r="D95" s="8"/>
      <c r="E95" s="58" t="str">
        <f t="array" ref="E95">IF(D95="","",IFERROR(_xlfn.XLOOKUP(D95,SyncCodex!L:L,SyncCodex!M:M),""))</f>
        <v/>
      </c>
      <c r="F95" s="8" t="b">
        <v>0</v>
      </c>
      <c r="G95" s="8" t="b">
        <v>0</v>
      </c>
    </row>
    <row r="96">
      <c r="A96" s="38"/>
      <c r="B96" s="8"/>
      <c r="D96" s="8"/>
      <c r="E96" s="58" t="str">
        <f t="array" ref="E96">IF(D96="","",IFERROR(_xlfn.XLOOKUP(D96,SyncCodex!L:L,SyncCodex!M:M),""))</f>
        <v/>
      </c>
      <c r="F96" s="8" t="b">
        <v>0</v>
      </c>
      <c r="G96" s="8" t="b">
        <v>0</v>
      </c>
    </row>
    <row r="97">
      <c r="A97" s="38"/>
      <c r="B97" s="8"/>
      <c r="D97" s="8"/>
      <c r="E97" s="58" t="str">
        <f t="array" ref="E97">IF(D97="","",IFERROR(_xlfn.XLOOKUP(D97,SyncCodex!L:L,SyncCodex!M:M),""))</f>
        <v/>
      </c>
      <c r="F97" s="8" t="b">
        <v>0</v>
      </c>
      <c r="G97" s="8" t="b">
        <v>0</v>
      </c>
    </row>
    <row r="98">
      <c r="A98" s="38"/>
      <c r="B98" s="8"/>
      <c r="D98" s="8"/>
      <c r="E98" s="58" t="str">
        <f t="array" ref="E98">IF(D98="","",IFERROR(_xlfn.XLOOKUP(D98,SyncCodex!L:L,SyncCodex!M:M),""))</f>
        <v/>
      </c>
      <c r="F98" s="8" t="b">
        <v>0</v>
      </c>
      <c r="G98" s="8" t="b">
        <v>0</v>
      </c>
    </row>
    <row r="99">
      <c r="A99" s="38"/>
      <c r="B99" s="8"/>
      <c r="D99" s="8"/>
      <c r="E99" s="58" t="str">
        <f t="array" ref="E99">IF(D99="","",IFERROR(_xlfn.XLOOKUP(D99,SyncCodex!L:L,SyncCodex!M:M),""))</f>
        <v/>
      </c>
      <c r="F99" s="8" t="b">
        <v>0</v>
      </c>
      <c r="G99" s="8" t="b">
        <v>0</v>
      </c>
    </row>
    <row r="100">
      <c r="A100" s="38"/>
      <c r="B100" s="8"/>
      <c r="D100" s="8"/>
      <c r="E100" s="58" t="str">
        <f t="array" ref="E100">IF(D100="","",IFERROR(_xlfn.XLOOKUP(D100,SyncCodex!L:L,SyncCodex!M:M),""))</f>
        <v/>
      </c>
      <c r="F100" s="8" t="b">
        <v>0</v>
      </c>
      <c r="G100" s="8" t="b">
        <v>0</v>
      </c>
    </row>
    <row r="101">
      <c r="A101" s="38"/>
      <c r="B101" s="8"/>
      <c r="D101" s="8"/>
      <c r="E101" s="58" t="str">
        <f t="array" ref="E101">IF(D101="","",IFERROR(_xlfn.XLOOKUP(D101,SyncCodex!L:L,SyncCodex!M:M),""))</f>
        <v/>
      </c>
      <c r="F101" s="8" t="b">
        <v>0</v>
      </c>
      <c r="G101" s="8" t="b">
        <v>0</v>
      </c>
    </row>
    <row r="102">
      <c r="A102" s="38"/>
      <c r="B102" s="8"/>
      <c r="D102" s="8"/>
      <c r="E102" s="58" t="str">
        <f t="array" ref="E102">IF(D102="","",IFERROR(_xlfn.XLOOKUP(D102,SyncCodex!L:L,SyncCodex!M:M),""))</f>
        <v/>
      </c>
      <c r="F102" s="8" t="b">
        <v>0</v>
      </c>
      <c r="G102" s="8" t="b">
        <v>0</v>
      </c>
    </row>
    <row r="103">
      <c r="A103" s="38"/>
      <c r="B103" s="8"/>
      <c r="D103" s="8"/>
      <c r="E103" s="58" t="str">
        <f t="array" ref="E103">IF(D103="","",IFERROR(_xlfn.XLOOKUP(D103,SyncCodex!L:L,SyncCodex!M:M),""))</f>
        <v/>
      </c>
      <c r="F103" s="8" t="b">
        <v>0</v>
      </c>
      <c r="G103" s="8" t="b">
        <v>0</v>
      </c>
    </row>
    <row r="104">
      <c r="A104" s="38"/>
      <c r="B104" s="8"/>
      <c r="D104" s="8"/>
      <c r="E104" s="58" t="str">
        <f t="array" ref="E104">IF(D104="","",IFERROR(_xlfn.XLOOKUP(D104,SyncCodex!L:L,SyncCodex!M:M),""))</f>
        <v/>
      </c>
      <c r="F104" s="8" t="b">
        <v>0</v>
      </c>
      <c r="G104" s="8" t="b">
        <v>0</v>
      </c>
    </row>
    <row r="105">
      <c r="A105" s="38"/>
      <c r="B105" s="8"/>
      <c r="D105" s="8"/>
      <c r="E105" s="58" t="str">
        <f t="array" ref="E105">IF(D105="","",IFERROR(_xlfn.XLOOKUP(D105,SyncCodex!L:L,SyncCodex!M:M),""))</f>
        <v/>
      </c>
      <c r="F105" s="8" t="b">
        <v>0</v>
      </c>
      <c r="G105" s="8" t="b">
        <v>0</v>
      </c>
    </row>
    <row r="106">
      <c r="A106" s="38"/>
      <c r="B106" s="8"/>
      <c r="D106" s="8"/>
      <c r="E106" s="58" t="str">
        <f t="array" ref="E106">IF(D106="","",IFERROR(_xlfn.XLOOKUP(D106,SyncCodex!L:L,SyncCodex!M:M),""))</f>
        <v/>
      </c>
      <c r="F106" s="8" t="b">
        <v>0</v>
      </c>
      <c r="G106" s="8" t="b">
        <v>0</v>
      </c>
    </row>
    <row r="107">
      <c r="A107" s="38"/>
      <c r="B107" s="8"/>
      <c r="D107" s="8"/>
      <c r="E107" s="58" t="str">
        <f t="array" ref="E107">IF(D107="","",IFERROR(_xlfn.XLOOKUP(D107,SyncCodex!L:L,SyncCodex!M:M),""))</f>
        <v/>
      </c>
      <c r="F107" s="8" t="b">
        <v>0</v>
      </c>
      <c r="G107" s="8" t="b">
        <v>0</v>
      </c>
    </row>
    <row r="108">
      <c r="A108" s="38"/>
      <c r="B108" s="8"/>
      <c r="D108" s="8"/>
      <c r="E108" s="58" t="str">
        <f t="array" ref="E108">IF(D108="","",IFERROR(_xlfn.XLOOKUP(D108,SyncCodex!L:L,SyncCodex!M:M),""))</f>
        <v/>
      </c>
      <c r="F108" s="8" t="b">
        <v>0</v>
      </c>
      <c r="G108" s="8" t="b">
        <v>0</v>
      </c>
    </row>
    <row r="109">
      <c r="A109" s="38"/>
      <c r="B109" s="8"/>
      <c r="D109" s="8"/>
      <c r="E109" s="58" t="str">
        <f t="array" ref="E109">IF(D109="","",IFERROR(_xlfn.XLOOKUP(D109,SyncCodex!L:L,SyncCodex!M:M),""))</f>
        <v/>
      </c>
      <c r="F109" s="8" t="b">
        <v>0</v>
      </c>
      <c r="G109" s="8" t="b">
        <v>0</v>
      </c>
    </row>
    <row r="110">
      <c r="A110" s="38"/>
      <c r="B110" s="8"/>
      <c r="D110" s="8"/>
      <c r="E110" s="58" t="str">
        <f t="array" ref="E110">IF(D110="","",IFERROR(_xlfn.XLOOKUP(D110,SyncCodex!L:L,SyncCodex!M:M),""))</f>
        <v/>
      </c>
      <c r="F110" s="8" t="b">
        <v>0</v>
      </c>
      <c r="G110" s="8" t="b">
        <v>0</v>
      </c>
    </row>
    <row r="111">
      <c r="A111" s="38"/>
      <c r="B111" s="8"/>
      <c r="D111" s="8"/>
      <c r="E111" s="58" t="str">
        <f t="array" ref="E111">IF(D111="","",IFERROR(_xlfn.XLOOKUP(D111,SyncCodex!L:L,SyncCodex!M:M),""))</f>
        <v/>
      </c>
      <c r="F111" s="8" t="b">
        <v>0</v>
      </c>
      <c r="G111" s="8" t="b">
        <v>0</v>
      </c>
    </row>
    <row r="112">
      <c r="A112" s="38"/>
      <c r="B112" s="8"/>
      <c r="D112" s="8"/>
      <c r="E112" s="58" t="str">
        <f t="array" ref="E112">IF(D112="","",IFERROR(_xlfn.XLOOKUP(D112,SyncCodex!L:L,SyncCodex!M:M),""))</f>
        <v/>
      </c>
      <c r="F112" s="8" t="b">
        <v>0</v>
      </c>
      <c r="G112" s="8" t="b">
        <v>0</v>
      </c>
    </row>
    <row r="113">
      <c r="A113" s="38"/>
      <c r="B113" s="8"/>
      <c r="D113" s="8"/>
      <c r="E113" s="58" t="str">
        <f t="array" ref="E113">IF(D113="","",IFERROR(_xlfn.XLOOKUP(D113,SyncCodex!L:L,SyncCodex!M:M),""))</f>
        <v/>
      </c>
      <c r="F113" s="8" t="b">
        <v>0</v>
      </c>
      <c r="G113" s="8" t="b">
        <v>0</v>
      </c>
    </row>
    <row r="114">
      <c r="A114" s="38"/>
      <c r="B114" s="8"/>
      <c r="D114" s="8"/>
      <c r="E114" s="58" t="str">
        <f t="array" ref="E114">IF(D114="","",IFERROR(_xlfn.XLOOKUP(D114,SyncCodex!L:L,SyncCodex!M:M),""))</f>
        <v/>
      </c>
      <c r="F114" s="8" t="b">
        <v>0</v>
      </c>
      <c r="G114" s="8" t="b">
        <v>0</v>
      </c>
    </row>
    <row r="115">
      <c r="A115" s="38"/>
      <c r="B115" s="8"/>
      <c r="D115" s="8"/>
      <c r="E115" s="58" t="str">
        <f t="array" ref="E115">IF(D115="","",IFERROR(_xlfn.XLOOKUP(D115,SyncCodex!L:L,SyncCodex!M:M),""))</f>
        <v/>
      </c>
      <c r="F115" s="8" t="b">
        <v>0</v>
      </c>
      <c r="G115" s="8" t="b">
        <v>0</v>
      </c>
    </row>
    <row r="116">
      <c r="A116" s="38"/>
      <c r="B116" s="8"/>
      <c r="D116" s="8"/>
      <c r="E116" s="58" t="str">
        <f t="array" ref="E116">IF(D116="","",IFERROR(_xlfn.XLOOKUP(D116,SyncCodex!L:L,SyncCodex!M:M),""))</f>
        <v/>
      </c>
      <c r="F116" s="8" t="b">
        <v>0</v>
      </c>
      <c r="G116" s="8" t="b">
        <v>0</v>
      </c>
    </row>
    <row r="117">
      <c r="A117" s="38"/>
      <c r="B117" s="8"/>
      <c r="D117" s="8"/>
      <c r="E117" s="58" t="str">
        <f t="array" ref="E117">IF(D117="","",IFERROR(_xlfn.XLOOKUP(D117,SyncCodex!L:L,SyncCodex!M:M),""))</f>
        <v/>
      </c>
      <c r="F117" s="8" t="b">
        <v>0</v>
      </c>
      <c r="G117" s="8" t="b">
        <v>0</v>
      </c>
    </row>
    <row r="118">
      <c r="A118" s="38"/>
      <c r="B118" s="8"/>
      <c r="D118" s="8"/>
      <c r="E118" s="58" t="str">
        <f t="array" ref="E118">IF(D118="","",IFERROR(_xlfn.XLOOKUP(D118,SyncCodex!L:L,SyncCodex!M:M),""))</f>
        <v/>
      </c>
      <c r="F118" s="8" t="b">
        <v>0</v>
      </c>
      <c r="G118" s="8" t="b">
        <v>0</v>
      </c>
    </row>
    <row r="119">
      <c r="A119" s="38"/>
      <c r="B119" s="8"/>
      <c r="D119" s="8"/>
      <c r="E119" s="58" t="str">
        <f t="array" ref="E119">IF(D119="","",IFERROR(_xlfn.XLOOKUP(D119,SyncCodex!L:L,SyncCodex!M:M),""))</f>
        <v/>
      </c>
      <c r="F119" s="8" t="b">
        <v>0</v>
      </c>
      <c r="G119" s="8" t="b">
        <v>0</v>
      </c>
    </row>
    <row r="120">
      <c r="A120" s="38"/>
      <c r="B120" s="8"/>
      <c r="D120" s="8"/>
      <c r="E120" s="58" t="str">
        <f t="array" ref="E120">IF(D120="","",IFERROR(_xlfn.XLOOKUP(D120,SyncCodex!L:L,SyncCodex!M:M),""))</f>
        <v/>
      </c>
      <c r="F120" s="8" t="b">
        <v>0</v>
      </c>
      <c r="G120" s="8" t="b">
        <v>0</v>
      </c>
    </row>
    <row r="121">
      <c r="A121" s="38"/>
      <c r="B121" s="8"/>
      <c r="D121" s="8"/>
      <c r="E121" s="58" t="str">
        <f t="array" ref="E121">IF(D121="","",IFERROR(_xlfn.XLOOKUP(D121,SyncCodex!L:L,SyncCodex!M:M),""))</f>
        <v/>
      </c>
      <c r="F121" s="8" t="b">
        <v>0</v>
      </c>
      <c r="G121" s="8" t="b">
        <v>0</v>
      </c>
    </row>
    <row r="122">
      <c r="A122" s="38"/>
      <c r="B122" s="8"/>
      <c r="D122" s="8"/>
      <c r="E122" s="58" t="str">
        <f t="array" ref="E122">IF(D122="","",IFERROR(_xlfn.XLOOKUP(D122,SyncCodex!L:L,SyncCodex!M:M),""))</f>
        <v/>
      </c>
      <c r="F122" s="8" t="b">
        <v>0</v>
      </c>
      <c r="G122" s="8" t="b">
        <v>0</v>
      </c>
    </row>
    <row r="123">
      <c r="A123" s="38"/>
      <c r="B123" s="8"/>
      <c r="D123" s="8"/>
      <c r="E123" s="58" t="str">
        <f t="array" ref="E123">IF(D123="","",IFERROR(_xlfn.XLOOKUP(D123,SyncCodex!L:L,SyncCodex!M:M),""))</f>
        <v/>
      </c>
      <c r="F123" s="8" t="b">
        <v>0</v>
      </c>
      <c r="G123" s="8" t="b">
        <v>0</v>
      </c>
    </row>
    <row r="124">
      <c r="A124" s="38"/>
      <c r="B124" s="8"/>
      <c r="D124" s="8"/>
      <c r="E124" s="58" t="str">
        <f t="array" ref="E124">IF(D124="","",IFERROR(_xlfn.XLOOKUP(D124,SyncCodex!L:L,SyncCodex!M:M),""))</f>
        <v/>
      </c>
      <c r="F124" s="8" t="b">
        <v>0</v>
      </c>
      <c r="G124" s="8" t="b">
        <v>0</v>
      </c>
    </row>
    <row r="125">
      <c r="A125" s="38"/>
      <c r="B125" s="8"/>
      <c r="D125" s="8"/>
      <c r="E125" s="58" t="str">
        <f t="array" ref="E125">IF(D125="","",IFERROR(_xlfn.XLOOKUP(D125,SyncCodex!L:L,SyncCodex!M:M),""))</f>
        <v/>
      </c>
      <c r="F125" s="8" t="b">
        <v>0</v>
      </c>
      <c r="G125" s="8" t="b">
        <v>0</v>
      </c>
    </row>
    <row r="126">
      <c r="A126" s="38"/>
      <c r="B126" s="8"/>
      <c r="D126" s="8"/>
      <c r="E126" s="58" t="str">
        <f t="array" ref="E126">IF(D126="","",IFERROR(_xlfn.XLOOKUP(D126,SyncCodex!L:L,SyncCodex!M:M),""))</f>
        <v/>
      </c>
      <c r="F126" s="8" t="b">
        <v>0</v>
      </c>
      <c r="G126" s="8" t="b">
        <v>0</v>
      </c>
    </row>
    <row r="127">
      <c r="A127" s="38"/>
      <c r="B127" s="8"/>
      <c r="D127" s="8"/>
      <c r="E127" s="58" t="str">
        <f t="array" ref="E127">IF(D127="","",IFERROR(_xlfn.XLOOKUP(D127,SyncCodex!L:L,SyncCodex!M:M),""))</f>
        <v/>
      </c>
      <c r="F127" s="8" t="b">
        <v>0</v>
      </c>
      <c r="G127" s="8" t="b">
        <v>0</v>
      </c>
    </row>
    <row r="128">
      <c r="A128" s="38"/>
      <c r="B128" s="8"/>
      <c r="D128" s="8"/>
      <c r="E128" s="58" t="str">
        <f t="array" ref="E128">IF(D128="","",IFERROR(_xlfn.XLOOKUP(D128,SyncCodex!L:L,SyncCodex!M:M),""))</f>
        <v/>
      </c>
      <c r="F128" s="8" t="b">
        <v>0</v>
      </c>
      <c r="G128" s="8" t="b">
        <v>0</v>
      </c>
    </row>
    <row r="129">
      <c r="A129" s="38"/>
      <c r="B129" s="8"/>
      <c r="D129" s="8"/>
      <c r="E129" s="58" t="str">
        <f t="array" ref="E129">IF(D129="","",IFERROR(_xlfn.XLOOKUP(D129,SyncCodex!L:L,SyncCodex!M:M),""))</f>
        <v/>
      </c>
      <c r="F129" s="8" t="b">
        <v>0</v>
      </c>
      <c r="G129" s="8" t="b">
        <v>0</v>
      </c>
    </row>
    <row r="130">
      <c r="A130" s="38"/>
      <c r="B130" s="8"/>
      <c r="D130" s="8"/>
      <c r="E130" s="58" t="str">
        <f t="array" ref="E130">IF(D130="","",IFERROR(_xlfn.XLOOKUP(D130,SyncCodex!L:L,SyncCodex!M:M),""))</f>
        <v/>
      </c>
      <c r="F130" s="8" t="b">
        <v>0</v>
      </c>
      <c r="G130" s="8" t="b">
        <v>0</v>
      </c>
    </row>
    <row r="131">
      <c r="A131" s="38"/>
      <c r="B131" s="8"/>
      <c r="D131" s="8"/>
      <c r="E131" s="58" t="str">
        <f t="array" ref="E131">IF(D131="","",IFERROR(_xlfn.XLOOKUP(D131,SyncCodex!L:L,SyncCodex!M:M),""))</f>
        <v/>
      </c>
      <c r="F131" s="8" t="b">
        <v>0</v>
      </c>
      <c r="G131" s="8" t="b">
        <v>0</v>
      </c>
    </row>
    <row r="132">
      <c r="A132" s="38"/>
      <c r="B132" s="8"/>
      <c r="D132" s="8"/>
      <c r="E132" s="58" t="str">
        <f t="array" ref="E132">IF(D132="","",IFERROR(_xlfn.XLOOKUP(D132,SyncCodex!L:L,SyncCodex!M:M),""))</f>
        <v/>
      </c>
      <c r="F132" s="8" t="b">
        <v>0</v>
      </c>
      <c r="G132" s="8" t="b">
        <v>0</v>
      </c>
    </row>
    <row r="133">
      <c r="A133" s="38"/>
      <c r="B133" s="8"/>
      <c r="D133" s="8"/>
      <c r="E133" s="58" t="str">
        <f t="array" ref="E133">IF(D133="","",IFERROR(_xlfn.XLOOKUP(D133,SyncCodex!L:L,SyncCodex!M:M),""))</f>
        <v/>
      </c>
      <c r="F133" s="8" t="b">
        <v>0</v>
      </c>
      <c r="G133" s="8" t="b">
        <v>0</v>
      </c>
    </row>
    <row r="134">
      <c r="A134" s="38"/>
      <c r="B134" s="8"/>
      <c r="D134" s="8"/>
      <c r="E134" s="58" t="str">
        <f t="array" ref="E134">IF(D134="","",IFERROR(_xlfn.XLOOKUP(D134,SyncCodex!L:L,SyncCodex!M:M),""))</f>
        <v/>
      </c>
      <c r="F134" s="8" t="b">
        <v>0</v>
      </c>
      <c r="G134" s="8" t="b">
        <v>0</v>
      </c>
    </row>
    <row r="135">
      <c r="A135" s="38"/>
      <c r="B135" s="8"/>
      <c r="D135" s="8"/>
      <c r="E135" s="58" t="str">
        <f t="array" ref="E135">IF(D135="","",IFERROR(_xlfn.XLOOKUP(D135,SyncCodex!L:L,SyncCodex!M:M),""))</f>
        <v/>
      </c>
      <c r="F135" s="8" t="b">
        <v>0</v>
      </c>
      <c r="G135" s="8" t="b">
        <v>0</v>
      </c>
    </row>
    <row r="136">
      <c r="A136" s="38"/>
      <c r="B136" s="8"/>
      <c r="D136" s="8"/>
      <c r="E136" s="58" t="str">
        <f t="array" ref="E136">IF(D136="","",IFERROR(_xlfn.XLOOKUP(D136,SyncCodex!L:L,SyncCodex!M:M),""))</f>
        <v/>
      </c>
      <c r="F136" s="8" t="b">
        <v>0</v>
      </c>
      <c r="G136" s="8" t="b">
        <v>0</v>
      </c>
    </row>
    <row r="137">
      <c r="A137" s="38"/>
      <c r="B137" s="8"/>
      <c r="D137" s="8"/>
      <c r="E137" s="58" t="str">
        <f t="array" ref="E137">IF(D137="","",IFERROR(_xlfn.XLOOKUP(D137,SyncCodex!L:L,SyncCodex!M:M),""))</f>
        <v/>
      </c>
      <c r="F137" s="8" t="b">
        <v>0</v>
      </c>
      <c r="G137" s="8" t="b">
        <v>0</v>
      </c>
    </row>
    <row r="138">
      <c r="A138" s="38"/>
      <c r="B138" s="8"/>
      <c r="D138" s="8"/>
      <c r="E138" s="58" t="str">
        <f t="array" ref="E138">IF(D138="","",IFERROR(_xlfn.XLOOKUP(D138,SyncCodex!L:L,SyncCodex!M:M),""))</f>
        <v/>
      </c>
      <c r="F138" s="8" t="b">
        <v>0</v>
      </c>
      <c r="G138" s="8" t="b">
        <v>0</v>
      </c>
    </row>
    <row r="139">
      <c r="A139" s="38"/>
      <c r="B139" s="8"/>
      <c r="D139" s="8"/>
      <c r="E139" s="58" t="str">
        <f t="array" ref="E139">IF(D139="","",IFERROR(_xlfn.XLOOKUP(D139,SyncCodex!L:L,SyncCodex!M:M),""))</f>
        <v/>
      </c>
      <c r="F139" s="8" t="b">
        <v>0</v>
      </c>
      <c r="G139" s="8" t="b">
        <v>0</v>
      </c>
    </row>
    <row r="140">
      <c r="A140" s="38"/>
      <c r="B140" s="8"/>
      <c r="D140" s="8"/>
      <c r="E140" s="58" t="str">
        <f t="array" ref="E140">IF(D140="","",IFERROR(_xlfn.XLOOKUP(D140,SyncCodex!L:L,SyncCodex!M:M),""))</f>
        <v/>
      </c>
      <c r="F140" s="8" t="b">
        <v>0</v>
      </c>
      <c r="G140" s="8" t="b">
        <v>0</v>
      </c>
    </row>
    <row r="141">
      <c r="A141" s="38"/>
      <c r="B141" s="8"/>
      <c r="D141" s="8"/>
      <c r="E141" s="58" t="str">
        <f t="array" ref="E141">IF(D141="","",IFERROR(_xlfn.XLOOKUP(D141,SyncCodex!L:L,SyncCodex!M:M),""))</f>
        <v/>
      </c>
      <c r="F141" s="8" t="b">
        <v>0</v>
      </c>
      <c r="G141" s="8" t="b">
        <v>0</v>
      </c>
    </row>
    <row r="142">
      <c r="A142" s="38"/>
      <c r="B142" s="8"/>
      <c r="D142" s="8"/>
      <c r="E142" s="58" t="str">
        <f t="array" ref="E142">IF(D142="","",IFERROR(_xlfn.XLOOKUP(D142,SyncCodex!L:L,SyncCodex!M:M),""))</f>
        <v/>
      </c>
      <c r="F142" s="8" t="b">
        <v>0</v>
      </c>
      <c r="G142" s="8" t="b">
        <v>0</v>
      </c>
    </row>
    <row r="143">
      <c r="A143" s="38"/>
      <c r="B143" s="8"/>
      <c r="D143" s="8"/>
      <c r="E143" s="58" t="str">
        <f t="array" ref="E143">IF(D143="","",IFERROR(_xlfn.XLOOKUP(D143,SyncCodex!L:L,SyncCodex!M:M),""))</f>
        <v/>
      </c>
      <c r="F143" s="8" t="b">
        <v>0</v>
      </c>
      <c r="G143" s="8" t="b">
        <v>0</v>
      </c>
    </row>
    <row r="144">
      <c r="A144" s="38"/>
      <c r="B144" s="8"/>
      <c r="D144" s="8"/>
      <c r="E144" s="58" t="str">
        <f t="array" ref="E144">IF(D144="","",IFERROR(_xlfn.XLOOKUP(D144,SyncCodex!L:L,SyncCodex!M:M),""))</f>
        <v/>
      </c>
      <c r="F144" s="8" t="b">
        <v>0</v>
      </c>
      <c r="G144" s="8" t="b">
        <v>0</v>
      </c>
    </row>
    <row r="145">
      <c r="A145" s="38"/>
      <c r="B145" s="8"/>
      <c r="D145" s="8"/>
      <c r="E145" s="58" t="str">
        <f t="array" ref="E145">IF(D145="","",IFERROR(_xlfn.XLOOKUP(D145,SyncCodex!L:L,SyncCodex!M:M),""))</f>
        <v/>
      </c>
      <c r="F145" s="8" t="b">
        <v>0</v>
      </c>
      <c r="G145" s="8" t="b">
        <v>0</v>
      </c>
    </row>
    <row r="146">
      <c r="A146" s="38"/>
      <c r="B146" s="8"/>
      <c r="D146" s="8"/>
      <c r="E146" s="58" t="str">
        <f t="array" ref="E146">IF(D146="","",IFERROR(_xlfn.XLOOKUP(D146,SyncCodex!L:L,SyncCodex!M:M),""))</f>
        <v/>
      </c>
      <c r="F146" s="8" t="b">
        <v>0</v>
      </c>
      <c r="G146" s="8" t="b">
        <v>0</v>
      </c>
    </row>
    <row r="147">
      <c r="A147" s="38"/>
      <c r="B147" s="8"/>
      <c r="D147" s="8"/>
      <c r="E147" s="58" t="str">
        <f t="array" ref="E147">IF(D147="","",IFERROR(_xlfn.XLOOKUP(D147,SyncCodex!L:L,SyncCodex!M:M),""))</f>
        <v/>
      </c>
      <c r="F147" s="8" t="b">
        <v>0</v>
      </c>
      <c r="G147" s="8" t="b">
        <v>0</v>
      </c>
    </row>
    <row r="148">
      <c r="A148" s="38"/>
      <c r="B148" s="8"/>
      <c r="D148" s="8"/>
      <c r="E148" s="58" t="str">
        <f t="array" ref="E148">IF(D148="","",IFERROR(_xlfn.XLOOKUP(D148,SyncCodex!L:L,SyncCodex!M:M),""))</f>
        <v/>
      </c>
      <c r="F148" s="8" t="b">
        <v>0</v>
      </c>
      <c r="G148" s="8" t="b">
        <v>0</v>
      </c>
    </row>
    <row r="149">
      <c r="A149" s="38"/>
      <c r="B149" s="8"/>
      <c r="D149" s="8"/>
      <c r="E149" s="58" t="str">
        <f t="array" ref="E149">IF(D149="","",IFERROR(_xlfn.XLOOKUP(D149,SyncCodex!L:L,SyncCodex!M:M),""))</f>
        <v/>
      </c>
      <c r="F149" s="8" t="b">
        <v>0</v>
      </c>
      <c r="G149" s="8" t="b">
        <v>0</v>
      </c>
    </row>
    <row r="150">
      <c r="A150" s="38"/>
      <c r="B150" s="8"/>
      <c r="D150" s="8"/>
      <c r="E150" s="58" t="str">
        <f t="array" ref="E150">IF(D150="","",IFERROR(_xlfn.XLOOKUP(D150,SyncCodex!L:L,SyncCodex!M:M),""))</f>
        <v/>
      </c>
      <c r="F150" s="8" t="b">
        <v>0</v>
      </c>
      <c r="G150" s="8" t="b">
        <v>0</v>
      </c>
    </row>
    <row r="151">
      <c r="A151" s="38"/>
      <c r="B151" s="8"/>
      <c r="D151" s="8"/>
      <c r="E151" s="58" t="str">
        <f t="array" ref="E151">IF(D151="","",IFERROR(_xlfn.XLOOKUP(D151,SyncCodex!L:L,SyncCodex!M:M),""))</f>
        <v/>
      </c>
      <c r="F151" s="8" t="b">
        <v>0</v>
      </c>
      <c r="G151" s="8" t="b">
        <v>0</v>
      </c>
    </row>
    <row r="152">
      <c r="A152" s="38"/>
      <c r="B152" s="8"/>
      <c r="D152" s="8"/>
      <c r="E152" s="58" t="str">
        <f t="array" ref="E152">IF(D152="","",IFERROR(_xlfn.XLOOKUP(D152,SyncCodex!L:L,SyncCodex!M:M),""))</f>
        <v/>
      </c>
      <c r="F152" s="8" t="b">
        <v>0</v>
      </c>
      <c r="G152" s="8" t="b">
        <v>0</v>
      </c>
    </row>
    <row r="153">
      <c r="A153" s="38"/>
      <c r="B153" s="8"/>
      <c r="D153" s="8"/>
      <c r="E153" s="58" t="str">
        <f t="array" ref="E153">IF(D153="","",IFERROR(_xlfn.XLOOKUP(D153,SyncCodex!L:L,SyncCodex!M:M),""))</f>
        <v/>
      </c>
      <c r="F153" s="8" t="b">
        <v>0</v>
      </c>
      <c r="G153" s="8" t="b">
        <v>0</v>
      </c>
    </row>
    <row r="154">
      <c r="A154" s="38"/>
      <c r="B154" s="8"/>
      <c r="D154" s="8"/>
      <c r="E154" s="58" t="str">
        <f t="array" ref="E154">IF(D154="","",IFERROR(_xlfn.XLOOKUP(D154,SyncCodex!L:L,SyncCodex!M:M),""))</f>
        <v/>
      </c>
      <c r="F154" s="8" t="b">
        <v>0</v>
      </c>
      <c r="G154" s="8" t="b">
        <v>0</v>
      </c>
    </row>
    <row r="155">
      <c r="A155" s="38"/>
      <c r="B155" s="8"/>
      <c r="D155" s="8"/>
      <c r="E155" s="58" t="str">
        <f t="array" ref="E155">IF(D155="","",IFERROR(_xlfn.XLOOKUP(D155,SyncCodex!L:L,SyncCodex!M:M),""))</f>
        <v/>
      </c>
      <c r="F155" s="8" t="b">
        <v>0</v>
      </c>
      <c r="G155" s="8" t="b">
        <v>0</v>
      </c>
    </row>
    <row r="156">
      <c r="A156" s="38"/>
      <c r="B156" s="8"/>
      <c r="D156" s="8"/>
      <c r="E156" s="58" t="str">
        <f t="array" ref="E156">IF(D156="","",IFERROR(_xlfn.XLOOKUP(D156,SyncCodex!L:L,SyncCodex!M:M),""))</f>
        <v/>
      </c>
      <c r="F156" s="8" t="b">
        <v>0</v>
      </c>
      <c r="G156" s="8" t="b">
        <v>0</v>
      </c>
    </row>
    <row r="157">
      <c r="A157" s="38"/>
      <c r="B157" s="8"/>
      <c r="D157" s="8"/>
      <c r="E157" s="58" t="str">
        <f t="array" ref="E157">IF(D157="","",IFERROR(_xlfn.XLOOKUP(D157,SyncCodex!L:L,SyncCodex!M:M),""))</f>
        <v/>
      </c>
      <c r="F157" s="8" t="b">
        <v>0</v>
      </c>
      <c r="G157" s="8" t="b">
        <v>0</v>
      </c>
    </row>
    <row r="158">
      <c r="A158" s="38"/>
      <c r="B158" s="8"/>
      <c r="D158" s="8"/>
      <c r="E158" s="58" t="str">
        <f t="array" ref="E158">IF(D158="","",IFERROR(_xlfn.XLOOKUP(D158,SyncCodex!L:L,SyncCodex!M:M),""))</f>
        <v/>
      </c>
      <c r="F158" s="8" t="b">
        <v>0</v>
      </c>
      <c r="G158" s="8" t="b">
        <v>0</v>
      </c>
    </row>
    <row r="159">
      <c r="A159" s="38"/>
      <c r="B159" s="8"/>
      <c r="D159" s="8"/>
      <c r="E159" s="58" t="str">
        <f t="array" ref="E159">IF(D159="","",IFERROR(_xlfn.XLOOKUP(D159,SyncCodex!L:L,SyncCodex!M:M),""))</f>
        <v/>
      </c>
      <c r="F159" s="8" t="b">
        <v>0</v>
      </c>
      <c r="G159" s="8" t="b">
        <v>0</v>
      </c>
    </row>
    <row r="160">
      <c r="A160" s="38"/>
      <c r="B160" s="8"/>
      <c r="D160" s="8"/>
      <c r="E160" s="58" t="str">
        <f t="array" ref="E160">IF(D160="","",IFERROR(_xlfn.XLOOKUP(D160,SyncCodex!L:L,SyncCodex!M:M),""))</f>
        <v/>
      </c>
      <c r="F160" s="8" t="b">
        <v>0</v>
      </c>
      <c r="G160" s="8" t="b">
        <v>0</v>
      </c>
    </row>
    <row r="161">
      <c r="A161" s="38"/>
      <c r="B161" s="8"/>
      <c r="D161" s="8"/>
      <c r="E161" s="58" t="str">
        <f t="array" ref="E161">IF(D161="","",IFERROR(_xlfn.XLOOKUP(D161,SyncCodex!L:L,SyncCodex!M:M),""))</f>
        <v/>
      </c>
      <c r="F161" s="8" t="b">
        <v>0</v>
      </c>
      <c r="G161" s="8" t="b">
        <v>0</v>
      </c>
    </row>
    <row r="162">
      <c r="A162" s="38"/>
      <c r="B162" s="8"/>
      <c r="D162" s="8"/>
      <c r="E162" s="58" t="str">
        <f t="array" ref="E162">IF(D162="","",IFERROR(_xlfn.XLOOKUP(D162,SyncCodex!L:L,SyncCodex!M:M),""))</f>
        <v/>
      </c>
      <c r="F162" s="8" t="b">
        <v>0</v>
      </c>
      <c r="G162" s="8" t="b">
        <v>0</v>
      </c>
    </row>
    <row r="163">
      <c r="A163" s="38"/>
      <c r="B163" s="8"/>
      <c r="D163" s="8"/>
      <c r="E163" s="58" t="str">
        <f t="array" ref="E163">IF(D163="","",IFERROR(_xlfn.XLOOKUP(D163,SyncCodex!L:L,SyncCodex!M:M),""))</f>
        <v/>
      </c>
      <c r="F163" s="8" t="b">
        <v>0</v>
      </c>
      <c r="G163" s="8" t="b">
        <v>0</v>
      </c>
    </row>
    <row r="164">
      <c r="A164" s="38"/>
      <c r="B164" s="8"/>
      <c r="D164" s="8"/>
      <c r="E164" s="58" t="str">
        <f t="array" ref="E164">IF(D164="","",IFERROR(_xlfn.XLOOKUP(D164,SyncCodex!L:L,SyncCodex!M:M),""))</f>
        <v/>
      </c>
      <c r="F164" s="8" t="b">
        <v>0</v>
      </c>
      <c r="G164" s="8" t="b">
        <v>0</v>
      </c>
    </row>
    <row r="165">
      <c r="A165" s="38"/>
      <c r="B165" s="8"/>
      <c r="D165" s="8"/>
      <c r="E165" s="58" t="str">
        <f t="array" ref="E165">IF(D165="","",IFERROR(_xlfn.XLOOKUP(D165,SyncCodex!L:L,SyncCodex!M:M),""))</f>
        <v/>
      </c>
      <c r="F165" s="8" t="b">
        <v>0</v>
      </c>
      <c r="G165" s="8" t="b">
        <v>0</v>
      </c>
    </row>
    <row r="166">
      <c r="A166" s="38"/>
      <c r="B166" s="8"/>
      <c r="D166" s="8"/>
      <c r="E166" s="58" t="str">
        <f t="array" ref="E166">IF(D166="","",IFERROR(_xlfn.XLOOKUP(D166,SyncCodex!L:L,SyncCodex!M:M),""))</f>
        <v/>
      </c>
      <c r="F166" s="8" t="b">
        <v>0</v>
      </c>
      <c r="G166" s="8" t="b">
        <v>0</v>
      </c>
    </row>
    <row r="167">
      <c r="A167" s="38"/>
      <c r="B167" s="8"/>
      <c r="D167" s="8"/>
      <c r="E167" s="58" t="str">
        <f t="array" ref="E167">IF(D167="","",IFERROR(_xlfn.XLOOKUP(D167,SyncCodex!L:L,SyncCodex!M:M),""))</f>
        <v/>
      </c>
      <c r="F167" s="8" t="b">
        <v>0</v>
      </c>
      <c r="G167" s="8" t="b">
        <v>0</v>
      </c>
    </row>
    <row r="168">
      <c r="A168" s="38"/>
      <c r="B168" s="8"/>
      <c r="D168" s="8"/>
      <c r="E168" s="58" t="str">
        <f t="array" ref="E168">IF(D168="","",IFERROR(_xlfn.XLOOKUP(D168,SyncCodex!L:L,SyncCodex!M:M),""))</f>
        <v/>
      </c>
      <c r="F168" s="8" t="b">
        <v>0</v>
      </c>
      <c r="G168" s="8" t="b">
        <v>0</v>
      </c>
    </row>
    <row r="169">
      <c r="A169" s="38"/>
      <c r="B169" s="8"/>
      <c r="D169" s="8"/>
      <c r="E169" s="58" t="str">
        <f t="array" ref="E169">IF(D169="","",IFERROR(_xlfn.XLOOKUP(D169,SyncCodex!L:L,SyncCodex!M:M),""))</f>
        <v/>
      </c>
      <c r="F169" s="8" t="b">
        <v>0</v>
      </c>
      <c r="G169" s="8" t="b">
        <v>0</v>
      </c>
    </row>
    <row r="170">
      <c r="A170" s="38"/>
      <c r="B170" s="8"/>
      <c r="D170" s="8"/>
      <c r="E170" s="58" t="str">
        <f t="array" ref="E170">IF(D170="","",IFERROR(_xlfn.XLOOKUP(D170,SyncCodex!L:L,SyncCodex!M:M),""))</f>
        <v/>
      </c>
      <c r="F170" s="8" t="b">
        <v>0</v>
      </c>
      <c r="G170" s="8" t="b">
        <v>0</v>
      </c>
    </row>
    <row r="171">
      <c r="A171" s="38"/>
      <c r="B171" s="8"/>
      <c r="D171" s="8"/>
      <c r="E171" s="58" t="str">
        <f t="array" ref="E171">IF(D171="","",IFERROR(_xlfn.XLOOKUP(D171,SyncCodex!L:L,SyncCodex!M:M),""))</f>
        <v/>
      </c>
      <c r="F171" s="8" t="b">
        <v>0</v>
      </c>
      <c r="G171" s="8" t="b">
        <v>0</v>
      </c>
    </row>
    <row r="172">
      <c r="A172" s="38"/>
      <c r="B172" s="8"/>
      <c r="D172" s="8"/>
      <c r="E172" s="58" t="str">
        <f t="array" ref="E172">IF(D172="","",IFERROR(_xlfn.XLOOKUP(D172,SyncCodex!L:L,SyncCodex!M:M),""))</f>
        <v/>
      </c>
      <c r="F172" s="8" t="b">
        <v>0</v>
      </c>
      <c r="G172" s="8" t="b">
        <v>0</v>
      </c>
    </row>
    <row r="173">
      <c r="A173" s="38"/>
      <c r="B173" s="8"/>
      <c r="D173" s="8"/>
      <c r="E173" s="58" t="str">
        <f t="array" ref="E173">IF(D173="","",IFERROR(_xlfn.XLOOKUP(D173,SyncCodex!L:L,SyncCodex!M:M),""))</f>
        <v/>
      </c>
      <c r="F173" s="8" t="b">
        <v>0</v>
      </c>
      <c r="G173" s="8" t="b">
        <v>0</v>
      </c>
    </row>
    <row r="174">
      <c r="A174" s="38"/>
      <c r="B174" s="8"/>
      <c r="D174" s="8"/>
      <c r="E174" s="58" t="str">
        <f t="array" ref="E174">IF(D174="","",IFERROR(_xlfn.XLOOKUP(D174,SyncCodex!L:L,SyncCodex!M:M),""))</f>
        <v/>
      </c>
      <c r="F174" s="8" t="b">
        <v>0</v>
      </c>
      <c r="G174" s="8" t="b">
        <v>0</v>
      </c>
    </row>
    <row r="175">
      <c r="A175" s="38"/>
      <c r="B175" s="8"/>
      <c r="D175" s="8"/>
      <c r="E175" s="58" t="str">
        <f t="array" ref="E175">IF(D175="","",IFERROR(_xlfn.XLOOKUP(D175,SyncCodex!L:L,SyncCodex!M:M),""))</f>
        <v/>
      </c>
      <c r="F175" s="8" t="b">
        <v>0</v>
      </c>
      <c r="G175" s="8" t="b">
        <v>0</v>
      </c>
    </row>
    <row r="176">
      <c r="A176" s="38"/>
      <c r="B176" s="8"/>
      <c r="D176" s="8"/>
      <c r="E176" s="58" t="str">
        <f t="array" ref="E176">IF(D176="","",IFERROR(_xlfn.XLOOKUP(D176,SyncCodex!L:L,SyncCodex!M:M),""))</f>
        <v/>
      </c>
      <c r="F176" s="8" t="b">
        <v>0</v>
      </c>
      <c r="G176" s="8" t="b">
        <v>0</v>
      </c>
    </row>
    <row r="177">
      <c r="A177" s="38"/>
      <c r="B177" s="8"/>
      <c r="D177" s="8"/>
      <c r="E177" s="58" t="str">
        <f t="array" ref="E177">IF(D177="","",IFERROR(_xlfn.XLOOKUP(D177,SyncCodex!L:L,SyncCodex!M:M),""))</f>
        <v/>
      </c>
      <c r="F177" s="8" t="b">
        <v>0</v>
      </c>
      <c r="G177" s="8" t="b">
        <v>0</v>
      </c>
    </row>
    <row r="178">
      <c r="A178" s="38"/>
      <c r="B178" s="8"/>
      <c r="D178" s="8"/>
      <c r="E178" s="58" t="str">
        <f t="array" ref="E178">IF(D178="","",IFERROR(_xlfn.XLOOKUP(D178,SyncCodex!L:L,SyncCodex!M:M),""))</f>
        <v/>
      </c>
      <c r="F178" s="8" t="b">
        <v>0</v>
      </c>
      <c r="G178" s="8" t="b">
        <v>0</v>
      </c>
    </row>
    <row r="179">
      <c r="A179" s="38"/>
      <c r="B179" s="8"/>
      <c r="D179" s="8"/>
      <c r="E179" s="58" t="str">
        <f t="array" ref="E179">IF(D179="","",IFERROR(_xlfn.XLOOKUP(D179,SyncCodex!L:L,SyncCodex!M:M),""))</f>
        <v/>
      </c>
      <c r="F179" s="8" t="b">
        <v>0</v>
      </c>
      <c r="G179" s="8" t="b">
        <v>0</v>
      </c>
    </row>
    <row r="180">
      <c r="A180" s="38"/>
      <c r="B180" s="8"/>
      <c r="D180" s="8"/>
      <c r="E180" s="58" t="str">
        <f t="array" ref="E180">IF(D180="","",IFERROR(_xlfn.XLOOKUP(D180,SyncCodex!L:L,SyncCodex!M:M),""))</f>
        <v/>
      </c>
      <c r="F180" s="8" t="b">
        <v>0</v>
      </c>
      <c r="G180" s="8" t="b">
        <v>0</v>
      </c>
    </row>
    <row r="181">
      <c r="A181" s="38"/>
      <c r="B181" s="8"/>
      <c r="D181" s="8"/>
      <c r="E181" s="58" t="str">
        <f t="array" ref="E181">IF(D181="","",IFERROR(_xlfn.XLOOKUP(D181,SyncCodex!L:L,SyncCodex!M:M),""))</f>
        <v/>
      </c>
      <c r="F181" s="8" t="b">
        <v>0</v>
      </c>
      <c r="G181" s="8" t="b">
        <v>0</v>
      </c>
    </row>
    <row r="182">
      <c r="A182" s="38"/>
      <c r="B182" s="8"/>
      <c r="D182" s="8"/>
      <c r="E182" s="58" t="str">
        <f t="array" ref="E182">IF(D182="","",IFERROR(_xlfn.XLOOKUP(D182,SyncCodex!L:L,SyncCodex!M:M),""))</f>
        <v/>
      </c>
      <c r="F182" s="8" t="b">
        <v>0</v>
      </c>
      <c r="G182" s="8" t="b">
        <v>0</v>
      </c>
    </row>
    <row r="183">
      <c r="A183" s="38"/>
      <c r="B183" s="8"/>
      <c r="D183" s="8"/>
      <c r="E183" s="58" t="str">
        <f t="array" ref="E183">IF(D183="","",IFERROR(_xlfn.XLOOKUP(D183,SyncCodex!L:L,SyncCodex!M:M),""))</f>
        <v/>
      </c>
      <c r="F183" s="8" t="b">
        <v>0</v>
      </c>
      <c r="G183" s="8" t="b">
        <v>0</v>
      </c>
    </row>
    <row r="184">
      <c r="A184" s="38"/>
      <c r="B184" s="8"/>
      <c r="D184" s="8"/>
      <c r="E184" s="58" t="str">
        <f t="array" ref="E184">IF(D184="","",IFERROR(_xlfn.XLOOKUP(D184,SyncCodex!L:L,SyncCodex!M:M),""))</f>
        <v/>
      </c>
      <c r="F184" s="8" t="b">
        <v>0</v>
      </c>
      <c r="G184" s="8" t="b">
        <v>0</v>
      </c>
    </row>
    <row r="185">
      <c r="A185" s="38"/>
      <c r="B185" s="8"/>
      <c r="D185" s="8"/>
      <c r="E185" s="58" t="str">
        <f t="array" ref="E185">IF(D185="","",IFERROR(_xlfn.XLOOKUP(D185,SyncCodex!L:L,SyncCodex!M:M),""))</f>
        <v/>
      </c>
      <c r="F185" s="8" t="b">
        <v>0</v>
      </c>
      <c r="G185" s="8" t="b">
        <v>0</v>
      </c>
    </row>
    <row r="186">
      <c r="A186" s="38"/>
      <c r="B186" s="8"/>
      <c r="D186" s="8"/>
      <c r="E186" s="58" t="str">
        <f t="array" ref="E186">IF(D186="","",IFERROR(_xlfn.XLOOKUP(D186,SyncCodex!L:L,SyncCodex!M:M),""))</f>
        <v/>
      </c>
      <c r="F186" s="8" t="b">
        <v>0</v>
      </c>
      <c r="G186" s="8" t="b">
        <v>0</v>
      </c>
    </row>
    <row r="187">
      <c r="A187" s="38"/>
      <c r="B187" s="8"/>
      <c r="D187" s="8"/>
      <c r="E187" s="58" t="str">
        <f t="array" ref="E187">IF(D187="","",IFERROR(_xlfn.XLOOKUP(D187,SyncCodex!L:L,SyncCodex!M:M),""))</f>
        <v/>
      </c>
      <c r="F187" s="8" t="b">
        <v>0</v>
      </c>
      <c r="G187" s="8" t="b">
        <v>0</v>
      </c>
    </row>
    <row r="188">
      <c r="A188" s="38"/>
      <c r="B188" s="8"/>
      <c r="D188" s="8"/>
      <c r="E188" s="58" t="str">
        <f t="array" ref="E188">IF(D188="","",IFERROR(_xlfn.XLOOKUP(D188,SyncCodex!L:L,SyncCodex!M:M),""))</f>
        <v/>
      </c>
      <c r="F188" s="8" t="b">
        <v>0</v>
      </c>
      <c r="G188" s="8" t="b">
        <v>0</v>
      </c>
    </row>
    <row r="189">
      <c r="A189" s="38"/>
      <c r="B189" s="8"/>
      <c r="D189" s="8"/>
      <c r="E189" s="58" t="str">
        <f t="array" ref="E189">IF(D189="","",IFERROR(_xlfn.XLOOKUP(D189,SyncCodex!L:L,SyncCodex!M:M),""))</f>
        <v/>
      </c>
      <c r="F189" s="8" t="b">
        <v>0</v>
      </c>
      <c r="G189" s="8" t="b">
        <v>0</v>
      </c>
    </row>
    <row r="190">
      <c r="A190" s="38"/>
      <c r="B190" s="8"/>
      <c r="D190" s="8"/>
      <c r="E190" s="58" t="str">
        <f t="array" ref="E190">IF(D190="","",IFERROR(_xlfn.XLOOKUP(D190,SyncCodex!L:L,SyncCodex!M:M),""))</f>
        <v/>
      </c>
      <c r="F190" s="8" t="b">
        <v>0</v>
      </c>
      <c r="G190" s="8" t="b">
        <v>0</v>
      </c>
    </row>
    <row r="191">
      <c r="A191" s="38"/>
      <c r="B191" s="8"/>
      <c r="D191" s="8"/>
      <c r="E191" s="58" t="str">
        <f t="array" ref="E191">IF(D191="","",IFERROR(_xlfn.XLOOKUP(D191,SyncCodex!L:L,SyncCodex!M:M),""))</f>
        <v/>
      </c>
      <c r="F191" s="8" t="b">
        <v>0</v>
      </c>
      <c r="G191" s="8" t="b">
        <v>0</v>
      </c>
    </row>
    <row r="192">
      <c r="A192" s="38"/>
      <c r="B192" s="8"/>
      <c r="D192" s="8"/>
      <c r="E192" s="58" t="str">
        <f t="array" ref="E192">IF(D192="","",IFERROR(_xlfn.XLOOKUP(D192,SyncCodex!L:L,SyncCodex!M:M),""))</f>
        <v/>
      </c>
      <c r="F192" s="8" t="b">
        <v>0</v>
      </c>
      <c r="G192" s="8" t="b">
        <v>0</v>
      </c>
    </row>
    <row r="193">
      <c r="A193" s="38"/>
      <c r="B193" s="8"/>
      <c r="D193" s="8"/>
      <c r="E193" s="58" t="str">
        <f t="array" ref="E193">IF(D193="","",IFERROR(_xlfn.XLOOKUP(D193,SyncCodex!L:L,SyncCodex!M:M),""))</f>
        <v/>
      </c>
      <c r="F193" s="8" t="b">
        <v>0</v>
      </c>
      <c r="G193" s="8" t="b">
        <v>0</v>
      </c>
    </row>
    <row r="194">
      <c r="A194" s="38"/>
      <c r="B194" s="8"/>
      <c r="D194" s="8"/>
      <c r="E194" s="58" t="str">
        <f t="array" ref="E194">IF(D194="","",IFERROR(_xlfn.XLOOKUP(D194,SyncCodex!L:L,SyncCodex!M:M),""))</f>
        <v/>
      </c>
      <c r="F194" s="8" t="b">
        <v>0</v>
      </c>
      <c r="G194" s="8" t="b">
        <v>0</v>
      </c>
    </row>
    <row r="195">
      <c r="A195" s="38"/>
      <c r="B195" s="8"/>
      <c r="D195" s="8"/>
      <c r="E195" s="58" t="str">
        <f t="array" ref="E195">IF(D195="","",IFERROR(_xlfn.XLOOKUP(D195,SyncCodex!L:L,SyncCodex!M:M),""))</f>
        <v/>
      </c>
      <c r="F195" s="8" t="b">
        <v>0</v>
      </c>
      <c r="G195" s="8" t="b">
        <v>0</v>
      </c>
    </row>
    <row r="196">
      <c r="A196" s="38"/>
      <c r="B196" s="8"/>
      <c r="D196" s="8"/>
      <c r="E196" s="58" t="str">
        <f t="array" ref="E196">IF(D196="","",IFERROR(_xlfn.XLOOKUP(D196,SyncCodex!L:L,SyncCodex!M:M),""))</f>
        <v/>
      </c>
      <c r="F196" s="8" t="b">
        <v>0</v>
      </c>
      <c r="G196" s="8" t="b">
        <v>0</v>
      </c>
    </row>
    <row r="197">
      <c r="A197" s="38"/>
      <c r="B197" s="8"/>
      <c r="D197" s="8"/>
      <c r="E197" s="58" t="str">
        <f t="array" ref="E197">IF(D197="","",IFERROR(_xlfn.XLOOKUP(D197,SyncCodex!L:L,SyncCodex!M:M),""))</f>
        <v/>
      </c>
      <c r="F197" s="8" t="b">
        <v>0</v>
      </c>
      <c r="G197" s="8" t="b">
        <v>0</v>
      </c>
    </row>
    <row r="198">
      <c r="A198" s="38"/>
      <c r="B198" s="8"/>
      <c r="D198" s="8"/>
      <c r="E198" s="58" t="str">
        <f t="array" ref="E198">IF(D198="","",IFERROR(_xlfn.XLOOKUP(D198,SyncCodex!L:L,SyncCodex!M:M),""))</f>
        <v/>
      </c>
      <c r="F198" s="8" t="b">
        <v>0</v>
      </c>
      <c r="G198" s="8" t="b">
        <v>0</v>
      </c>
    </row>
    <row r="199">
      <c r="A199" s="38"/>
      <c r="B199" s="8"/>
      <c r="D199" s="8"/>
      <c r="E199" s="58" t="str">
        <f t="array" ref="E199">IF(D199="","",IFERROR(_xlfn.XLOOKUP(D199,SyncCodex!L:L,SyncCodex!M:M),""))</f>
        <v/>
      </c>
      <c r="F199" s="8" t="b">
        <v>0</v>
      </c>
      <c r="G199" s="8" t="b">
        <v>0</v>
      </c>
    </row>
    <row r="200">
      <c r="A200" s="38"/>
      <c r="B200" s="8"/>
      <c r="D200" s="8"/>
      <c r="E200" s="58" t="str">
        <f t="array" ref="E200">IF(D200="","",IFERROR(_xlfn.XLOOKUP(D200,SyncCodex!L:L,SyncCodex!M:M),""))</f>
        <v/>
      </c>
      <c r="F200" s="8" t="b">
        <v>0</v>
      </c>
      <c r="G200" s="8" t="b">
        <v>0</v>
      </c>
    </row>
    <row r="201">
      <c r="A201" s="38"/>
      <c r="B201" s="8"/>
      <c r="D201" s="8"/>
      <c r="E201" s="58" t="str">
        <f t="array" ref="E201">IF(D201="","",IFERROR(_xlfn.XLOOKUP(D201,SyncCodex!L:L,SyncCodex!M:M),""))</f>
        <v/>
      </c>
      <c r="F201" s="8" t="b">
        <v>0</v>
      </c>
      <c r="G201" s="8" t="b">
        <v>0</v>
      </c>
    </row>
    <row r="202">
      <c r="A202" s="38"/>
      <c r="B202" s="8"/>
      <c r="D202" s="8"/>
      <c r="E202" s="58" t="str">
        <f t="array" ref="E202">IF(D202="","",IFERROR(_xlfn.XLOOKUP(D202,SyncCodex!L:L,SyncCodex!M:M),""))</f>
        <v/>
      </c>
      <c r="F202" s="8" t="b">
        <v>0</v>
      </c>
      <c r="G202" s="8" t="b">
        <v>0</v>
      </c>
    </row>
    <row r="203">
      <c r="A203" s="38"/>
      <c r="B203" s="8"/>
      <c r="D203" s="8"/>
      <c r="E203" s="58" t="str">
        <f t="array" ref="E203">IF(D203="","",IFERROR(_xlfn.XLOOKUP(D203,SyncCodex!L:L,SyncCodex!M:M),""))</f>
        <v/>
      </c>
      <c r="F203" s="8" t="b">
        <v>0</v>
      </c>
      <c r="G203" s="8" t="b">
        <v>0</v>
      </c>
    </row>
    <row r="204">
      <c r="A204" s="38"/>
      <c r="B204" s="8"/>
      <c r="D204" s="8"/>
      <c r="E204" s="58" t="str">
        <f t="array" ref="E204">IF(D204="","",IFERROR(_xlfn.XLOOKUP(D204,SyncCodex!L:L,SyncCodex!M:M),""))</f>
        <v/>
      </c>
      <c r="F204" s="8" t="b">
        <v>0</v>
      </c>
      <c r="G204" s="8" t="b">
        <v>0</v>
      </c>
    </row>
    <row r="205">
      <c r="A205" s="38"/>
      <c r="B205" s="8"/>
      <c r="D205" s="8"/>
      <c r="E205" s="58" t="str">
        <f t="array" ref="E205">IF(D205="","",IFERROR(_xlfn.XLOOKUP(D205,SyncCodex!L:L,SyncCodex!M:M),""))</f>
        <v/>
      </c>
      <c r="F205" s="8" t="b">
        <v>0</v>
      </c>
      <c r="G205" s="8" t="b">
        <v>0</v>
      </c>
    </row>
    <row r="206">
      <c r="A206" s="38"/>
      <c r="B206" s="8"/>
      <c r="D206" s="8"/>
      <c r="E206" s="58" t="str">
        <f t="array" ref="E206">IF(D206="","",IFERROR(_xlfn.XLOOKUP(D206,SyncCodex!L:L,SyncCodex!M:M),""))</f>
        <v/>
      </c>
      <c r="F206" s="8" t="b">
        <v>0</v>
      </c>
      <c r="G206" s="8" t="b">
        <v>0</v>
      </c>
    </row>
    <row r="207">
      <c r="A207" s="38"/>
      <c r="B207" s="8"/>
      <c r="D207" s="8"/>
      <c r="E207" s="58" t="str">
        <f t="array" ref="E207">IF(D207="","",IFERROR(_xlfn.XLOOKUP(D207,SyncCodex!L:L,SyncCodex!M:M),""))</f>
        <v/>
      </c>
      <c r="F207" s="8" t="b">
        <v>0</v>
      </c>
      <c r="G207" s="8" t="b">
        <v>0</v>
      </c>
    </row>
    <row r="208">
      <c r="A208" s="38"/>
      <c r="B208" s="8"/>
      <c r="D208" s="8"/>
      <c r="E208" s="58" t="str">
        <f t="array" ref="E208">IF(D208="","",IFERROR(_xlfn.XLOOKUP(D208,SyncCodex!L:L,SyncCodex!M:M),""))</f>
        <v/>
      </c>
      <c r="F208" s="8" t="b">
        <v>0</v>
      </c>
      <c r="G208" s="8" t="b">
        <v>0</v>
      </c>
    </row>
    <row r="209">
      <c r="A209" s="38"/>
      <c r="B209" s="8"/>
      <c r="D209" s="8"/>
      <c r="E209" s="58" t="str">
        <f t="array" ref="E209">IF(D209="","",IFERROR(_xlfn.XLOOKUP(D209,SyncCodex!L:L,SyncCodex!M:M),""))</f>
        <v/>
      </c>
      <c r="F209" s="8" t="b">
        <v>0</v>
      </c>
      <c r="G209" s="8" t="b">
        <v>0</v>
      </c>
    </row>
    <row r="210">
      <c r="A210" s="38"/>
      <c r="B210" s="8"/>
      <c r="D210" s="8"/>
      <c r="E210" s="58" t="str">
        <f t="array" ref="E210">IF(D210="","",IFERROR(_xlfn.XLOOKUP(D210,SyncCodex!L:L,SyncCodex!M:M),""))</f>
        <v/>
      </c>
      <c r="F210" s="8" t="b">
        <v>0</v>
      </c>
      <c r="G210" s="8" t="b">
        <v>0</v>
      </c>
    </row>
    <row r="211">
      <c r="A211" s="38"/>
      <c r="B211" s="8"/>
      <c r="D211" s="8"/>
      <c r="E211" s="58" t="str">
        <f t="array" ref="E211">IF(D211="","",IFERROR(_xlfn.XLOOKUP(D211,SyncCodex!L:L,SyncCodex!M:M),""))</f>
        <v/>
      </c>
      <c r="F211" s="8" t="b">
        <v>0</v>
      </c>
      <c r="G211" s="8" t="b">
        <v>0</v>
      </c>
    </row>
    <row r="212">
      <c r="A212" s="38"/>
      <c r="B212" s="8"/>
      <c r="D212" s="8"/>
      <c r="E212" s="58" t="str">
        <f t="array" ref="E212">IF(D212="","",IFERROR(_xlfn.XLOOKUP(D212,SyncCodex!L:L,SyncCodex!M:M),""))</f>
        <v/>
      </c>
      <c r="F212" s="8" t="b">
        <v>0</v>
      </c>
      <c r="G212" s="8" t="b">
        <v>0</v>
      </c>
    </row>
    <row r="213">
      <c r="A213" s="38"/>
      <c r="B213" s="8"/>
      <c r="D213" s="8"/>
      <c r="E213" s="58" t="str">
        <f t="array" ref="E213">IF(D213="","",IFERROR(_xlfn.XLOOKUP(D213,SyncCodex!L:L,SyncCodex!M:M),""))</f>
        <v/>
      </c>
      <c r="F213" s="8" t="b">
        <v>0</v>
      </c>
      <c r="G213" s="8" t="b">
        <v>0</v>
      </c>
    </row>
    <row r="214">
      <c r="A214" s="38"/>
      <c r="B214" s="8"/>
      <c r="D214" s="8"/>
      <c r="E214" s="58" t="str">
        <f t="array" ref="E214">IF(D214="","",IFERROR(_xlfn.XLOOKUP(D214,SyncCodex!L:L,SyncCodex!M:M),""))</f>
        <v/>
      </c>
      <c r="F214" s="8" t="b">
        <v>0</v>
      </c>
      <c r="G214" s="8" t="b">
        <v>0</v>
      </c>
    </row>
    <row r="215">
      <c r="A215" s="38"/>
      <c r="B215" s="8"/>
      <c r="D215" s="8"/>
      <c r="E215" s="58" t="str">
        <f t="array" ref="E215">IF(D215="","",IFERROR(_xlfn.XLOOKUP(D215,SyncCodex!L:L,SyncCodex!M:M),""))</f>
        <v/>
      </c>
      <c r="F215" s="8" t="b">
        <v>0</v>
      </c>
      <c r="G215" s="8" t="b">
        <v>0</v>
      </c>
    </row>
    <row r="216">
      <c r="A216" s="38"/>
      <c r="B216" s="8"/>
      <c r="D216" s="8"/>
      <c r="E216" s="58" t="str">
        <f t="array" ref="E216">IF(D216="","",IFERROR(_xlfn.XLOOKUP(D216,SyncCodex!L:L,SyncCodex!M:M),""))</f>
        <v/>
      </c>
      <c r="F216" s="8" t="b">
        <v>0</v>
      </c>
      <c r="G216" s="8" t="b">
        <v>0</v>
      </c>
    </row>
    <row r="217">
      <c r="A217" s="38"/>
      <c r="B217" s="8"/>
      <c r="D217" s="8"/>
      <c r="E217" s="58" t="str">
        <f t="array" ref="E217">IF(D217="","",IFERROR(_xlfn.XLOOKUP(D217,SyncCodex!L:L,SyncCodex!M:M),""))</f>
        <v/>
      </c>
      <c r="F217" s="8" t="b">
        <v>0</v>
      </c>
      <c r="G217" s="8" t="b">
        <v>0</v>
      </c>
    </row>
    <row r="218">
      <c r="A218" s="38"/>
      <c r="B218" s="8"/>
      <c r="D218" s="8"/>
      <c r="E218" s="58" t="str">
        <f t="array" ref="E218">IF(D218="","",IFERROR(_xlfn.XLOOKUP(D218,SyncCodex!L:L,SyncCodex!M:M),""))</f>
        <v/>
      </c>
      <c r="F218" s="8" t="b">
        <v>0</v>
      </c>
      <c r="G218" s="8" t="b">
        <v>0</v>
      </c>
    </row>
    <row r="219">
      <c r="A219" s="38"/>
      <c r="B219" s="8"/>
      <c r="D219" s="8"/>
      <c r="E219" s="58" t="str">
        <f t="array" ref="E219">IF(D219="","",IFERROR(_xlfn.XLOOKUP(D219,SyncCodex!L:L,SyncCodex!M:M),""))</f>
        <v/>
      </c>
      <c r="F219" s="8" t="b">
        <v>0</v>
      </c>
      <c r="G219" s="8" t="b">
        <v>0</v>
      </c>
    </row>
    <row r="220">
      <c r="A220" s="38"/>
      <c r="B220" s="8"/>
      <c r="D220" s="8"/>
      <c r="E220" s="58" t="str">
        <f t="array" ref="E220">IF(D220="","",IFERROR(_xlfn.XLOOKUP(D220,SyncCodex!L:L,SyncCodex!M:M),""))</f>
        <v/>
      </c>
      <c r="F220" s="8" t="b">
        <v>0</v>
      </c>
      <c r="G220" s="8" t="b">
        <v>0</v>
      </c>
    </row>
    <row r="221">
      <c r="A221" s="38"/>
      <c r="B221" s="8"/>
      <c r="D221" s="8"/>
      <c r="E221" s="58" t="str">
        <f t="array" ref="E221">IF(D221="","",IFERROR(_xlfn.XLOOKUP(D221,SyncCodex!L:L,SyncCodex!M:M),""))</f>
        <v/>
      </c>
      <c r="F221" s="8" t="b">
        <v>0</v>
      </c>
      <c r="G221" s="8" t="b">
        <v>0</v>
      </c>
    </row>
    <row r="222">
      <c r="A222" s="38"/>
      <c r="B222" s="8"/>
      <c r="D222" s="8"/>
      <c r="E222" s="58" t="str">
        <f t="array" ref="E222">IF(D222="","",IFERROR(_xlfn.XLOOKUP(D222,SyncCodex!L:L,SyncCodex!M:M),""))</f>
        <v/>
      </c>
      <c r="F222" s="8" t="b">
        <v>0</v>
      </c>
      <c r="G222" s="8" t="b">
        <v>0</v>
      </c>
    </row>
    <row r="223">
      <c r="A223" s="38"/>
      <c r="B223" s="8"/>
      <c r="D223" s="8"/>
      <c r="E223" s="58" t="str">
        <f t="array" ref="E223">IF(D223="","",IFERROR(_xlfn.XLOOKUP(D223,SyncCodex!L:L,SyncCodex!M:M),""))</f>
        <v/>
      </c>
      <c r="F223" s="8" t="b">
        <v>0</v>
      </c>
      <c r="G223" s="8" t="b">
        <v>0</v>
      </c>
    </row>
    <row r="224">
      <c r="A224" s="38"/>
      <c r="B224" s="8"/>
      <c r="D224" s="8"/>
      <c r="E224" s="58" t="str">
        <f t="array" ref="E224">IF(D224="","",IFERROR(_xlfn.XLOOKUP(D224,SyncCodex!L:L,SyncCodex!M:M),""))</f>
        <v/>
      </c>
      <c r="F224" s="8" t="b">
        <v>0</v>
      </c>
      <c r="G224" s="8" t="b">
        <v>0</v>
      </c>
    </row>
    <row r="225">
      <c r="A225" s="38"/>
      <c r="B225" s="8"/>
      <c r="D225" s="8"/>
      <c r="E225" s="58" t="str">
        <f t="array" ref="E225">IF(D225="","",IFERROR(_xlfn.XLOOKUP(D225,SyncCodex!L:L,SyncCodex!M:M),""))</f>
        <v/>
      </c>
      <c r="F225" s="8" t="b">
        <v>0</v>
      </c>
      <c r="G225" s="8" t="b">
        <v>0</v>
      </c>
    </row>
    <row r="226">
      <c r="A226" s="38"/>
      <c r="B226" s="8"/>
      <c r="D226" s="8"/>
      <c r="E226" s="58" t="str">
        <f t="array" ref="E226">IF(D226="","",IFERROR(_xlfn.XLOOKUP(D226,SyncCodex!L:L,SyncCodex!M:M),""))</f>
        <v/>
      </c>
      <c r="F226" s="8" t="b">
        <v>0</v>
      </c>
      <c r="G226" s="8" t="b">
        <v>0</v>
      </c>
    </row>
    <row r="227">
      <c r="A227" s="38"/>
      <c r="B227" s="8"/>
      <c r="D227" s="8"/>
      <c r="E227" s="58" t="str">
        <f t="array" ref="E227">IF(D227="","",IFERROR(_xlfn.XLOOKUP(D227,SyncCodex!L:L,SyncCodex!M:M),""))</f>
        <v/>
      </c>
      <c r="F227" s="8" t="b">
        <v>0</v>
      </c>
      <c r="G227" s="8" t="b">
        <v>0</v>
      </c>
    </row>
    <row r="228">
      <c r="A228" s="38"/>
      <c r="B228" s="8"/>
      <c r="D228" s="8"/>
      <c r="E228" s="58" t="str">
        <f t="array" ref="E228">IF(D228="","",IFERROR(_xlfn.XLOOKUP(D228,SyncCodex!L:L,SyncCodex!M:M),""))</f>
        <v/>
      </c>
      <c r="F228" s="8" t="b">
        <v>0</v>
      </c>
      <c r="G228" s="8" t="b">
        <v>0</v>
      </c>
    </row>
    <row r="229">
      <c r="A229" s="38"/>
      <c r="B229" s="8"/>
      <c r="D229" s="8"/>
      <c r="E229" s="58" t="str">
        <f t="array" ref="E229">IF(D229="","",IFERROR(_xlfn.XLOOKUP(D229,SyncCodex!L:L,SyncCodex!M:M),""))</f>
        <v/>
      </c>
      <c r="F229" s="8" t="b">
        <v>0</v>
      </c>
      <c r="G229" s="8" t="b">
        <v>0</v>
      </c>
    </row>
    <row r="230">
      <c r="A230" s="38"/>
      <c r="B230" s="8"/>
      <c r="D230" s="8"/>
      <c r="E230" s="58" t="str">
        <f t="array" ref="E230">IF(D230="","",IFERROR(_xlfn.XLOOKUP(D230,SyncCodex!L:L,SyncCodex!M:M),""))</f>
        <v/>
      </c>
      <c r="F230" s="8" t="b">
        <v>0</v>
      </c>
      <c r="G230" s="8" t="b">
        <v>0</v>
      </c>
    </row>
    <row r="231">
      <c r="A231" s="38"/>
      <c r="B231" s="8"/>
      <c r="D231" s="8"/>
      <c r="E231" s="58" t="str">
        <f t="array" ref="E231">IF(D231="","",IFERROR(_xlfn.XLOOKUP(D231,SyncCodex!L:L,SyncCodex!M:M),""))</f>
        <v/>
      </c>
      <c r="F231" s="8" t="b">
        <v>0</v>
      </c>
      <c r="G231" s="8" t="b">
        <v>0</v>
      </c>
    </row>
    <row r="232">
      <c r="A232" s="38"/>
      <c r="B232" s="8"/>
      <c r="D232" s="8"/>
      <c r="E232" s="58" t="str">
        <f t="array" ref="E232">IF(D232="","",IFERROR(_xlfn.XLOOKUP(D232,SyncCodex!L:L,SyncCodex!M:M),""))</f>
        <v/>
      </c>
      <c r="F232" s="8" t="b">
        <v>0</v>
      </c>
      <c r="G232" s="8" t="b">
        <v>0</v>
      </c>
    </row>
    <row r="233">
      <c r="A233" s="38"/>
      <c r="B233" s="8"/>
      <c r="D233" s="8"/>
      <c r="E233" s="58" t="str">
        <f t="array" ref="E233">IF(D233="","",IFERROR(_xlfn.XLOOKUP(D233,SyncCodex!L:L,SyncCodex!M:M),""))</f>
        <v/>
      </c>
      <c r="F233" s="8" t="b">
        <v>0</v>
      </c>
      <c r="G233" s="8" t="b">
        <v>0</v>
      </c>
    </row>
    <row r="234">
      <c r="A234" s="38"/>
      <c r="B234" s="8"/>
      <c r="D234" s="8"/>
      <c r="E234" s="58" t="str">
        <f t="array" ref="E234">IF(D234="","",IFERROR(_xlfn.XLOOKUP(D234,SyncCodex!L:L,SyncCodex!M:M),""))</f>
        <v/>
      </c>
      <c r="F234" s="8" t="b">
        <v>0</v>
      </c>
      <c r="G234" s="8" t="b">
        <v>0</v>
      </c>
    </row>
    <row r="235">
      <c r="A235" s="38"/>
      <c r="B235" s="8"/>
      <c r="D235" s="8"/>
      <c r="E235" s="58" t="str">
        <f t="array" ref="E235">IF(D235="","",IFERROR(_xlfn.XLOOKUP(D235,SyncCodex!L:L,SyncCodex!M:M),""))</f>
        <v/>
      </c>
      <c r="F235" s="8" t="b">
        <v>0</v>
      </c>
      <c r="G235" s="8" t="b">
        <v>0</v>
      </c>
    </row>
    <row r="236">
      <c r="A236" s="38"/>
      <c r="B236" s="8"/>
      <c r="D236" s="8"/>
      <c r="E236" s="58" t="str">
        <f t="array" ref="E236">IF(D236="","",IFERROR(_xlfn.XLOOKUP(D236,SyncCodex!L:L,SyncCodex!M:M),""))</f>
        <v/>
      </c>
      <c r="F236" s="8" t="b">
        <v>0</v>
      </c>
      <c r="G236" s="8" t="b">
        <v>0</v>
      </c>
    </row>
    <row r="237">
      <c r="A237" s="38"/>
      <c r="B237" s="8"/>
      <c r="D237" s="8"/>
      <c r="E237" s="58" t="str">
        <f t="array" ref="E237">IF(D237="","",IFERROR(_xlfn.XLOOKUP(D237,SyncCodex!L:L,SyncCodex!M:M),""))</f>
        <v/>
      </c>
      <c r="F237" s="8" t="b">
        <v>0</v>
      </c>
      <c r="G237" s="8" t="b">
        <v>0</v>
      </c>
    </row>
    <row r="238">
      <c r="A238" s="38"/>
      <c r="B238" s="8"/>
      <c r="D238" s="8"/>
      <c r="E238" s="58" t="str">
        <f t="array" ref="E238">IF(D238="","",IFERROR(_xlfn.XLOOKUP(D238,SyncCodex!L:L,SyncCodex!M:M),""))</f>
        <v/>
      </c>
      <c r="F238" s="8" t="b">
        <v>0</v>
      </c>
      <c r="G238" s="8" t="b">
        <v>0</v>
      </c>
    </row>
    <row r="239">
      <c r="A239" s="38"/>
      <c r="B239" s="8"/>
      <c r="D239" s="8"/>
      <c r="E239" s="58" t="str">
        <f t="array" ref="E239">IF(D239="","",IFERROR(_xlfn.XLOOKUP(D239,SyncCodex!L:L,SyncCodex!M:M),""))</f>
        <v/>
      </c>
      <c r="F239" s="8" t="b">
        <v>0</v>
      </c>
      <c r="G239" s="8" t="b">
        <v>0</v>
      </c>
    </row>
    <row r="240">
      <c r="A240" s="38"/>
      <c r="B240" s="8"/>
      <c r="D240" s="8"/>
      <c r="E240" s="58" t="str">
        <f t="array" ref="E240">IF(D240="","",IFERROR(_xlfn.XLOOKUP(D240,SyncCodex!L:L,SyncCodex!M:M),""))</f>
        <v/>
      </c>
      <c r="F240" s="8" t="b">
        <v>0</v>
      </c>
      <c r="G240" s="8" t="b">
        <v>0</v>
      </c>
    </row>
    <row r="241">
      <c r="A241" s="38"/>
      <c r="B241" s="8"/>
      <c r="D241" s="8"/>
      <c r="E241" s="58" t="str">
        <f t="array" ref="E241">IF(D241="","",IFERROR(_xlfn.XLOOKUP(D241,SyncCodex!L:L,SyncCodex!M:M),""))</f>
        <v/>
      </c>
      <c r="F241" s="8" t="b">
        <v>0</v>
      </c>
      <c r="G241" s="8" t="b">
        <v>0</v>
      </c>
    </row>
    <row r="242">
      <c r="A242" s="38"/>
      <c r="B242" s="8"/>
      <c r="D242" s="8"/>
      <c r="E242" s="58" t="str">
        <f t="array" ref="E242">IF(D242="","",IFERROR(_xlfn.XLOOKUP(D242,SyncCodex!L:L,SyncCodex!M:M),""))</f>
        <v/>
      </c>
      <c r="F242" s="8" t="b">
        <v>0</v>
      </c>
      <c r="G242" s="8" t="b">
        <v>0</v>
      </c>
    </row>
    <row r="243">
      <c r="A243" s="38"/>
      <c r="B243" s="8"/>
      <c r="D243" s="8"/>
      <c r="E243" s="58" t="str">
        <f t="array" ref="E243">IF(D243="","",IFERROR(_xlfn.XLOOKUP(D243,SyncCodex!L:L,SyncCodex!M:M),""))</f>
        <v/>
      </c>
      <c r="F243" s="8" t="b">
        <v>0</v>
      </c>
      <c r="G243" s="8" t="b">
        <v>0</v>
      </c>
    </row>
    <row r="244">
      <c r="A244" s="38"/>
      <c r="B244" s="8"/>
      <c r="D244" s="8"/>
      <c r="E244" s="58" t="str">
        <f t="array" ref="E244">IF(D244="","",IFERROR(_xlfn.XLOOKUP(D244,SyncCodex!L:L,SyncCodex!M:M),""))</f>
        <v/>
      </c>
      <c r="F244" s="8" t="b">
        <v>0</v>
      </c>
      <c r="G244" s="8" t="b">
        <v>0</v>
      </c>
    </row>
    <row r="245">
      <c r="A245" s="38"/>
      <c r="B245" s="8"/>
      <c r="D245" s="8"/>
      <c r="E245" s="58" t="str">
        <f t="array" ref="E245">IF(D245="","",IFERROR(_xlfn.XLOOKUP(D245,SyncCodex!L:L,SyncCodex!M:M),""))</f>
        <v/>
      </c>
      <c r="F245" s="8" t="b">
        <v>0</v>
      </c>
      <c r="G245" s="8" t="b">
        <v>0</v>
      </c>
    </row>
    <row r="246">
      <c r="A246" s="38"/>
      <c r="B246" s="8"/>
      <c r="D246" s="8"/>
      <c r="E246" s="58" t="str">
        <f t="array" ref="E246">IF(D246="","",IFERROR(_xlfn.XLOOKUP(D246,SyncCodex!L:L,SyncCodex!M:M),""))</f>
        <v/>
      </c>
      <c r="F246" s="8" t="b">
        <v>0</v>
      </c>
      <c r="G246" s="8" t="b">
        <v>0</v>
      </c>
    </row>
    <row r="247">
      <c r="A247" s="38"/>
      <c r="B247" s="8"/>
      <c r="D247" s="8"/>
      <c r="E247" s="58" t="str">
        <f t="array" ref="E247">IF(D247="","",IFERROR(_xlfn.XLOOKUP(D247,SyncCodex!L:L,SyncCodex!M:M),""))</f>
        <v/>
      </c>
      <c r="F247" s="8" t="b">
        <v>0</v>
      </c>
      <c r="G247" s="8" t="b">
        <v>0</v>
      </c>
    </row>
    <row r="248">
      <c r="A248" s="38"/>
      <c r="B248" s="8"/>
      <c r="D248" s="8"/>
      <c r="E248" s="58" t="str">
        <f t="array" ref="E248">IF(D248="","",IFERROR(_xlfn.XLOOKUP(D248,SyncCodex!L:L,SyncCodex!M:M),""))</f>
        <v/>
      </c>
      <c r="F248" s="8" t="b">
        <v>0</v>
      </c>
      <c r="G248" s="8" t="b">
        <v>0</v>
      </c>
    </row>
    <row r="249">
      <c r="A249" s="38"/>
      <c r="B249" s="8"/>
      <c r="D249" s="8"/>
      <c r="E249" s="58" t="str">
        <f t="array" ref="E249">IF(D249="","",IFERROR(_xlfn.XLOOKUP(D249,SyncCodex!L:L,SyncCodex!M:M),""))</f>
        <v/>
      </c>
      <c r="F249" s="8" t="b">
        <v>0</v>
      </c>
      <c r="G249" s="8" t="b">
        <v>0</v>
      </c>
    </row>
    <row r="250">
      <c r="A250" s="38"/>
      <c r="B250" s="8"/>
      <c r="D250" s="8"/>
      <c r="E250" s="58" t="str">
        <f t="array" ref="E250">IF(D250="","",IFERROR(_xlfn.XLOOKUP(D250,SyncCodex!L:L,SyncCodex!M:M),""))</f>
        <v/>
      </c>
      <c r="F250" s="8" t="b">
        <v>0</v>
      </c>
      <c r="G250" s="8" t="b">
        <v>0</v>
      </c>
    </row>
    <row r="251">
      <c r="A251" s="38"/>
      <c r="B251" s="8"/>
      <c r="D251" s="8"/>
      <c r="E251" s="58" t="str">
        <f t="array" ref="E251">IF(D251="","",IFERROR(_xlfn.XLOOKUP(D251,SyncCodex!L:L,SyncCodex!M:M),""))</f>
        <v/>
      </c>
      <c r="F251" s="8" t="b">
        <v>0</v>
      </c>
      <c r="G251" s="8" t="b">
        <v>0</v>
      </c>
    </row>
    <row r="252">
      <c r="A252" s="38"/>
      <c r="B252" s="8"/>
      <c r="D252" s="8"/>
      <c r="E252" s="58" t="str">
        <f t="array" ref="E252">IF(D252="","",IFERROR(_xlfn.XLOOKUP(D252,SyncCodex!L:L,SyncCodex!M:M),""))</f>
        <v/>
      </c>
      <c r="F252" s="8" t="b">
        <v>0</v>
      </c>
      <c r="G252" s="8" t="b">
        <v>0</v>
      </c>
    </row>
    <row r="253">
      <c r="A253" s="38"/>
      <c r="B253" s="8"/>
      <c r="D253" s="8"/>
      <c r="E253" s="58" t="str">
        <f t="array" ref="E253">IF(D253="","",IFERROR(_xlfn.XLOOKUP(D253,SyncCodex!L:L,SyncCodex!M:M),""))</f>
        <v/>
      </c>
      <c r="F253" s="8" t="b">
        <v>0</v>
      </c>
      <c r="G253" s="8" t="b">
        <v>0</v>
      </c>
    </row>
    <row r="254">
      <c r="A254" s="38"/>
      <c r="B254" s="8"/>
      <c r="D254" s="8"/>
      <c r="E254" s="58" t="str">
        <f t="array" ref="E254">IF(D254="","",IFERROR(_xlfn.XLOOKUP(D254,SyncCodex!L:L,SyncCodex!M:M),""))</f>
        <v/>
      </c>
      <c r="F254" s="8" t="b">
        <v>0</v>
      </c>
      <c r="G254" s="8" t="b">
        <v>0</v>
      </c>
    </row>
    <row r="255">
      <c r="A255" s="38"/>
      <c r="B255" s="8"/>
      <c r="D255" s="8"/>
      <c r="E255" s="58" t="str">
        <f t="array" ref="E255">IF(D255="","",IFERROR(_xlfn.XLOOKUP(D255,SyncCodex!L:L,SyncCodex!M:M),""))</f>
        <v/>
      </c>
      <c r="F255" s="8" t="b">
        <v>0</v>
      </c>
      <c r="G255" s="8" t="b">
        <v>0</v>
      </c>
    </row>
    <row r="256">
      <c r="A256" s="38"/>
      <c r="B256" s="8"/>
      <c r="D256" s="8"/>
      <c r="E256" s="58" t="str">
        <f t="array" ref="E256">IF(D256="","",IFERROR(_xlfn.XLOOKUP(D256,SyncCodex!L:L,SyncCodex!M:M),""))</f>
        <v/>
      </c>
      <c r="F256" s="8" t="b">
        <v>0</v>
      </c>
      <c r="G256" s="8" t="b">
        <v>0</v>
      </c>
    </row>
    <row r="257">
      <c r="A257" s="38"/>
      <c r="B257" s="8"/>
      <c r="D257" s="8"/>
      <c r="E257" s="58" t="str">
        <f t="array" ref="E257">IF(D257="","",IFERROR(_xlfn.XLOOKUP(D257,SyncCodex!L:L,SyncCodex!M:M),""))</f>
        <v/>
      </c>
      <c r="F257" s="8" t="b">
        <v>0</v>
      </c>
      <c r="G257" s="8" t="b">
        <v>0</v>
      </c>
    </row>
    <row r="258">
      <c r="A258" s="38"/>
      <c r="B258" s="8"/>
      <c r="D258" s="8"/>
      <c r="E258" s="58" t="str">
        <f t="array" ref="E258">IF(D258="","",IFERROR(_xlfn.XLOOKUP(D258,SyncCodex!L:L,SyncCodex!M:M),""))</f>
        <v/>
      </c>
      <c r="F258" s="8" t="b">
        <v>0</v>
      </c>
      <c r="G258" s="8" t="b">
        <v>0</v>
      </c>
    </row>
    <row r="259">
      <c r="A259" s="38"/>
      <c r="B259" s="8"/>
      <c r="D259" s="8"/>
      <c r="E259" s="58" t="str">
        <f t="array" ref="E259">IF(D259="","",IFERROR(_xlfn.XLOOKUP(D259,SyncCodex!L:L,SyncCodex!M:M),""))</f>
        <v/>
      </c>
      <c r="F259" s="8" t="b">
        <v>0</v>
      </c>
      <c r="G259" s="8" t="b">
        <v>0</v>
      </c>
    </row>
    <row r="260">
      <c r="A260" s="38"/>
      <c r="B260" s="8"/>
      <c r="D260" s="8"/>
      <c r="E260" s="58" t="str">
        <f t="array" ref="E260">IF(D260="","",IFERROR(_xlfn.XLOOKUP(D260,SyncCodex!L:L,SyncCodex!M:M),""))</f>
        <v/>
      </c>
      <c r="F260" s="8" t="b">
        <v>0</v>
      </c>
      <c r="G260" s="8" t="b">
        <v>0</v>
      </c>
    </row>
    <row r="261">
      <c r="A261" s="38"/>
      <c r="B261" s="8"/>
      <c r="D261" s="8"/>
      <c r="E261" s="58" t="str">
        <f t="array" ref="E261">IF(D261="","",IFERROR(_xlfn.XLOOKUP(D261,SyncCodex!L:L,SyncCodex!M:M),""))</f>
        <v/>
      </c>
      <c r="F261" s="8" t="b">
        <v>0</v>
      </c>
      <c r="G261" s="8" t="b">
        <v>0</v>
      </c>
    </row>
    <row r="262">
      <c r="A262" s="38"/>
      <c r="B262" s="8"/>
      <c r="D262" s="8"/>
      <c r="E262" s="58" t="str">
        <f t="array" ref="E262">IF(D262="","",IFERROR(_xlfn.XLOOKUP(D262,SyncCodex!L:L,SyncCodex!M:M),""))</f>
        <v/>
      </c>
      <c r="F262" s="8" t="b">
        <v>0</v>
      </c>
      <c r="G262" s="8" t="b">
        <v>0</v>
      </c>
    </row>
    <row r="263">
      <c r="A263" s="38"/>
      <c r="B263" s="8"/>
      <c r="D263" s="8"/>
      <c r="E263" s="58" t="str">
        <f t="array" ref="E263">IF(D263="","",IFERROR(_xlfn.XLOOKUP(D263,SyncCodex!L:L,SyncCodex!M:M),""))</f>
        <v/>
      </c>
      <c r="F263" s="8" t="b">
        <v>0</v>
      </c>
      <c r="G263" s="8" t="b">
        <v>0</v>
      </c>
    </row>
    <row r="264">
      <c r="A264" s="38"/>
      <c r="B264" s="8"/>
      <c r="D264" s="8"/>
      <c r="E264" s="58" t="str">
        <f t="array" ref="E264">IF(D264="","",IFERROR(_xlfn.XLOOKUP(D264,SyncCodex!L:L,SyncCodex!M:M),""))</f>
        <v/>
      </c>
      <c r="F264" s="8" t="b">
        <v>0</v>
      </c>
      <c r="G264" s="8" t="b">
        <v>0</v>
      </c>
    </row>
    <row r="265">
      <c r="A265" s="38"/>
      <c r="B265" s="8"/>
      <c r="D265" s="8"/>
      <c r="E265" s="58" t="str">
        <f t="array" ref="E265">IF(D265="","",IFERROR(_xlfn.XLOOKUP(D265,SyncCodex!L:L,SyncCodex!M:M),""))</f>
        <v/>
      </c>
      <c r="F265" s="8" t="b">
        <v>0</v>
      </c>
      <c r="G265" s="8" t="b">
        <v>0</v>
      </c>
    </row>
    <row r="266">
      <c r="A266" s="38"/>
      <c r="B266" s="8"/>
      <c r="D266" s="8"/>
      <c r="E266" s="58" t="str">
        <f t="array" ref="E266">IF(D266="","",IFERROR(_xlfn.XLOOKUP(D266,SyncCodex!L:L,SyncCodex!M:M),""))</f>
        <v/>
      </c>
      <c r="F266" s="8" t="b">
        <v>0</v>
      </c>
      <c r="G266" s="8" t="b">
        <v>0</v>
      </c>
    </row>
    <row r="267">
      <c r="A267" s="38"/>
      <c r="B267" s="8"/>
      <c r="D267" s="8"/>
      <c r="E267" s="58" t="str">
        <f t="array" ref="E267">IF(D267="","",IFERROR(_xlfn.XLOOKUP(D267,SyncCodex!L:L,SyncCodex!M:M),""))</f>
        <v/>
      </c>
      <c r="F267" s="8" t="b">
        <v>0</v>
      </c>
      <c r="G267" s="8" t="b">
        <v>0</v>
      </c>
    </row>
    <row r="268">
      <c r="A268" s="38"/>
      <c r="B268" s="8"/>
      <c r="D268" s="8"/>
      <c r="E268" s="58" t="str">
        <f t="array" ref="E268">IF(D268="","",IFERROR(_xlfn.XLOOKUP(D268,SyncCodex!L:L,SyncCodex!M:M),""))</f>
        <v/>
      </c>
      <c r="F268" s="8" t="b">
        <v>0</v>
      </c>
      <c r="G268" s="8" t="b">
        <v>0</v>
      </c>
    </row>
    <row r="269">
      <c r="A269" s="38"/>
      <c r="B269" s="8"/>
      <c r="D269" s="8"/>
      <c r="E269" s="58" t="str">
        <f t="array" ref="E269">IF(D269="","",IFERROR(_xlfn.XLOOKUP(D269,SyncCodex!L:L,SyncCodex!M:M),""))</f>
        <v/>
      </c>
      <c r="F269" s="8" t="b">
        <v>0</v>
      </c>
      <c r="G269" s="8" t="b">
        <v>0</v>
      </c>
    </row>
    <row r="270">
      <c r="A270" s="38"/>
      <c r="B270" s="8"/>
      <c r="D270" s="8"/>
      <c r="E270" s="58" t="str">
        <f t="array" ref="E270">IF(D270="","",IFERROR(_xlfn.XLOOKUP(D270,SyncCodex!L:L,SyncCodex!M:M),""))</f>
        <v/>
      </c>
      <c r="F270" s="8" t="b">
        <v>0</v>
      </c>
      <c r="G270" s="8" t="b">
        <v>0</v>
      </c>
    </row>
    <row r="271">
      <c r="A271" s="38"/>
      <c r="B271" s="8"/>
      <c r="D271" s="8"/>
      <c r="E271" s="58" t="str">
        <f t="array" ref="E271">IF(D271="","",IFERROR(_xlfn.XLOOKUP(D271,SyncCodex!L:L,SyncCodex!M:M),""))</f>
        <v/>
      </c>
      <c r="F271" s="8" t="b">
        <v>0</v>
      </c>
      <c r="G271" s="8" t="b">
        <v>0</v>
      </c>
    </row>
    <row r="272">
      <c r="A272" s="38"/>
      <c r="B272" s="8"/>
      <c r="D272" s="8"/>
      <c r="E272" s="58" t="str">
        <f t="array" ref="E272">IF(D272="","",IFERROR(_xlfn.XLOOKUP(D272,SyncCodex!L:L,SyncCodex!M:M),""))</f>
        <v/>
      </c>
      <c r="F272" s="8" t="b">
        <v>0</v>
      </c>
      <c r="G272" s="8" t="b">
        <v>0</v>
      </c>
    </row>
    <row r="273">
      <c r="A273" s="38"/>
      <c r="B273" s="8"/>
      <c r="D273" s="8"/>
      <c r="E273" s="58" t="str">
        <f t="array" ref="E273">IF(D273="","",IFERROR(_xlfn.XLOOKUP(D273,SyncCodex!L:L,SyncCodex!M:M),""))</f>
        <v/>
      </c>
      <c r="F273" s="8" t="b">
        <v>0</v>
      </c>
      <c r="G273" s="8" t="b">
        <v>0</v>
      </c>
    </row>
    <row r="274">
      <c r="A274" s="38"/>
      <c r="B274" s="8"/>
      <c r="D274" s="8"/>
      <c r="E274" s="58" t="str">
        <f t="array" ref="E274">IF(D274="","",IFERROR(_xlfn.XLOOKUP(D274,SyncCodex!L:L,SyncCodex!M:M),""))</f>
        <v/>
      </c>
      <c r="F274" s="8" t="b">
        <v>0</v>
      </c>
      <c r="G274" s="8" t="b">
        <v>0</v>
      </c>
    </row>
    <row r="275">
      <c r="A275" s="38"/>
      <c r="B275" s="8"/>
      <c r="D275" s="8"/>
      <c r="E275" s="58" t="str">
        <f t="array" ref="E275">IF(D275="","",IFERROR(_xlfn.XLOOKUP(D275,SyncCodex!L:L,SyncCodex!M:M),""))</f>
        <v/>
      </c>
      <c r="F275" s="8" t="b">
        <v>0</v>
      </c>
      <c r="G275" s="8" t="b">
        <v>0</v>
      </c>
    </row>
    <row r="276">
      <c r="A276" s="38"/>
      <c r="B276" s="8"/>
      <c r="D276" s="8"/>
      <c r="E276" s="58" t="str">
        <f t="array" ref="E276">IF(D276="","",IFERROR(_xlfn.XLOOKUP(D276,SyncCodex!L:L,SyncCodex!M:M),""))</f>
        <v/>
      </c>
      <c r="F276" s="8" t="b">
        <v>0</v>
      </c>
      <c r="G276" s="8" t="b">
        <v>0</v>
      </c>
    </row>
    <row r="277">
      <c r="A277" s="38"/>
      <c r="B277" s="8"/>
      <c r="D277" s="8"/>
      <c r="E277" s="58" t="str">
        <f t="array" ref="E277">IF(D277="","",IFERROR(_xlfn.XLOOKUP(D277,SyncCodex!L:L,SyncCodex!M:M),""))</f>
        <v/>
      </c>
      <c r="F277" s="8" t="b">
        <v>0</v>
      </c>
      <c r="G277" s="8" t="b">
        <v>0</v>
      </c>
    </row>
    <row r="278">
      <c r="A278" s="38"/>
      <c r="B278" s="8"/>
      <c r="D278" s="8"/>
      <c r="E278" s="58" t="str">
        <f t="array" ref="E278">IF(D278="","",IFERROR(_xlfn.XLOOKUP(D278,SyncCodex!L:L,SyncCodex!M:M),""))</f>
        <v/>
      </c>
      <c r="F278" s="8" t="b">
        <v>0</v>
      </c>
      <c r="G278" s="8" t="b">
        <v>0</v>
      </c>
    </row>
    <row r="279">
      <c r="A279" s="38"/>
      <c r="B279" s="8"/>
      <c r="D279" s="8"/>
      <c r="E279" s="58" t="str">
        <f t="array" ref="E279">IF(D279="","",IFERROR(_xlfn.XLOOKUP(D279,SyncCodex!L:L,SyncCodex!M:M),""))</f>
        <v/>
      </c>
      <c r="F279" s="8" t="b">
        <v>0</v>
      </c>
      <c r="G279" s="8" t="b">
        <v>0</v>
      </c>
    </row>
    <row r="280">
      <c r="A280" s="38"/>
      <c r="B280" s="8"/>
      <c r="D280" s="8"/>
      <c r="E280" s="58" t="str">
        <f t="array" ref="E280">IF(D280="","",IFERROR(_xlfn.XLOOKUP(D280,SyncCodex!L:L,SyncCodex!M:M),""))</f>
        <v/>
      </c>
      <c r="F280" s="8" t="b">
        <v>0</v>
      </c>
      <c r="G280" s="8" t="b">
        <v>0</v>
      </c>
    </row>
    <row r="281">
      <c r="A281" s="38"/>
      <c r="B281" s="8"/>
      <c r="D281" s="8"/>
      <c r="E281" s="58" t="str">
        <f t="array" ref="E281">IF(D281="","",IFERROR(_xlfn.XLOOKUP(D281,SyncCodex!L:L,SyncCodex!M:M),""))</f>
        <v/>
      </c>
      <c r="F281" s="8" t="b">
        <v>0</v>
      </c>
      <c r="G281" s="8" t="b">
        <v>0</v>
      </c>
    </row>
    <row r="282">
      <c r="A282" s="38"/>
      <c r="B282" s="8"/>
      <c r="D282" s="8"/>
      <c r="E282" s="58" t="str">
        <f t="array" ref="E282">IF(D282="","",IFERROR(_xlfn.XLOOKUP(D282,SyncCodex!L:L,SyncCodex!M:M),""))</f>
        <v/>
      </c>
      <c r="F282" s="8" t="b">
        <v>0</v>
      </c>
      <c r="G282" s="8" t="b">
        <v>0</v>
      </c>
    </row>
    <row r="283">
      <c r="A283" s="38"/>
      <c r="B283" s="8"/>
      <c r="D283" s="8"/>
      <c r="E283" s="58" t="str">
        <f t="array" ref="E283">IF(D283="","",IFERROR(_xlfn.XLOOKUP(D283,SyncCodex!L:L,SyncCodex!M:M),""))</f>
        <v/>
      </c>
      <c r="F283" s="8" t="b">
        <v>0</v>
      </c>
      <c r="G283" s="8" t="b">
        <v>0</v>
      </c>
    </row>
    <row r="284">
      <c r="A284" s="38"/>
      <c r="B284" s="8"/>
      <c r="D284" s="8"/>
      <c r="E284" s="58" t="str">
        <f t="array" ref="E284">IF(D284="","",IFERROR(_xlfn.XLOOKUP(D284,SyncCodex!L:L,SyncCodex!M:M),""))</f>
        <v/>
      </c>
      <c r="F284" s="8" t="b">
        <v>0</v>
      </c>
      <c r="G284" s="8" t="b">
        <v>0</v>
      </c>
    </row>
    <row r="285">
      <c r="A285" s="38"/>
      <c r="B285" s="8"/>
      <c r="D285" s="8"/>
      <c r="E285" s="58" t="str">
        <f t="array" ref="E285">IF(D285="","",IFERROR(_xlfn.XLOOKUP(D285,SyncCodex!L:L,SyncCodex!M:M),""))</f>
        <v/>
      </c>
      <c r="F285" s="8" t="b">
        <v>0</v>
      </c>
      <c r="G285" s="8" t="b">
        <v>0</v>
      </c>
    </row>
    <row r="286">
      <c r="A286" s="38"/>
      <c r="B286" s="8"/>
      <c r="D286" s="8"/>
      <c r="E286" s="58" t="str">
        <f t="array" ref="E286">IF(D286="","",IFERROR(_xlfn.XLOOKUP(D286,SyncCodex!L:L,SyncCodex!M:M),""))</f>
        <v/>
      </c>
      <c r="F286" s="8" t="b">
        <v>0</v>
      </c>
      <c r="G286" s="8" t="b">
        <v>0</v>
      </c>
    </row>
    <row r="287">
      <c r="A287" s="38"/>
      <c r="B287" s="8"/>
      <c r="D287" s="8"/>
      <c r="E287" s="58" t="str">
        <f t="array" ref="E287">IF(D287="","",IFERROR(_xlfn.XLOOKUP(D287,SyncCodex!L:L,SyncCodex!M:M),""))</f>
        <v/>
      </c>
      <c r="F287" s="8" t="b">
        <v>0</v>
      </c>
      <c r="G287" s="8" t="b">
        <v>0</v>
      </c>
    </row>
    <row r="288">
      <c r="A288" s="38"/>
      <c r="B288" s="8"/>
      <c r="D288" s="8"/>
      <c r="E288" s="58" t="str">
        <f t="array" ref="E288">IF(D288="","",IFERROR(_xlfn.XLOOKUP(D288,SyncCodex!L:L,SyncCodex!M:M),""))</f>
        <v/>
      </c>
      <c r="F288" s="8" t="b">
        <v>0</v>
      </c>
      <c r="G288" s="8" t="b">
        <v>0</v>
      </c>
    </row>
    <row r="289">
      <c r="A289" s="38"/>
      <c r="B289" s="8"/>
      <c r="D289" s="8"/>
      <c r="E289" s="58" t="str">
        <f t="array" ref="E289">IF(D289="","",IFERROR(_xlfn.XLOOKUP(D289,SyncCodex!L:L,SyncCodex!M:M),""))</f>
        <v/>
      </c>
      <c r="F289" s="8" t="b">
        <v>0</v>
      </c>
      <c r="G289" s="8" t="b">
        <v>0</v>
      </c>
    </row>
    <row r="290">
      <c r="A290" s="38"/>
      <c r="B290" s="8"/>
      <c r="D290" s="8"/>
      <c r="E290" s="58" t="str">
        <f t="array" ref="E290">IF(D290="","",IFERROR(_xlfn.XLOOKUP(D290,SyncCodex!L:L,SyncCodex!M:M),""))</f>
        <v/>
      </c>
      <c r="F290" s="8" t="b">
        <v>0</v>
      </c>
      <c r="G290" s="8" t="b">
        <v>0</v>
      </c>
    </row>
    <row r="291">
      <c r="A291" s="38"/>
      <c r="B291" s="8"/>
      <c r="D291" s="8"/>
      <c r="E291" s="58" t="str">
        <f t="array" ref="E291">IF(D291="","",IFERROR(_xlfn.XLOOKUP(D291,SyncCodex!L:L,SyncCodex!M:M),""))</f>
        <v/>
      </c>
      <c r="F291" s="8" t="b">
        <v>0</v>
      </c>
      <c r="G291" s="8" t="b">
        <v>0</v>
      </c>
    </row>
    <row r="292">
      <c r="A292" s="38"/>
      <c r="B292" s="8"/>
      <c r="D292" s="8"/>
      <c r="E292" s="58" t="str">
        <f t="array" ref="E292">IF(D292="","",IFERROR(_xlfn.XLOOKUP(D292,SyncCodex!L:L,SyncCodex!M:M),""))</f>
        <v/>
      </c>
      <c r="F292" s="8" t="b">
        <v>0</v>
      </c>
      <c r="G292" s="8" t="b">
        <v>0</v>
      </c>
    </row>
    <row r="293">
      <c r="A293" s="38"/>
      <c r="B293" s="8"/>
      <c r="D293" s="8"/>
      <c r="E293" s="58" t="str">
        <f t="array" ref="E293">IF(D293="","",IFERROR(_xlfn.XLOOKUP(D293,SyncCodex!L:L,SyncCodex!M:M),""))</f>
        <v/>
      </c>
      <c r="F293" s="8" t="b">
        <v>0</v>
      </c>
      <c r="G293" s="8" t="b">
        <v>0</v>
      </c>
    </row>
    <row r="294">
      <c r="A294" s="38"/>
      <c r="B294" s="8"/>
      <c r="D294" s="8"/>
      <c r="E294" s="58" t="str">
        <f t="array" ref="E294">IF(D294="","",IFERROR(_xlfn.XLOOKUP(D294,SyncCodex!L:L,SyncCodex!M:M),""))</f>
        <v/>
      </c>
      <c r="F294" s="8" t="b">
        <v>0</v>
      </c>
      <c r="G294" s="8" t="b">
        <v>0</v>
      </c>
    </row>
    <row r="295">
      <c r="A295" s="38"/>
      <c r="B295" s="8"/>
      <c r="D295" s="8"/>
      <c r="E295" s="58" t="str">
        <f t="array" ref="E295">IF(D295="","",IFERROR(_xlfn.XLOOKUP(D295,SyncCodex!L:L,SyncCodex!M:M),""))</f>
        <v/>
      </c>
      <c r="F295" s="8" t="b">
        <v>0</v>
      </c>
      <c r="G295" s="8" t="b">
        <v>0</v>
      </c>
    </row>
    <row r="296">
      <c r="A296" s="38"/>
      <c r="B296" s="8"/>
      <c r="D296" s="8"/>
      <c r="E296" s="58" t="str">
        <f t="array" ref="E296">IF(D296="","",IFERROR(_xlfn.XLOOKUP(D296,SyncCodex!L:L,SyncCodex!M:M),""))</f>
        <v/>
      </c>
      <c r="F296" s="8" t="b">
        <v>0</v>
      </c>
      <c r="G296" s="8" t="b">
        <v>0</v>
      </c>
    </row>
    <row r="297">
      <c r="A297" s="38"/>
      <c r="B297" s="8"/>
      <c r="D297" s="8"/>
      <c r="E297" s="58" t="str">
        <f t="array" ref="E297">IF(D297="","",IFERROR(_xlfn.XLOOKUP(D297,SyncCodex!L:L,SyncCodex!M:M),""))</f>
        <v/>
      </c>
      <c r="F297" s="8" t="b">
        <v>0</v>
      </c>
      <c r="G297" s="8" t="b">
        <v>0</v>
      </c>
    </row>
    <row r="298">
      <c r="A298" s="38"/>
      <c r="B298" s="8"/>
      <c r="D298" s="8"/>
      <c r="E298" s="58" t="str">
        <f t="array" ref="E298">IF(D298="","",IFERROR(_xlfn.XLOOKUP(D298,SyncCodex!L:L,SyncCodex!M:M),""))</f>
        <v/>
      </c>
      <c r="F298" s="8" t="b">
        <v>0</v>
      </c>
      <c r="G298" s="8" t="b">
        <v>0</v>
      </c>
    </row>
    <row r="299">
      <c r="A299" s="38"/>
      <c r="B299" s="8"/>
      <c r="D299" s="8"/>
      <c r="E299" s="58" t="str">
        <f t="array" ref="E299">IF(D299="","",IFERROR(_xlfn.XLOOKUP(D299,SyncCodex!L:L,SyncCodex!M:M),""))</f>
        <v/>
      </c>
      <c r="F299" s="8" t="b">
        <v>0</v>
      </c>
      <c r="G299" s="8" t="b">
        <v>0</v>
      </c>
    </row>
    <row r="300">
      <c r="A300" s="38"/>
      <c r="B300" s="8"/>
      <c r="D300" s="8"/>
      <c r="E300" s="58" t="str">
        <f t="array" ref="E300">IF(D300="","",IFERROR(_xlfn.XLOOKUP(D300,SyncCodex!L:L,SyncCodex!M:M),""))</f>
        <v/>
      </c>
      <c r="F300" s="8" t="b">
        <v>0</v>
      </c>
      <c r="G300" s="8" t="b">
        <v>0</v>
      </c>
    </row>
    <row r="301">
      <c r="A301" s="38"/>
      <c r="B301" s="8"/>
      <c r="D301" s="8"/>
      <c r="E301" s="58" t="str">
        <f t="array" ref="E301">IF(D301="","",IFERROR(_xlfn.XLOOKUP(D301,SyncCodex!L:L,SyncCodex!M:M),""))</f>
        <v/>
      </c>
      <c r="F301" s="8" t="b">
        <v>0</v>
      </c>
      <c r="G301" s="8" t="b">
        <v>0</v>
      </c>
    </row>
    <row r="302">
      <c r="A302" s="38"/>
      <c r="B302" s="8"/>
      <c r="D302" s="8"/>
      <c r="E302" s="58" t="str">
        <f t="array" ref="E302">IF(D302="","",IFERROR(_xlfn.XLOOKUP(D302,SyncCodex!L:L,SyncCodex!M:M),""))</f>
        <v/>
      </c>
      <c r="F302" s="8" t="b">
        <v>0</v>
      </c>
      <c r="G302" s="8" t="b">
        <v>0</v>
      </c>
    </row>
    <row r="303">
      <c r="A303" s="38"/>
      <c r="B303" s="8"/>
      <c r="D303" s="8"/>
      <c r="E303" s="58" t="str">
        <f t="array" ref="E303">IF(D303="","",IFERROR(_xlfn.XLOOKUP(D303,SyncCodex!L:L,SyncCodex!M:M),""))</f>
        <v/>
      </c>
      <c r="F303" s="8" t="b">
        <v>0</v>
      </c>
      <c r="G303" s="8" t="b">
        <v>0</v>
      </c>
    </row>
    <row r="304">
      <c r="A304" s="38"/>
      <c r="B304" s="8"/>
      <c r="D304" s="8"/>
      <c r="E304" s="58" t="str">
        <f t="array" ref="E304">IF(D304="","",IFERROR(_xlfn.XLOOKUP(D304,SyncCodex!L:L,SyncCodex!M:M),""))</f>
        <v/>
      </c>
      <c r="F304" s="8" t="b">
        <v>0</v>
      </c>
      <c r="G304" s="8" t="b">
        <v>0</v>
      </c>
    </row>
    <row r="305">
      <c r="A305" s="38"/>
      <c r="B305" s="8"/>
      <c r="D305" s="8"/>
      <c r="E305" s="58" t="str">
        <f t="array" ref="E305">IF(D305="","",IFERROR(_xlfn.XLOOKUP(D305,SyncCodex!L:L,SyncCodex!M:M),""))</f>
        <v/>
      </c>
      <c r="F305" s="8" t="b">
        <v>0</v>
      </c>
      <c r="G305" s="8" t="b">
        <v>0</v>
      </c>
    </row>
    <row r="306">
      <c r="A306" s="38"/>
      <c r="B306" s="8"/>
      <c r="D306" s="8"/>
      <c r="E306" s="58" t="str">
        <f t="array" ref="E306">IF(D306="","",IFERROR(_xlfn.XLOOKUP(D306,SyncCodex!L:L,SyncCodex!M:M),""))</f>
        <v/>
      </c>
      <c r="F306" s="8" t="b">
        <v>0</v>
      </c>
      <c r="G306" s="8" t="b">
        <v>0</v>
      </c>
    </row>
    <row r="307">
      <c r="A307" s="38"/>
      <c r="B307" s="8"/>
      <c r="D307" s="8"/>
      <c r="E307" s="58" t="str">
        <f t="array" ref="E307">IF(D307="","",IFERROR(_xlfn.XLOOKUP(D307,SyncCodex!L:L,SyncCodex!M:M),""))</f>
        <v/>
      </c>
      <c r="F307" s="8" t="b">
        <v>0</v>
      </c>
      <c r="G307" s="8" t="b">
        <v>0</v>
      </c>
    </row>
    <row r="308">
      <c r="A308" s="38"/>
      <c r="B308" s="8"/>
      <c r="D308" s="8"/>
      <c r="E308" s="58" t="str">
        <f t="array" ref="E308">IF(D308="","",IFERROR(_xlfn.XLOOKUP(D308,SyncCodex!L:L,SyncCodex!M:M),""))</f>
        <v/>
      </c>
      <c r="F308" s="8" t="b">
        <v>0</v>
      </c>
      <c r="G308" s="8" t="b">
        <v>0</v>
      </c>
    </row>
    <row r="309">
      <c r="A309" s="38"/>
      <c r="B309" s="8"/>
      <c r="D309" s="8"/>
      <c r="E309" s="58" t="str">
        <f t="array" ref="E309">IF(D309="","",IFERROR(_xlfn.XLOOKUP(D309,SyncCodex!L:L,SyncCodex!M:M),""))</f>
        <v/>
      </c>
      <c r="F309" s="8" t="b">
        <v>0</v>
      </c>
      <c r="G309" s="8" t="b">
        <v>0</v>
      </c>
    </row>
    <row r="310">
      <c r="A310" s="38"/>
      <c r="B310" s="8"/>
      <c r="D310" s="8"/>
      <c r="E310" s="58" t="str">
        <f t="array" ref="E310">IF(D310="","",IFERROR(_xlfn.XLOOKUP(D310,SyncCodex!L:L,SyncCodex!M:M),""))</f>
        <v/>
      </c>
      <c r="F310" s="8" t="b">
        <v>0</v>
      </c>
      <c r="G310" s="8" t="b">
        <v>0</v>
      </c>
    </row>
    <row r="311">
      <c r="A311" s="38"/>
      <c r="B311" s="8"/>
      <c r="D311" s="8"/>
      <c r="E311" s="58" t="str">
        <f t="array" ref="E311">IF(D311="","",IFERROR(_xlfn.XLOOKUP(D311,SyncCodex!L:L,SyncCodex!M:M),""))</f>
        <v/>
      </c>
      <c r="F311" s="8" t="b">
        <v>0</v>
      </c>
      <c r="G311" s="8" t="b">
        <v>0</v>
      </c>
    </row>
    <row r="312">
      <c r="A312" s="38"/>
      <c r="B312" s="8"/>
      <c r="D312" s="8"/>
      <c r="E312" s="58" t="str">
        <f t="array" ref="E312">IF(D312="","",IFERROR(_xlfn.XLOOKUP(D312,SyncCodex!L:L,SyncCodex!M:M),""))</f>
        <v/>
      </c>
      <c r="F312" s="8" t="b">
        <v>0</v>
      </c>
      <c r="G312" s="8" t="b">
        <v>0</v>
      </c>
    </row>
    <row r="313">
      <c r="A313" s="38"/>
      <c r="B313" s="8"/>
      <c r="D313" s="8"/>
      <c r="E313" s="58" t="str">
        <f t="array" ref="E313">IF(D313="","",IFERROR(_xlfn.XLOOKUP(D313,SyncCodex!L:L,SyncCodex!M:M),""))</f>
        <v/>
      </c>
      <c r="F313" s="8" t="b">
        <v>0</v>
      </c>
      <c r="G313" s="8" t="b">
        <v>0</v>
      </c>
    </row>
    <row r="314">
      <c r="A314" s="38"/>
      <c r="B314" s="8"/>
      <c r="D314" s="8"/>
      <c r="E314" s="58" t="str">
        <f t="array" ref="E314">IF(D314="","",IFERROR(_xlfn.XLOOKUP(D314,SyncCodex!L:L,SyncCodex!M:M),""))</f>
        <v/>
      </c>
      <c r="F314" s="8" t="b">
        <v>0</v>
      </c>
      <c r="G314" s="8" t="b">
        <v>0</v>
      </c>
    </row>
    <row r="315">
      <c r="A315" s="38"/>
      <c r="B315" s="8"/>
      <c r="D315" s="8"/>
      <c r="E315" s="58" t="str">
        <f t="array" ref="E315">IF(D315="","",IFERROR(_xlfn.XLOOKUP(D315,SyncCodex!L:L,SyncCodex!M:M),""))</f>
        <v/>
      </c>
      <c r="F315" s="8" t="b">
        <v>0</v>
      </c>
      <c r="G315" s="8" t="b">
        <v>0</v>
      </c>
    </row>
    <row r="316">
      <c r="A316" s="38"/>
      <c r="B316" s="8"/>
      <c r="D316" s="8"/>
      <c r="E316" s="58" t="str">
        <f t="array" ref="E316">IF(D316="","",IFERROR(_xlfn.XLOOKUP(D316,SyncCodex!L:L,SyncCodex!M:M),""))</f>
        <v/>
      </c>
      <c r="F316" s="8" t="b">
        <v>0</v>
      </c>
      <c r="G316" s="8" t="b">
        <v>0</v>
      </c>
    </row>
    <row r="317">
      <c r="A317" s="38"/>
      <c r="B317" s="8"/>
      <c r="D317" s="8"/>
      <c r="E317" s="58" t="str">
        <f t="array" ref="E317">IF(D317="","",IFERROR(_xlfn.XLOOKUP(D317,SyncCodex!L:L,SyncCodex!M:M),""))</f>
        <v/>
      </c>
      <c r="F317" s="8" t="b">
        <v>0</v>
      </c>
      <c r="G317" s="8" t="b">
        <v>0</v>
      </c>
    </row>
    <row r="318">
      <c r="A318" s="38"/>
      <c r="B318" s="8"/>
      <c r="D318" s="8"/>
      <c r="E318" s="58" t="str">
        <f t="array" ref="E318">IF(D318="","",IFERROR(_xlfn.XLOOKUP(D318,SyncCodex!L:L,SyncCodex!M:M),""))</f>
        <v/>
      </c>
      <c r="F318" s="8" t="b">
        <v>0</v>
      </c>
      <c r="G318" s="8" t="b">
        <v>0</v>
      </c>
    </row>
    <row r="319">
      <c r="A319" s="38"/>
      <c r="B319" s="8"/>
      <c r="D319" s="8"/>
      <c r="E319" s="58" t="str">
        <f t="array" ref="E319">IF(D319="","",IFERROR(_xlfn.XLOOKUP(D319,SyncCodex!L:L,SyncCodex!M:M),""))</f>
        <v/>
      </c>
      <c r="F319" s="8" t="b">
        <v>0</v>
      </c>
      <c r="G319" s="8" t="b">
        <v>0</v>
      </c>
    </row>
    <row r="320">
      <c r="A320" s="38"/>
      <c r="B320" s="8"/>
      <c r="D320" s="8"/>
      <c r="E320" s="58" t="str">
        <f t="array" ref="E320">IF(D320="","",IFERROR(_xlfn.XLOOKUP(D320,SyncCodex!L:L,SyncCodex!M:M),""))</f>
        <v/>
      </c>
      <c r="F320" s="8" t="b">
        <v>0</v>
      </c>
      <c r="G320" s="8" t="b">
        <v>0</v>
      </c>
    </row>
    <row r="321">
      <c r="A321" s="38"/>
      <c r="B321" s="8"/>
      <c r="D321" s="8"/>
      <c r="E321" s="58" t="str">
        <f t="array" ref="E321">IF(D321="","",IFERROR(_xlfn.XLOOKUP(D321,SyncCodex!L:L,SyncCodex!M:M),""))</f>
        <v/>
      </c>
      <c r="F321" s="8" t="b">
        <v>0</v>
      </c>
      <c r="G321" s="8" t="b">
        <v>0</v>
      </c>
    </row>
    <row r="322">
      <c r="A322" s="38"/>
      <c r="B322" s="8"/>
      <c r="D322" s="8"/>
      <c r="E322" s="58" t="str">
        <f t="array" ref="E322">IF(D322="","",IFERROR(_xlfn.XLOOKUP(D322,SyncCodex!L:L,SyncCodex!M:M),""))</f>
        <v/>
      </c>
      <c r="F322" s="8" t="b">
        <v>0</v>
      </c>
      <c r="G322" s="8" t="b">
        <v>0</v>
      </c>
    </row>
    <row r="323">
      <c r="A323" s="38"/>
      <c r="B323" s="8"/>
      <c r="D323" s="8"/>
      <c r="E323" s="58" t="str">
        <f t="array" ref="E323">IF(D323="","",IFERROR(_xlfn.XLOOKUP(D323,SyncCodex!L:L,SyncCodex!M:M),""))</f>
        <v/>
      </c>
      <c r="F323" s="8" t="b">
        <v>0</v>
      </c>
      <c r="G323" s="8" t="b">
        <v>0</v>
      </c>
    </row>
    <row r="324">
      <c r="A324" s="38"/>
      <c r="B324" s="8"/>
      <c r="D324" s="8"/>
      <c r="E324" s="58" t="str">
        <f t="array" ref="E324">IF(D324="","",IFERROR(_xlfn.XLOOKUP(D324,SyncCodex!L:L,SyncCodex!M:M),""))</f>
        <v/>
      </c>
      <c r="F324" s="8" t="b">
        <v>0</v>
      </c>
      <c r="G324" s="8" t="b">
        <v>0</v>
      </c>
    </row>
    <row r="325">
      <c r="A325" s="38"/>
      <c r="B325" s="8"/>
      <c r="D325" s="8"/>
      <c r="E325" s="58" t="str">
        <f t="array" ref="E325">IF(D325="","",IFERROR(_xlfn.XLOOKUP(D325,SyncCodex!L:L,SyncCodex!M:M),""))</f>
        <v/>
      </c>
      <c r="F325" s="8" t="b">
        <v>0</v>
      </c>
      <c r="G325" s="8" t="b">
        <v>0</v>
      </c>
    </row>
    <row r="326">
      <c r="A326" s="38"/>
      <c r="B326" s="8"/>
      <c r="D326" s="8"/>
      <c r="E326" s="58" t="str">
        <f t="array" ref="E326">IF(D326="","",IFERROR(_xlfn.XLOOKUP(D326,SyncCodex!L:L,SyncCodex!M:M),""))</f>
        <v/>
      </c>
      <c r="F326" s="8" t="b">
        <v>0</v>
      </c>
      <c r="G326" s="8" t="b">
        <v>0</v>
      </c>
    </row>
    <row r="327">
      <c r="A327" s="38"/>
      <c r="B327" s="8"/>
      <c r="D327" s="8"/>
      <c r="E327" s="58" t="str">
        <f t="array" ref="E327">IF(D327="","",IFERROR(_xlfn.XLOOKUP(D327,SyncCodex!L:L,SyncCodex!M:M),""))</f>
        <v/>
      </c>
      <c r="F327" s="8" t="b">
        <v>0</v>
      </c>
      <c r="G327" s="8" t="b">
        <v>0</v>
      </c>
    </row>
    <row r="328">
      <c r="A328" s="38"/>
      <c r="B328" s="8"/>
      <c r="D328" s="8"/>
      <c r="E328" s="58" t="str">
        <f t="array" ref="E328">IF(D328="","",IFERROR(_xlfn.XLOOKUP(D328,SyncCodex!L:L,SyncCodex!M:M),""))</f>
        <v/>
      </c>
      <c r="F328" s="8" t="b">
        <v>0</v>
      </c>
      <c r="G328" s="8" t="b">
        <v>0</v>
      </c>
    </row>
    <row r="329">
      <c r="A329" s="38"/>
      <c r="B329" s="8"/>
      <c r="D329" s="8"/>
      <c r="E329" s="58" t="str">
        <f t="array" ref="E329">IF(D329="","",IFERROR(_xlfn.XLOOKUP(D329,SyncCodex!L:L,SyncCodex!M:M),""))</f>
        <v/>
      </c>
      <c r="F329" s="8" t="b">
        <v>0</v>
      </c>
      <c r="G329" s="8" t="b">
        <v>0</v>
      </c>
    </row>
    <row r="330">
      <c r="A330" s="38"/>
      <c r="B330" s="8"/>
      <c r="D330" s="8"/>
      <c r="E330" s="58" t="str">
        <f t="array" ref="E330">IF(D330="","",IFERROR(_xlfn.XLOOKUP(D330,SyncCodex!L:L,SyncCodex!M:M),""))</f>
        <v/>
      </c>
      <c r="F330" s="8" t="b">
        <v>0</v>
      </c>
      <c r="G330" s="8" t="b">
        <v>0</v>
      </c>
    </row>
    <row r="331">
      <c r="A331" s="38"/>
      <c r="B331" s="8"/>
      <c r="D331" s="8"/>
      <c r="E331" s="58" t="str">
        <f t="array" ref="E331">IF(D331="","",IFERROR(_xlfn.XLOOKUP(D331,SyncCodex!L:L,SyncCodex!M:M),""))</f>
        <v/>
      </c>
      <c r="F331" s="8" t="b">
        <v>0</v>
      </c>
      <c r="G331" s="8" t="b">
        <v>0</v>
      </c>
    </row>
    <row r="332">
      <c r="A332" s="38"/>
      <c r="B332" s="8"/>
      <c r="D332" s="8"/>
      <c r="E332" s="58" t="str">
        <f t="array" ref="E332">IF(D332="","",IFERROR(_xlfn.XLOOKUP(D332,SyncCodex!L:L,SyncCodex!M:M),""))</f>
        <v/>
      </c>
      <c r="F332" s="8" t="b">
        <v>0</v>
      </c>
      <c r="G332" s="8" t="b">
        <v>0</v>
      </c>
    </row>
    <row r="333">
      <c r="A333" s="38"/>
      <c r="B333" s="8"/>
      <c r="D333" s="8"/>
      <c r="E333" s="58" t="str">
        <f t="array" ref="E333">IF(D333="","",IFERROR(_xlfn.XLOOKUP(D333,SyncCodex!L:L,SyncCodex!M:M),""))</f>
        <v/>
      </c>
      <c r="F333" s="8" t="b">
        <v>0</v>
      </c>
      <c r="G333" s="8" t="b">
        <v>0</v>
      </c>
    </row>
    <row r="334">
      <c r="A334" s="38"/>
      <c r="B334" s="8"/>
      <c r="D334" s="8"/>
      <c r="E334" s="58" t="str">
        <f t="array" ref="E334">IF(D334="","",IFERROR(_xlfn.XLOOKUP(D334,SyncCodex!L:L,SyncCodex!M:M),""))</f>
        <v/>
      </c>
      <c r="F334" s="8" t="b">
        <v>0</v>
      </c>
      <c r="G334" s="8" t="b">
        <v>0</v>
      </c>
    </row>
    <row r="335">
      <c r="A335" s="38"/>
      <c r="B335" s="8"/>
      <c r="D335" s="8"/>
      <c r="E335" s="58" t="str">
        <f t="array" ref="E335">IF(D335="","",IFERROR(_xlfn.XLOOKUP(D335,SyncCodex!L:L,SyncCodex!M:M),""))</f>
        <v/>
      </c>
      <c r="F335" s="8" t="b">
        <v>0</v>
      </c>
      <c r="G335" s="8" t="b">
        <v>0</v>
      </c>
    </row>
    <row r="336">
      <c r="A336" s="38"/>
      <c r="B336" s="8"/>
      <c r="D336" s="8"/>
      <c r="E336" s="58" t="str">
        <f t="array" ref="E336">IF(D336="","",IFERROR(_xlfn.XLOOKUP(D336,SyncCodex!L:L,SyncCodex!M:M),""))</f>
        <v/>
      </c>
      <c r="F336" s="8" t="b">
        <v>0</v>
      </c>
      <c r="G336" s="8" t="b">
        <v>0</v>
      </c>
    </row>
    <row r="337">
      <c r="A337" s="38"/>
      <c r="B337" s="8"/>
      <c r="D337" s="8"/>
      <c r="E337" s="58" t="str">
        <f t="array" ref="E337">IF(D337="","",IFERROR(_xlfn.XLOOKUP(D337,SyncCodex!L:L,SyncCodex!M:M),""))</f>
        <v/>
      </c>
      <c r="F337" s="8" t="b">
        <v>0</v>
      </c>
      <c r="G337" s="8" t="b">
        <v>0</v>
      </c>
    </row>
    <row r="338">
      <c r="A338" s="38"/>
      <c r="B338" s="8"/>
      <c r="D338" s="8"/>
      <c r="E338" s="58" t="str">
        <f t="array" ref="E338">IF(D338="","",IFERROR(_xlfn.XLOOKUP(D338,SyncCodex!L:L,SyncCodex!M:M),""))</f>
        <v/>
      </c>
      <c r="F338" s="8" t="b">
        <v>0</v>
      </c>
      <c r="G338" s="8" t="b">
        <v>0</v>
      </c>
    </row>
    <row r="339">
      <c r="A339" s="38"/>
      <c r="B339" s="8"/>
      <c r="D339" s="8"/>
      <c r="E339" s="58" t="str">
        <f t="array" ref="E339">IF(D339="","",IFERROR(_xlfn.XLOOKUP(D339,SyncCodex!L:L,SyncCodex!M:M),""))</f>
        <v/>
      </c>
      <c r="F339" s="8" t="b">
        <v>0</v>
      </c>
      <c r="G339" s="8" t="b">
        <v>0</v>
      </c>
    </row>
    <row r="340">
      <c r="A340" s="38"/>
      <c r="B340" s="8"/>
      <c r="D340" s="8"/>
      <c r="E340" s="58" t="str">
        <f t="array" ref="E340">IF(D340="","",IFERROR(_xlfn.XLOOKUP(D340,SyncCodex!L:L,SyncCodex!M:M),""))</f>
        <v/>
      </c>
      <c r="F340" s="8" t="b">
        <v>0</v>
      </c>
      <c r="G340" s="8" t="b">
        <v>0</v>
      </c>
    </row>
    <row r="341">
      <c r="A341" s="38"/>
      <c r="B341" s="8"/>
      <c r="D341" s="8"/>
      <c r="E341" s="58" t="str">
        <f t="array" ref="E341">IF(D341="","",IFERROR(_xlfn.XLOOKUP(D341,SyncCodex!L:L,SyncCodex!M:M),""))</f>
        <v/>
      </c>
      <c r="F341" s="8" t="b">
        <v>0</v>
      </c>
      <c r="G341" s="8" t="b">
        <v>0</v>
      </c>
    </row>
    <row r="342">
      <c r="A342" s="38"/>
      <c r="B342" s="8"/>
      <c r="D342" s="8"/>
      <c r="E342" s="58" t="str">
        <f t="array" ref="E342">IF(D342="","",IFERROR(_xlfn.XLOOKUP(D342,SyncCodex!L:L,SyncCodex!M:M),""))</f>
        <v/>
      </c>
      <c r="F342" s="8" t="b">
        <v>0</v>
      </c>
      <c r="G342" s="8" t="b">
        <v>0</v>
      </c>
    </row>
    <row r="343">
      <c r="A343" s="38"/>
      <c r="B343" s="8"/>
      <c r="D343" s="8"/>
      <c r="E343" s="58" t="str">
        <f t="array" ref="E343">IF(D343="","",IFERROR(_xlfn.XLOOKUP(D343,SyncCodex!L:L,SyncCodex!M:M),""))</f>
        <v/>
      </c>
      <c r="F343" s="8" t="b">
        <v>0</v>
      </c>
      <c r="G343" s="8" t="b">
        <v>0</v>
      </c>
    </row>
    <row r="344">
      <c r="A344" s="38"/>
      <c r="B344" s="8"/>
      <c r="D344" s="8"/>
      <c r="E344" s="58" t="str">
        <f t="array" ref="E344">IF(D344="","",IFERROR(_xlfn.XLOOKUP(D344,SyncCodex!L:L,SyncCodex!M:M),""))</f>
        <v/>
      </c>
      <c r="F344" s="8" t="b">
        <v>0</v>
      </c>
      <c r="G344" s="8" t="b">
        <v>0</v>
      </c>
    </row>
    <row r="345">
      <c r="A345" s="38"/>
      <c r="B345" s="8"/>
      <c r="D345" s="8"/>
      <c r="E345" s="58" t="str">
        <f t="array" ref="E345">IF(D345="","",IFERROR(_xlfn.XLOOKUP(D345,SyncCodex!L:L,SyncCodex!M:M),""))</f>
        <v/>
      </c>
      <c r="F345" s="8" t="b">
        <v>0</v>
      </c>
      <c r="G345" s="8" t="b">
        <v>0</v>
      </c>
    </row>
    <row r="346">
      <c r="A346" s="38"/>
      <c r="B346" s="8"/>
      <c r="D346" s="8"/>
      <c r="E346" s="58" t="str">
        <f t="array" ref="E346">IF(D346="","",IFERROR(_xlfn.XLOOKUP(D346,SyncCodex!L:L,SyncCodex!M:M),""))</f>
        <v/>
      </c>
      <c r="F346" s="8" t="b">
        <v>0</v>
      </c>
      <c r="G346" s="8" t="b">
        <v>0</v>
      </c>
    </row>
    <row r="347">
      <c r="A347" s="38"/>
      <c r="B347" s="8"/>
      <c r="D347" s="8"/>
      <c r="E347" s="58" t="str">
        <f t="array" ref="E347">IF(D347="","",IFERROR(_xlfn.XLOOKUP(D347,SyncCodex!L:L,SyncCodex!M:M),""))</f>
        <v/>
      </c>
      <c r="F347" s="8" t="b">
        <v>0</v>
      </c>
      <c r="G347" s="8" t="b">
        <v>0</v>
      </c>
    </row>
    <row r="348">
      <c r="A348" s="38"/>
      <c r="B348" s="8"/>
      <c r="D348" s="8"/>
      <c r="E348" s="58" t="str">
        <f t="array" ref="E348">IF(D348="","",IFERROR(_xlfn.XLOOKUP(D348,SyncCodex!L:L,SyncCodex!M:M),""))</f>
        <v/>
      </c>
      <c r="F348" s="8" t="b">
        <v>0</v>
      </c>
      <c r="G348" s="8" t="b">
        <v>0</v>
      </c>
    </row>
    <row r="349">
      <c r="A349" s="38"/>
      <c r="B349" s="8"/>
      <c r="D349" s="8"/>
      <c r="E349" s="58" t="str">
        <f t="array" ref="E349">IF(D349="","",IFERROR(_xlfn.XLOOKUP(D349,SyncCodex!L:L,SyncCodex!M:M),""))</f>
        <v/>
      </c>
      <c r="F349" s="8" t="b">
        <v>0</v>
      </c>
      <c r="G349" s="8" t="b">
        <v>0</v>
      </c>
    </row>
    <row r="350">
      <c r="A350" s="38"/>
      <c r="B350" s="8"/>
      <c r="D350" s="8"/>
      <c r="E350" s="58" t="str">
        <f t="array" ref="E350">IF(D350="","",IFERROR(_xlfn.XLOOKUP(D350,SyncCodex!L:L,SyncCodex!M:M),""))</f>
        <v/>
      </c>
      <c r="F350" s="8" t="b">
        <v>0</v>
      </c>
      <c r="G350" s="8" t="b">
        <v>0</v>
      </c>
    </row>
    <row r="351">
      <c r="A351" s="38"/>
      <c r="B351" s="8"/>
      <c r="D351" s="8"/>
      <c r="E351" s="58" t="str">
        <f t="array" ref="E351">IF(D351="","",IFERROR(_xlfn.XLOOKUP(D351,SyncCodex!L:L,SyncCodex!M:M),""))</f>
        <v/>
      </c>
      <c r="F351" s="8" t="b">
        <v>0</v>
      </c>
      <c r="G351" s="8" t="b">
        <v>0</v>
      </c>
    </row>
    <row r="352">
      <c r="A352" s="38"/>
      <c r="B352" s="8"/>
      <c r="D352" s="8"/>
      <c r="E352" s="58" t="str">
        <f t="array" ref="E352">IF(D352="","",IFERROR(_xlfn.XLOOKUP(D352,SyncCodex!L:L,SyncCodex!M:M),""))</f>
        <v/>
      </c>
      <c r="F352" s="8" t="b">
        <v>0</v>
      </c>
      <c r="G352" s="8" t="b">
        <v>0</v>
      </c>
    </row>
    <row r="353">
      <c r="A353" s="38"/>
      <c r="B353" s="8"/>
      <c r="D353" s="8"/>
      <c r="E353" s="58" t="str">
        <f t="array" ref="E353">IF(D353="","",IFERROR(_xlfn.XLOOKUP(D353,SyncCodex!L:L,SyncCodex!M:M),""))</f>
        <v/>
      </c>
      <c r="F353" s="8" t="b">
        <v>0</v>
      </c>
      <c r="G353" s="8" t="b">
        <v>0</v>
      </c>
    </row>
    <row r="354">
      <c r="A354" s="38"/>
      <c r="B354" s="8"/>
      <c r="D354" s="8"/>
      <c r="E354" s="58" t="str">
        <f t="array" ref="E354">IF(D354="","",IFERROR(_xlfn.XLOOKUP(D354,SyncCodex!L:L,SyncCodex!M:M),""))</f>
        <v/>
      </c>
      <c r="F354" s="8" t="b">
        <v>0</v>
      </c>
      <c r="G354" s="8" t="b">
        <v>0</v>
      </c>
    </row>
    <row r="355">
      <c r="A355" s="38"/>
      <c r="B355" s="8"/>
      <c r="D355" s="8"/>
      <c r="E355" s="58" t="str">
        <f t="array" ref="E355">IF(D355="","",IFERROR(_xlfn.XLOOKUP(D355,SyncCodex!L:L,SyncCodex!M:M),""))</f>
        <v/>
      </c>
      <c r="F355" s="8" t="b">
        <v>0</v>
      </c>
      <c r="G355" s="8" t="b">
        <v>0</v>
      </c>
    </row>
    <row r="356">
      <c r="A356" s="38"/>
      <c r="B356" s="8"/>
      <c r="D356" s="8"/>
      <c r="E356" s="58" t="str">
        <f t="array" ref="E356">IF(D356="","",IFERROR(_xlfn.XLOOKUP(D356,SyncCodex!L:L,SyncCodex!M:M),""))</f>
        <v/>
      </c>
      <c r="F356" s="8" t="b">
        <v>0</v>
      </c>
      <c r="G356" s="8" t="b">
        <v>0</v>
      </c>
    </row>
    <row r="357">
      <c r="A357" s="38"/>
      <c r="B357" s="8"/>
      <c r="D357" s="8"/>
      <c r="E357" s="58" t="str">
        <f t="array" ref="E357">IF(D357="","",IFERROR(_xlfn.XLOOKUP(D357,SyncCodex!L:L,SyncCodex!M:M),""))</f>
        <v/>
      </c>
      <c r="F357" s="8" t="b">
        <v>0</v>
      </c>
      <c r="G357" s="8" t="b">
        <v>0</v>
      </c>
    </row>
    <row r="358">
      <c r="A358" s="38"/>
      <c r="B358" s="8"/>
      <c r="D358" s="8"/>
      <c r="E358" s="58" t="str">
        <f t="array" ref="E358">IF(D358="","",IFERROR(_xlfn.XLOOKUP(D358,SyncCodex!L:L,SyncCodex!M:M),""))</f>
        <v/>
      </c>
      <c r="F358" s="8" t="b">
        <v>0</v>
      </c>
      <c r="G358" s="8" t="b">
        <v>0</v>
      </c>
    </row>
    <row r="359">
      <c r="A359" s="38"/>
      <c r="B359" s="8"/>
      <c r="D359" s="8"/>
      <c r="E359" s="58" t="str">
        <f t="array" ref="E359">IF(D359="","",IFERROR(_xlfn.XLOOKUP(D359,SyncCodex!L:L,SyncCodex!M:M),""))</f>
        <v/>
      </c>
      <c r="F359" s="8" t="b">
        <v>0</v>
      </c>
      <c r="G359" s="8" t="b">
        <v>0</v>
      </c>
    </row>
    <row r="360">
      <c r="A360" s="38"/>
      <c r="B360" s="8"/>
      <c r="D360" s="8"/>
      <c r="E360" s="58" t="str">
        <f t="array" ref="E360">IF(D360="","",IFERROR(_xlfn.XLOOKUP(D360,SyncCodex!L:L,SyncCodex!M:M),""))</f>
        <v/>
      </c>
      <c r="F360" s="8" t="b">
        <v>0</v>
      </c>
      <c r="G360" s="8" t="b">
        <v>0</v>
      </c>
    </row>
    <row r="361">
      <c r="A361" s="38"/>
      <c r="B361" s="8"/>
      <c r="D361" s="8"/>
      <c r="E361" s="58" t="str">
        <f t="array" ref="E361">IF(D361="","",IFERROR(_xlfn.XLOOKUP(D361,SyncCodex!L:L,SyncCodex!M:M),""))</f>
        <v/>
      </c>
      <c r="F361" s="8" t="b">
        <v>0</v>
      </c>
      <c r="G361" s="8" t="b">
        <v>0</v>
      </c>
    </row>
    <row r="362">
      <c r="A362" s="38"/>
      <c r="B362" s="8"/>
      <c r="D362" s="8"/>
      <c r="E362" s="58" t="str">
        <f t="array" ref="E362">IF(D362="","",IFERROR(_xlfn.XLOOKUP(D362,SyncCodex!L:L,SyncCodex!M:M),""))</f>
        <v/>
      </c>
      <c r="F362" s="8" t="b">
        <v>0</v>
      </c>
      <c r="G362" s="8" t="b">
        <v>0</v>
      </c>
    </row>
    <row r="363">
      <c r="A363" s="38"/>
      <c r="B363" s="8"/>
      <c r="D363" s="8"/>
      <c r="E363" s="58" t="str">
        <f t="array" ref="E363">IF(D363="","",IFERROR(_xlfn.XLOOKUP(D363,SyncCodex!L:L,SyncCodex!M:M),""))</f>
        <v/>
      </c>
      <c r="F363" s="8" t="b">
        <v>0</v>
      </c>
      <c r="G363" s="8" t="b">
        <v>0</v>
      </c>
    </row>
    <row r="364">
      <c r="A364" s="38"/>
      <c r="B364" s="8"/>
      <c r="D364" s="8"/>
      <c r="E364" s="58" t="str">
        <f t="array" ref="E364">IF(D364="","",IFERROR(_xlfn.XLOOKUP(D364,SyncCodex!L:L,SyncCodex!M:M),""))</f>
        <v/>
      </c>
      <c r="F364" s="8" t="b">
        <v>0</v>
      </c>
      <c r="G364" s="8" t="b">
        <v>0</v>
      </c>
    </row>
    <row r="365">
      <c r="A365" s="38"/>
      <c r="B365" s="8"/>
      <c r="D365" s="8"/>
      <c r="E365" s="58" t="str">
        <f t="array" ref="E365">IF(D365="","",IFERROR(_xlfn.XLOOKUP(D365,SyncCodex!L:L,SyncCodex!M:M),""))</f>
        <v/>
      </c>
      <c r="F365" s="8" t="b">
        <v>0</v>
      </c>
      <c r="G365" s="8" t="b">
        <v>0</v>
      </c>
    </row>
    <row r="366">
      <c r="A366" s="38"/>
      <c r="B366" s="8"/>
      <c r="D366" s="8"/>
      <c r="E366" s="58" t="str">
        <f t="array" ref="E366">IF(D366="","",IFERROR(_xlfn.XLOOKUP(D366,SyncCodex!L:L,SyncCodex!M:M),""))</f>
        <v/>
      </c>
      <c r="F366" s="8" t="b">
        <v>0</v>
      </c>
      <c r="G366" s="8" t="b">
        <v>0</v>
      </c>
    </row>
    <row r="367">
      <c r="A367" s="38"/>
      <c r="B367" s="8"/>
      <c r="D367" s="8"/>
      <c r="E367" s="58" t="str">
        <f t="array" ref="E367">IF(D367="","",IFERROR(_xlfn.XLOOKUP(D367,SyncCodex!L:L,SyncCodex!M:M),""))</f>
        <v/>
      </c>
      <c r="F367" s="8" t="b">
        <v>0</v>
      </c>
      <c r="G367" s="8" t="b">
        <v>0</v>
      </c>
    </row>
    <row r="368">
      <c r="A368" s="38"/>
      <c r="B368" s="8"/>
      <c r="D368" s="8"/>
      <c r="E368" s="58" t="str">
        <f t="array" ref="E368">IF(D368="","",IFERROR(_xlfn.XLOOKUP(D368,SyncCodex!L:L,SyncCodex!M:M),""))</f>
        <v/>
      </c>
      <c r="F368" s="8" t="b">
        <v>0</v>
      </c>
      <c r="G368" s="8" t="b">
        <v>0</v>
      </c>
    </row>
    <row r="369">
      <c r="A369" s="38"/>
      <c r="B369" s="8"/>
      <c r="D369" s="8"/>
      <c r="E369" s="58" t="str">
        <f t="array" ref="E369">IF(D369="","",IFERROR(_xlfn.XLOOKUP(D369,SyncCodex!L:L,SyncCodex!M:M),""))</f>
        <v/>
      </c>
      <c r="F369" s="8" t="b">
        <v>0</v>
      </c>
      <c r="G369" s="8" t="b">
        <v>0</v>
      </c>
    </row>
    <row r="370">
      <c r="A370" s="38"/>
      <c r="B370" s="8"/>
      <c r="D370" s="8"/>
      <c r="E370" s="58" t="str">
        <f t="array" ref="E370">IF(D370="","",IFERROR(_xlfn.XLOOKUP(D370,SyncCodex!L:L,SyncCodex!M:M),""))</f>
        <v/>
      </c>
      <c r="F370" s="8" t="b">
        <v>0</v>
      </c>
      <c r="G370" s="8" t="b">
        <v>0</v>
      </c>
    </row>
    <row r="371">
      <c r="A371" s="38"/>
      <c r="B371" s="8"/>
      <c r="D371" s="8"/>
      <c r="E371" s="58" t="str">
        <f t="array" ref="E371">IF(D371="","",IFERROR(_xlfn.XLOOKUP(D371,SyncCodex!L:L,SyncCodex!M:M),""))</f>
        <v/>
      </c>
      <c r="F371" s="8" t="b">
        <v>0</v>
      </c>
      <c r="G371" s="8" t="b">
        <v>0</v>
      </c>
    </row>
    <row r="372">
      <c r="A372" s="38"/>
      <c r="B372" s="8"/>
      <c r="D372" s="8"/>
      <c r="E372" s="58" t="str">
        <f t="array" ref="E372">IF(D372="","",IFERROR(_xlfn.XLOOKUP(D372,SyncCodex!L:L,SyncCodex!M:M),""))</f>
        <v/>
      </c>
      <c r="F372" s="8" t="b">
        <v>0</v>
      </c>
      <c r="G372" s="8" t="b">
        <v>0</v>
      </c>
    </row>
    <row r="373">
      <c r="A373" s="38"/>
      <c r="B373" s="8"/>
      <c r="D373" s="8"/>
      <c r="E373" s="58" t="str">
        <f t="array" ref="E373">IF(D373="","",IFERROR(_xlfn.XLOOKUP(D373,SyncCodex!L:L,SyncCodex!M:M),""))</f>
        <v/>
      </c>
      <c r="F373" s="8" t="b">
        <v>0</v>
      </c>
      <c r="G373" s="8" t="b">
        <v>0</v>
      </c>
    </row>
    <row r="374">
      <c r="A374" s="38"/>
      <c r="B374" s="8"/>
      <c r="D374" s="8"/>
      <c r="E374" s="58" t="str">
        <f t="array" ref="E374">IF(D374="","",IFERROR(_xlfn.XLOOKUP(D374,SyncCodex!L:L,SyncCodex!M:M),""))</f>
        <v/>
      </c>
      <c r="F374" s="8" t="b">
        <v>0</v>
      </c>
      <c r="G374" s="8" t="b">
        <v>0</v>
      </c>
    </row>
    <row r="375">
      <c r="A375" s="38"/>
      <c r="B375" s="8"/>
      <c r="D375" s="8"/>
      <c r="E375" s="58" t="str">
        <f t="array" ref="E375">IF(D375="","",IFERROR(_xlfn.XLOOKUP(D375,SyncCodex!L:L,SyncCodex!M:M),""))</f>
        <v/>
      </c>
      <c r="F375" s="8" t="b">
        <v>0</v>
      </c>
      <c r="G375" s="8" t="b">
        <v>0</v>
      </c>
    </row>
    <row r="376">
      <c r="A376" s="38"/>
      <c r="B376" s="8"/>
      <c r="D376" s="8"/>
      <c r="E376" s="58" t="str">
        <f t="array" ref="E376">IF(D376="","",IFERROR(_xlfn.XLOOKUP(D376,SyncCodex!L:L,SyncCodex!M:M),""))</f>
        <v/>
      </c>
      <c r="F376" s="8" t="b">
        <v>0</v>
      </c>
      <c r="G376" s="8" t="b">
        <v>0</v>
      </c>
    </row>
    <row r="377">
      <c r="A377" s="38"/>
      <c r="B377" s="8"/>
      <c r="D377" s="8"/>
      <c r="E377" s="58" t="str">
        <f t="array" ref="E377">IF(D377="","",IFERROR(_xlfn.XLOOKUP(D377,SyncCodex!L:L,SyncCodex!M:M),""))</f>
        <v/>
      </c>
      <c r="F377" s="8" t="b">
        <v>0</v>
      </c>
      <c r="G377" s="8" t="b">
        <v>0</v>
      </c>
    </row>
    <row r="378">
      <c r="A378" s="38"/>
      <c r="B378" s="8"/>
      <c r="D378" s="8"/>
      <c r="E378" s="58" t="str">
        <f t="array" ref="E378">IF(D378="","",IFERROR(_xlfn.XLOOKUP(D378,SyncCodex!L:L,SyncCodex!M:M),""))</f>
        <v/>
      </c>
      <c r="F378" s="8" t="b">
        <v>0</v>
      </c>
      <c r="G378" s="8" t="b">
        <v>0</v>
      </c>
    </row>
    <row r="379">
      <c r="A379" s="38"/>
      <c r="B379" s="8"/>
      <c r="D379" s="8"/>
      <c r="E379" s="58" t="str">
        <f t="array" ref="E379">IF(D379="","",IFERROR(_xlfn.XLOOKUP(D379,SyncCodex!L:L,SyncCodex!M:M),""))</f>
        <v/>
      </c>
      <c r="F379" s="8" t="b">
        <v>0</v>
      </c>
      <c r="G379" s="8" t="b">
        <v>0</v>
      </c>
    </row>
    <row r="380">
      <c r="A380" s="38"/>
      <c r="B380" s="8"/>
      <c r="D380" s="8"/>
      <c r="E380" s="58" t="str">
        <f t="array" ref="E380">IF(D380="","",IFERROR(_xlfn.XLOOKUP(D380,SyncCodex!L:L,SyncCodex!M:M),""))</f>
        <v/>
      </c>
      <c r="F380" s="8" t="b">
        <v>0</v>
      </c>
      <c r="G380" s="8" t="b">
        <v>0</v>
      </c>
    </row>
    <row r="381">
      <c r="A381" s="38"/>
      <c r="B381" s="8"/>
      <c r="D381" s="8"/>
      <c r="E381" s="58" t="str">
        <f t="array" ref="E381">IF(D381="","",IFERROR(_xlfn.XLOOKUP(D381,SyncCodex!L:L,SyncCodex!M:M),""))</f>
        <v/>
      </c>
      <c r="F381" s="8" t="b">
        <v>0</v>
      </c>
      <c r="G381" s="8" t="b">
        <v>0</v>
      </c>
    </row>
    <row r="382">
      <c r="A382" s="38"/>
      <c r="B382" s="8"/>
      <c r="D382" s="8"/>
      <c r="E382" s="58" t="str">
        <f t="array" ref="E382">IF(D382="","",IFERROR(_xlfn.XLOOKUP(D382,SyncCodex!L:L,SyncCodex!M:M),""))</f>
        <v/>
      </c>
      <c r="F382" s="8" t="b">
        <v>0</v>
      </c>
      <c r="G382" s="8" t="b">
        <v>0</v>
      </c>
    </row>
    <row r="383">
      <c r="A383" s="38"/>
      <c r="B383" s="8"/>
      <c r="D383" s="8"/>
      <c r="E383" s="58" t="str">
        <f t="array" ref="E383">IF(D383="","",IFERROR(_xlfn.XLOOKUP(D383,SyncCodex!L:L,SyncCodex!M:M),""))</f>
        <v/>
      </c>
      <c r="F383" s="8" t="b">
        <v>0</v>
      </c>
      <c r="G383" s="8" t="b">
        <v>0</v>
      </c>
    </row>
    <row r="384">
      <c r="A384" s="38"/>
      <c r="B384" s="8"/>
      <c r="D384" s="8"/>
      <c r="E384" s="58" t="str">
        <f t="array" ref="E384">IF(D384="","",IFERROR(_xlfn.XLOOKUP(D384,SyncCodex!L:L,SyncCodex!M:M),""))</f>
        <v/>
      </c>
      <c r="F384" s="8" t="b">
        <v>0</v>
      </c>
      <c r="G384" s="8" t="b">
        <v>0</v>
      </c>
    </row>
    <row r="385">
      <c r="A385" s="38"/>
      <c r="B385" s="8"/>
      <c r="D385" s="8"/>
      <c r="E385" s="58" t="str">
        <f t="array" ref="E385">IF(D385="","",IFERROR(_xlfn.XLOOKUP(D385,SyncCodex!L:L,SyncCodex!M:M),""))</f>
        <v/>
      </c>
      <c r="F385" s="8" t="b">
        <v>0</v>
      </c>
      <c r="G385" s="8" t="b">
        <v>0</v>
      </c>
    </row>
    <row r="386">
      <c r="A386" s="38"/>
      <c r="B386" s="8"/>
      <c r="D386" s="8"/>
      <c r="E386" s="58" t="str">
        <f t="array" ref="E386">IF(D386="","",IFERROR(_xlfn.XLOOKUP(D386,SyncCodex!L:L,SyncCodex!M:M),""))</f>
        <v/>
      </c>
      <c r="F386" s="8" t="b">
        <v>0</v>
      </c>
      <c r="G386" s="8" t="b">
        <v>0</v>
      </c>
    </row>
    <row r="387">
      <c r="A387" s="38"/>
      <c r="B387" s="8"/>
      <c r="D387" s="8"/>
      <c r="E387" s="58" t="str">
        <f t="array" ref="E387">IF(D387="","",IFERROR(_xlfn.XLOOKUP(D387,SyncCodex!L:L,SyncCodex!M:M),""))</f>
        <v/>
      </c>
      <c r="F387" s="8" t="b">
        <v>0</v>
      </c>
      <c r="G387" s="8" t="b">
        <v>0</v>
      </c>
    </row>
    <row r="388">
      <c r="A388" s="38"/>
      <c r="B388" s="8"/>
      <c r="D388" s="8"/>
      <c r="E388" s="58" t="str">
        <f t="array" ref="E388">IF(D388="","",IFERROR(_xlfn.XLOOKUP(D388,SyncCodex!L:L,SyncCodex!M:M),""))</f>
        <v/>
      </c>
      <c r="F388" s="8" t="b">
        <v>0</v>
      </c>
      <c r="G388" s="8" t="b">
        <v>0</v>
      </c>
    </row>
    <row r="389">
      <c r="A389" s="38"/>
      <c r="B389" s="8"/>
      <c r="D389" s="8"/>
      <c r="E389" s="58" t="str">
        <f t="array" ref="E389">IF(D389="","",IFERROR(_xlfn.XLOOKUP(D389,SyncCodex!L:L,SyncCodex!M:M),""))</f>
        <v/>
      </c>
      <c r="F389" s="8" t="b">
        <v>0</v>
      </c>
      <c r="G389" s="8" t="b">
        <v>0</v>
      </c>
    </row>
    <row r="390">
      <c r="A390" s="38"/>
      <c r="B390" s="8"/>
      <c r="D390" s="8"/>
      <c r="E390" s="58" t="str">
        <f t="array" ref="E390">IF(D390="","",IFERROR(_xlfn.XLOOKUP(D390,SyncCodex!L:L,SyncCodex!M:M),""))</f>
        <v/>
      </c>
      <c r="F390" s="8" t="b">
        <v>0</v>
      </c>
      <c r="G390" s="8" t="b">
        <v>0</v>
      </c>
    </row>
    <row r="391">
      <c r="A391" s="38"/>
      <c r="B391" s="8"/>
      <c r="D391" s="8"/>
      <c r="E391" s="58" t="str">
        <f t="array" ref="E391">IF(D391="","",IFERROR(_xlfn.XLOOKUP(D391,SyncCodex!L:L,SyncCodex!M:M),""))</f>
        <v/>
      </c>
      <c r="F391" s="8" t="b">
        <v>0</v>
      </c>
      <c r="G391" s="8" t="b">
        <v>0</v>
      </c>
    </row>
    <row r="392">
      <c r="A392" s="38"/>
      <c r="B392" s="8"/>
      <c r="D392" s="8"/>
      <c r="E392" s="58" t="str">
        <f t="array" ref="E392">IF(D392="","",IFERROR(_xlfn.XLOOKUP(D392,SyncCodex!L:L,SyncCodex!M:M),""))</f>
        <v/>
      </c>
      <c r="F392" s="8" t="b">
        <v>0</v>
      </c>
      <c r="G392" s="8" t="b">
        <v>0</v>
      </c>
    </row>
    <row r="393">
      <c r="A393" s="38"/>
      <c r="B393" s="8"/>
      <c r="D393" s="8"/>
      <c r="E393" s="58" t="str">
        <f t="array" ref="E393">IF(D393="","",IFERROR(_xlfn.XLOOKUP(D393,SyncCodex!L:L,SyncCodex!M:M),""))</f>
        <v/>
      </c>
      <c r="F393" s="8" t="b">
        <v>0</v>
      </c>
      <c r="G393" s="8" t="b">
        <v>0</v>
      </c>
    </row>
    <row r="394">
      <c r="A394" s="38"/>
      <c r="B394" s="8"/>
      <c r="D394" s="8"/>
      <c r="E394" s="58" t="str">
        <f t="array" ref="E394">IF(D394="","",IFERROR(_xlfn.XLOOKUP(D394,SyncCodex!L:L,SyncCodex!M:M),""))</f>
        <v/>
      </c>
      <c r="F394" s="8" t="b">
        <v>0</v>
      </c>
      <c r="G394" s="8" t="b">
        <v>0</v>
      </c>
    </row>
    <row r="395">
      <c r="A395" s="38"/>
      <c r="B395" s="8"/>
      <c r="D395" s="8"/>
      <c r="E395" s="58" t="str">
        <f t="array" ref="E395">IF(D395="","",IFERROR(_xlfn.XLOOKUP(D395,SyncCodex!L:L,SyncCodex!M:M),""))</f>
        <v/>
      </c>
      <c r="F395" s="8" t="b">
        <v>0</v>
      </c>
      <c r="G395" s="8" t="b">
        <v>0</v>
      </c>
    </row>
    <row r="396">
      <c r="A396" s="38"/>
      <c r="B396" s="8"/>
      <c r="D396" s="8"/>
      <c r="E396" s="58" t="str">
        <f t="array" ref="E396">IF(D396="","",IFERROR(_xlfn.XLOOKUP(D396,SyncCodex!L:L,SyncCodex!M:M),""))</f>
        <v/>
      </c>
      <c r="F396" s="8" t="b">
        <v>0</v>
      </c>
      <c r="G396" s="8" t="b">
        <v>0</v>
      </c>
    </row>
    <row r="397">
      <c r="A397" s="38"/>
      <c r="B397" s="8"/>
      <c r="D397" s="8"/>
      <c r="E397" s="58" t="str">
        <f t="array" ref="E397">IF(D397="","",IFERROR(_xlfn.XLOOKUP(D397,SyncCodex!L:L,SyncCodex!M:M),""))</f>
        <v/>
      </c>
      <c r="F397" s="8" t="b">
        <v>0</v>
      </c>
      <c r="G397" s="8" t="b">
        <v>0</v>
      </c>
    </row>
    <row r="398">
      <c r="A398" s="38"/>
      <c r="B398" s="8"/>
      <c r="D398" s="8"/>
      <c r="E398" s="58" t="str">
        <f t="array" ref="E398">IF(D398="","",IFERROR(_xlfn.XLOOKUP(D398,SyncCodex!L:L,SyncCodex!M:M),""))</f>
        <v/>
      </c>
      <c r="F398" s="8" t="b">
        <v>0</v>
      </c>
      <c r="G398" s="8" t="b">
        <v>0</v>
      </c>
    </row>
    <row r="399">
      <c r="A399" s="38"/>
      <c r="B399" s="8"/>
      <c r="D399" s="8"/>
      <c r="E399" s="58" t="str">
        <f t="array" ref="E399">IF(D399="","",IFERROR(_xlfn.XLOOKUP(D399,SyncCodex!L:L,SyncCodex!M:M),""))</f>
        <v/>
      </c>
      <c r="F399" s="8" t="b">
        <v>0</v>
      </c>
      <c r="G399" s="8" t="b">
        <v>0</v>
      </c>
    </row>
    <row r="400">
      <c r="A400" s="38"/>
      <c r="B400" s="8"/>
      <c r="D400" s="8"/>
      <c r="E400" s="58" t="str">
        <f t="array" ref="E400">IF(D400="","",IFERROR(_xlfn.XLOOKUP(D400,SyncCodex!L:L,SyncCodex!M:M),""))</f>
        <v/>
      </c>
      <c r="F400" s="8" t="b">
        <v>0</v>
      </c>
      <c r="G400" s="8" t="b">
        <v>0</v>
      </c>
    </row>
    <row r="401">
      <c r="A401" s="38"/>
      <c r="B401" s="8"/>
      <c r="D401" s="8"/>
      <c r="E401" s="58" t="str">
        <f t="array" ref="E401">IF(D401="","",IFERROR(_xlfn.XLOOKUP(D401,SyncCodex!L:L,SyncCodex!M:M),""))</f>
        <v/>
      </c>
      <c r="F401" s="8" t="b">
        <v>0</v>
      </c>
      <c r="G401" s="8" t="b">
        <v>0</v>
      </c>
    </row>
    <row r="402">
      <c r="A402" s="38"/>
      <c r="B402" s="8"/>
      <c r="D402" s="8"/>
      <c r="E402" s="58" t="str">
        <f t="array" ref="E402">IF(D402="","",IFERROR(_xlfn.XLOOKUP(D402,SyncCodex!L:L,SyncCodex!M:M),""))</f>
        <v/>
      </c>
      <c r="F402" s="8" t="b">
        <v>0</v>
      </c>
      <c r="G402" s="8" t="b">
        <v>0</v>
      </c>
    </row>
    <row r="403">
      <c r="A403" s="38"/>
      <c r="B403" s="8"/>
      <c r="D403" s="8"/>
      <c r="E403" s="58" t="str">
        <f t="array" ref="E403">IF(D403="","",IFERROR(_xlfn.XLOOKUP(D403,SyncCodex!L:L,SyncCodex!M:M),""))</f>
        <v/>
      </c>
      <c r="F403" s="8" t="b">
        <v>0</v>
      </c>
      <c r="G403" s="8" t="b">
        <v>0</v>
      </c>
    </row>
    <row r="404">
      <c r="A404" s="38"/>
      <c r="B404" s="8"/>
      <c r="D404" s="8"/>
      <c r="E404" s="58" t="str">
        <f t="array" ref="E404">IF(D404="","",IFERROR(_xlfn.XLOOKUP(D404,SyncCodex!L:L,SyncCodex!M:M),""))</f>
        <v/>
      </c>
      <c r="F404" s="8" t="b">
        <v>0</v>
      </c>
      <c r="G404" s="8" t="b">
        <v>0</v>
      </c>
    </row>
    <row r="405">
      <c r="A405" s="38"/>
      <c r="B405" s="8"/>
      <c r="D405" s="8"/>
      <c r="E405" s="58" t="str">
        <f t="array" ref="E405">IF(D405="","",IFERROR(_xlfn.XLOOKUP(D405,SyncCodex!L:L,SyncCodex!M:M),""))</f>
        <v/>
      </c>
      <c r="F405" s="8" t="b">
        <v>0</v>
      </c>
      <c r="G405" s="8" t="b">
        <v>0</v>
      </c>
    </row>
    <row r="406">
      <c r="A406" s="38"/>
      <c r="B406" s="8"/>
      <c r="D406" s="8"/>
      <c r="E406" s="58" t="str">
        <f t="array" ref="E406">IF(D406="","",IFERROR(_xlfn.XLOOKUP(D406,SyncCodex!L:L,SyncCodex!M:M),""))</f>
        <v/>
      </c>
      <c r="F406" s="8" t="b">
        <v>0</v>
      </c>
      <c r="G406" s="8" t="b">
        <v>0</v>
      </c>
    </row>
    <row r="407">
      <c r="A407" s="38"/>
      <c r="B407" s="8"/>
      <c r="D407" s="8"/>
      <c r="E407" s="58" t="str">
        <f t="array" ref="E407">IF(D407="","",IFERROR(_xlfn.XLOOKUP(D407,SyncCodex!L:L,SyncCodex!M:M),""))</f>
        <v/>
      </c>
      <c r="F407" s="8" t="b">
        <v>0</v>
      </c>
      <c r="G407" s="8" t="b">
        <v>0</v>
      </c>
    </row>
    <row r="408">
      <c r="A408" s="38"/>
      <c r="B408" s="8"/>
      <c r="D408" s="8"/>
      <c r="E408" s="58" t="str">
        <f t="array" ref="E408">IF(D408="","",IFERROR(_xlfn.XLOOKUP(D408,SyncCodex!L:L,SyncCodex!M:M),""))</f>
        <v/>
      </c>
      <c r="F408" s="8" t="b">
        <v>0</v>
      </c>
      <c r="G408" s="8" t="b">
        <v>0</v>
      </c>
    </row>
    <row r="409">
      <c r="A409" s="38"/>
      <c r="B409" s="8"/>
      <c r="D409" s="8"/>
      <c r="E409" s="58" t="str">
        <f t="array" ref="E409">IF(D409="","",IFERROR(_xlfn.XLOOKUP(D409,SyncCodex!L:L,SyncCodex!M:M),""))</f>
        <v/>
      </c>
      <c r="F409" s="8" t="b">
        <v>0</v>
      </c>
      <c r="G409" s="8" t="b">
        <v>0</v>
      </c>
    </row>
    <row r="410">
      <c r="A410" s="38"/>
      <c r="B410" s="8"/>
      <c r="D410" s="8"/>
      <c r="E410" s="58" t="str">
        <f t="array" ref="E410">IF(D410="","",IFERROR(_xlfn.XLOOKUP(D410,SyncCodex!L:L,SyncCodex!M:M),""))</f>
        <v/>
      </c>
      <c r="F410" s="8" t="b">
        <v>0</v>
      </c>
      <c r="G410" s="8" t="b">
        <v>0</v>
      </c>
    </row>
    <row r="411">
      <c r="A411" s="38"/>
      <c r="B411" s="8"/>
      <c r="D411" s="8"/>
      <c r="E411" s="58" t="str">
        <f t="array" ref="E411">IF(D411="","",IFERROR(_xlfn.XLOOKUP(D411,SyncCodex!L:L,SyncCodex!M:M),""))</f>
        <v/>
      </c>
      <c r="F411" s="8" t="b">
        <v>0</v>
      </c>
      <c r="G411" s="8" t="b">
        <v>0</v>
      </c>
    </row>
    <row r="412">
      <c r="A412" s="38"/>
      <c r="B412" s="8"/>
      <c r="D412" s="8"/>
      <c r="E412" s="58" t="str">
        <f t="array" ref="E412">IF(D412="","",IFERROR(_xlfn.XLOOKUP(D412,SyncCodex!L:L,SyncCodex!M:M),""))</f>
        <v/>
      </c>
      <c r="F412" s="8" t="b">
        <v>0</v>
      </c>
      <c r="G412" s="8" t="b">
        <v>0</v>
      </c>
    </row>
    <row r="413">
      <c r="A413" s="38"/>
      <c r="B413" s="8"/>
      <c r="D413" s="8"/>
      <c r="E413" s="58" t="str">
        <f t="array" ref="E413">IF(D413="","",IFERROR(_xlfn.XLOOKUP(D413,SyncCodex!L:L,SyncCodex!M:M),""))</f>
        <v/>
      </c>
      <c r="F413" s="8" t="b">
        <v>0</v>
      </c>
      <c r="G413" s="8" t="b">
        <v>0</v>
      </c>
    </row>
    <row r="414">
      <c r="A414" s="38"/>
      <c r="B414" s="8"/>
      <c r="D414" s="8"/>
      <c r="E414" s="58" t="str">
        <f t="array" ref="E414">IF(D414="","",IFERROR(_xlfn.XLOOKUP(D414,SyncCodex!L:L,SyncCodex!M:M),""))</f>
        <v/>
      </c>
      <c r="F414" s="8" t="b">
        <v>0</v>
      </c>
      <c r="G414" s="8" t="b">
        <v>0</v>
      </c>
    </row>
    <row r="415">
      <c r="A415" s="38"/>
      <c r="B415" s="8"/>
      <c r="D415" s="8"/>
      <c r="E415" s="58" t="str">
        <f t="array" ref="E415">IF(D415="","",IFERROR(_xlfn.XLOOKUP(D415,SyncCodex!L:L,SyncCodex!M:M),""))</f>
        <v/>
      </c>
      <c r="F415" s="8" t="b">
        <v>0</v>
      </c>
      <c r="G415" s="8" t="b">
        <v>0</v>
      </c>
    </row>
    <row r="416">
      <c r="A416" s="38"/>
      <c r="B416" s="8"/>
      <c r="D416" s="8"/>
      <c r="E416" s="58" t="str">
        <f t="array" ref="E416">IF(D416="","",IFERROR(_xlfn.XLOOKUP(D416,SyncCodex!L:L,SyncCodex!M:M),""))</f>
        <v/>
      </c>
      <c r="F416" s="8" t="b">
        <v>0</v>
      </c>
      <c r="G416" s="8" t="b">
        <v>0</v>
      </c>
    </row>
    <row r="417">
      <c r="A417" s="38"/>
      <c r="B417" s="8"/>
      <c r="D417" s="8"/>
      <c r="E417" s="58" t="str">
        <f t="array" ref="E417">IF(D417="","",IFERROR(_xlfn.XLOOKUP(D417,SyncCodex!L:L,SyncCodex!M:M),""))</f>
        <v/>
      </c>
      <c r="F417" s="8" t="b">
        <v>0</v>
      </c>
      <c r="G417" s="8" t="b">
        <v>0</v>
      </c>
    </row>
    <row r="418">
      <c r="A418" s="38"/>
      <c r="B418" s="8"/>
      <c r="D418" s="8"/>
      <c r="E418" s="58" t="str">
        <f t="array" ref="E418">IF(D418="","",IFERROR(_xlfn.XLOOKUP(D418,SyncCodex!L:L,SyncCodex!M:M),""))</f>
        <v/>
      </c>
      <c r="F418" s="8" t="b">
        <v>0</v>
      </c>
      <c r="G418" s="8" t="b">
        <v>0</v>
      </c>
    </row>
    <row r="419">
      <c r="A419" s="38"/>
      <c r="B419" s="8"/>
      <c r="D419" s="8"/>
      <c r="E419" s="58" t="str">
        <f t="array" ref="E419">IF(D419="","",IFERROR(_xlfn.XLOOKUP(D419,SyncCodex!L:L,SyncCodex!M:M),""))</f>
        <v/>
      </c>
      <c r="F419" s="8" t="b">
        <v>0</v>
      </c>
      <c r="G419" s="8" t="b">
        <v>0</v>
      </c>
    </row>
    <row r="420">
      <c r="A420" s="38"/>
      <c r="B420" s="8"/>
      <c r="D420" s="8"/>
      <c r="E420" s="58" t="str">
        <f t="array" ref="E420">IF(D420="","",IFERROR(_xlfn.XLOOKUP(D420,SyncCodex!L:L,SyncCodex!M:M),""))</f>
        <v/>
      </c>
      <c r="F420" s="8" t="b">
        <v>0</v>
      </c>
      <c r="G420" s="8" t="b">
        <v>0</v>
      </c>
    </row>
    <row r="421">
      <c r="A421" s="38"/>
      <c r="B421" s="8"/>
      <c r="D421" s="8"/>
      <c r="E421" s="58" t="str">
        <f t="array" ref="E421">IF(D421="","",IFERROR(_xlfn.XLOOKUP(D421,SyncCodex!L:L,SyncCodex!M:M),""))</f>
        <v/>
      </c>
      <c r="F421" s="8" t="b">
        <v>0</v>
      </c>
      <c r="G421" s="8" t="b">
        <v>0</v>
      </c>
    </row>
    <row r="422">
      <c r="A422" s="38"/>
      <c r="B422" s="8"/>
      <c r="D422" s="8"/>
      <c r="E422" s="58" t="str">
        <f t="array" ref="E422">IF(D422="","",IFERROR(_xlfn.XLOOKUP(D422,SyncCodex!L:L,SyncCodex!M:M),""))</f>
        <v/>
      </c>
      <c r="F422" s="8" t="b">
        <v>0</v>
      </c>
      <c r="G422" s="8" t="b">
        <v>0</v>
      </c>
    </row>
    <row r="423">
      <c r="A423" s="38"/>
      <c r="B423" s="8"/>
      <c r="D423" s="8"/>
      <c r="E423" s="58" t="str">
        <f t="array" ref="E423">IF(D423="","",IFERROR(_xlfn.XLOOKUP(D423,SyncCodex!L:L,SyncCodex!M:M),""))</f>
        <v/>
      </c>
      <c r="F423" s="8" t="b">
        <v>0</v>
      </c>
      <c r="G423" s="8" t="b">
        <v>0</v>
      </c>
    </row>
    <row r="424">
      <c r="A424" s="38"/>
      <c r="B424" s="8"/>
      <c r="D424" s="8"/>
      <c r="E424" s="58" t="str">
        <f t="array" ref="E424">IF(D424="","",IFERROR(_xlfn.XLOOKUP(D424,SyncCodex!L:L,SyncCodex!M:M),""))</f>
        <v/>
      </c>
      <c r="F424" s="8" t="b">
        <v>0</v>
      </c>
      <c r="G424" s="8" t="b">
        <v>0</v>
      </c>
    </row>
    <row r="425">
      <c r="A425" s="38"/>
      <c r="B425" s="8"/>
      <c r="D425" s="8"/>
      <c r="E425" s="58" t="str">
        <f t="array" ref="E425">IF(D425="","",IFERROR(_xlfn.XLOOKUP(D425,SyncCodex!L:L,SyncCodex!M:M),""))</f>
        <v/>
      </c>
      <c r="F425" s="8" t="b">
        <v>0</v>
      </c>
      <c r="G425" s="8" t="b">
        <v>0</v>
      </c>
    </row>
    <row r="426">
      <c r="A426" s="38"/>
      <c r="B426" s="8"/>
      <c r="D426" s="8"/>
      <c r="E426" s="58" t="str">
        <f t="array" ref="E426">IF(D426="","",IFERROR(_xlfn.XLOOKUP(D426,SyncCodex!L:L,SyncCodex!M:M),""))</f>
        <v/>
      </c>
      <c r="F426" s="8" t="b">
        <v>0</v>
      </c>
      <c r="G426" s="8" t="b">
        <v>0</v>
      </c>
    </row>
    <row r="427">
      <c r="A427" s="38"/>
      <c r="B427" s="8"/>
      <c r="D427" s="8"/>
      <c r="E427" s="58" t="str">
        <f t="array" ref="E427">IF(D427="","",IFERROR(_xlfn.XLOOKUP(D427,SyncCodex!L:L,SyncCodex!M:M),""))</f>
        <v/>
      </c>
      <c r="F427" s="8" t="b">
        <v>0</v>
      </c>
      <c r="G427" s="8" t="b">
        <v>0</v>
      </c>
    </row>
    <row r="428">
      <c r="A428" s="38"/>
      <c r="B428" s="8"/>
      <c r="D428" s="8"/>
      <c r="E428" s="58" t="str">
        <f t="array" ref="E428">IF(D428="","",IFERROR(_xlfn.XLOOKUP(D428,SyncCodex!L:L,SyncCodex!M:M),""))</f>
        <v/>
      </c>
      <c r="F428" s="8" t="b">
        <v>0</v>
      </c>
      <c r="G428" s="8" t="b">
        <v>0</v>
      </c>
    </row>
    <row r="429">
      <c r="A429" s="38"/>
      <c r="B429" s="8"/>
      <c r="D429" s="8"/>
      <c r="E429" s="58" t="str">
        <f t="array" ref="E429">IF(D429="","",IFERROR(_xlfn.XLOOKUP(D429,SyncCodex!L:L,SyncCodex!M:M),""))</f>
        <v/>
      </c>
      <c r="F429" s="8" t="b">
        <v>0</v>
      </c>
      <c r="G429" s="8" t="b">
        <v>0</v>
      </c>
    </row>
    <row r="430">
      <c r="A430" s="38"/>
      <c r="B430" s="8"/>
      <c r="D430" s="8"/>
      <c r="E430" s="58" t="str">
        <f t="array" ref="E430">IF(D430="","",IFERROR(_xlfn.XLOOKUP(D430,SyncCodex!L:L,SyncCodex!M:M),""))</f>
        <v/>
      </c>
      <c r="F430" s="8" t="b">
        <v>0</v>
      </c>
      <c r="G430" s="8" t="b">
        <v>0</v>
      </c>
    </row>
    <row r="431">
      <c r="A431" s="38"/>
      <c r="B431" s="8"/>
      <c r="D431" s="8"/>
      <c r="E431" s="58" t="str">
        <f t="array" ref="E431">IF(D431="","",IFERROR(_xlfn.XLOOKUP(D431,SyncCodex!L:L,SyncCodex!M:M),""))</f>
        <v/>
      </c>
      <c r="F431" s="8" t="b">
        <v>0</v>
      </c>
      <c r="G431" s="8" t="b">
        <v>0</v>
      </c>
    </row>
    <row r="432">
      <c r="A432" s="38"/>
      <c r="B432" s="8"/>
      <c r="D432" s="8"/>
      <c r="E432" s="58" t="str">
        <f t="array" ref="E432">IF(D432="","",IFERROR(_xlfn.XLOOKUP(D432,SyncCodex!L:L,SyncCodex!M:M),""))</f>
        <v/>
      </c>
      <c r="F432" s="8" t="b">
        <v>0</v>
      </c>
      <c r="G432" s="8" t="b">
        <v>0</v>
      </c>
    </row>
    <row r="433">
      <c r="A433" s="38"/>
      <c r="B433" s="8"/>
      <c r="D433" s="8"/>
      <c r="E433" s="58" t="str">
        <f t="array" ref="E433">IF(D433="","",IFERROR(_xlfn.XLOOKUP(D433,SyncCodex!L:L,SyncCodex!M:M),""))</f>
        <v/>
      </c>
      <c r="F433" s="8" t="b">
        <v>0</v>
      </c>
      <c r="G433" s="8" t="b">
        <v>0</v>
      </c>
    </row>
    <row r="434">
      <c r="A434" s="38"/>
      <c r="B434" s="8"/>
      <c r="D434" s="8"/>
      <c r="E434" s="58" t="str">
        <f t="array" ref="E434">IF(D434="","",IFERROR(_xlfn.XLOOKUP(D434,SyncCodex!L:L,SyncCodex!M:M),""))</f>
        <v/>
      </c>
      <c r="F434" s="8" t="b">
        <v>0</v>
      </c>
      <c r="G434" s="8" t="b">
        <v>0</v>
      </c>
    </row>
    <row r="435">
      <c r="A435" s="38"/>
      <c r="B435" s="8"/>
      <c r="D435" s="8"/>
      <c r="E435" s="58" t="str">
        <f t="array" ref="E435">IF(D435="","",IFERROR(_xlfn.XLOOKUP(D435,SyncCodex!L:L,SyncCodex!M:M),""))</f>
        <v/>
      </c>
      <c r="F435" s="8" t="b">
        <v>0</v>
      </c>
      <c r="G435" s="8" t="b">
        <v>0</v>
      </c>
    </row>
    <row r="436">
      <c r="A436" s="38"/>
      <c r="B436" s="8"/>
      <c r="D436" s="8"/>
      <c r="E436" s="58" t="str">
        <f t="array" ref="E436">IF(D436="","",IFERROR(_xlfn.XLOOKUP(D436,SyncCodex!L:L,SyncCodex!M:M),""))</f>
        <v/>
      </c>
      <c r="F436" s="8" t="b">
        <v>0</v>
      </c>
      <c r="G436" s="8" t="b">
        <v>0</v>
      </c>
    </row>
    <row r="437">
      <c r="A437" s="38"/>
      <c r="B437" s="8"/>
      <c r="D437" s="8"/>
      <c r="E437" s="58" t="str">
        <f t="array" ref="E437">IF(D437="","",IFERROR(_xlfn.XLOOKUP(D437,SyncCodex!L:L,SyncCodex!M:M),""))</f>
        <v/>
      </c>
      <c r="F437" s="8" t="b">
        <v>0</v>
      </c>
      <c r="G437" s="8" t="b">
        <v>0</v>
      </c>
    </row>
    <row r="438">
      <c r="A438" s="38"/>
      <c r="B438" s="8"/>
      <c r="D438" s="8"/>
      <c r="E438" s="58" t="str">
        <f t="array" ref="E438">IF(D438="","",IFERROR(_xlfn.XLOOKUP(D438,SyncCodex!L:L,SyncCodex!M:M),""))</f>
        <v/>
      </c>
      <c r="F438" s="8" t="b">
        <v>0</v>
      </c>
      <c r="G438" s="8" t="b">
        <v>0</v>
      </c>
    </row>
    <row r="439">
      <c r="A439" s="38"/>
      <c r="B439" s="8"/>
      <c r="D439" s="8"/>
      <c r="E439" s="58" t="str">
        <f t="array" ref="E439">IF(D439="","",IFERROR(_xlfn.XLOOKUP(D439,SyncCodex!L:L,SyncCodex!M:M),""))</f>
        <v/>
      </c>
      <c r="F439" s="8" t="b">
        <v>0</v>
      </c>
      <c r="G439" s="8" t="b">
        <v>0</v>
      </c>
    </row>
    <row r="440">
      <c r="A440" s="38"/>
      <c r="B440" s="8"/>
      <c r="D440" s="8"/>
      <c r="E440" s="58" t="str">
        <f t="array" ref="E440">IF(D440="","",IFERROR(_xlfn.XLOOKUP(D440,SyncCodex!L:L,SyncCodex!M:M),""))</f>
        <v/>
      </c>
      <c r="F440" s="8" t="b">
        <v>0</v>
      </c>
      <c r="G440" s="8" t="b">
        <v>0</v>
      </c>
    </row>
    <row r="441">
      <c r="A441" s="38"/>
      <c r="B441" s="8"/>
      <c r="D441" s="8"/>
      <c r="E441" s="58" t="str">
        <f t="array" ref="E441">IF(D441="","",IFERROR(_xlfn.XLOOKUP(D441,SyncCodex!L:L,SyncCodex!M:M),""))</f>
        <v/>
      </c>
      <c r="F441" s="8" t="b">
        <v>0</v>
      </c>
      <c r="G441" s="8" t="b">
        <v>0</v>
      </c>
    </row>
    <row r="442">
      <c r="A442" s="38"/>
      <c r="B442" s="8"/>
      <c r="D442" s="8"/>
      <c r="E442" s="58" t="str">
        <f t="array" ref="E442">IF(D442="","",IFERROR(_xlfn.XLOOKUP(D442,SyncCodex!L:L,SyncCodex!M:M),""))</f>
        <v/>
      </c>
      <c r="F442" s="8" t="b">
        <v>0</v>
      </c>
      <c r="G442" s="8" t="b">
        <v>0</v>
      </c>
    </row>
    <row r="443">
      <c r="A443" s="38"/>
      <c r="B443" s="8"/>
      <c r="D443" s="8"/>
      <c r="E443" s="58" t="str">
        <f t="array" ref="E443">IF(D443="","",IFERROR(_xlfn.XLOOKUP(D443,SyncCodex!L:L,SyncCodex!M:M),""))</f>
        <v/>
      </c>
      <c r="F443" s="8" t="b">
        <v>0</v>
      </c>
      <c r="G443" s="8" t="b">
        <v>0</v>
      </c>
    </row>
    <row r="444">
      <c r="A444" s="38"/>
      <c r="B444" s="8"/>
      <c r="D444" s="8"/>
      <c r="E444" s="58" t="str">
        <f t="array" ref="E444">IF(D444="","",IFERROR(_xlfn.XLOOKUP(D444,SyncCodex!L:L,SyncCodex!M:M),""))</f>
        <v/>
      </c>
      <c r="F444" s="8" t="b">
        <v>0</v>
      </c>
      <c r="G444" s="8" t="b">
        <v>0</v>
      </c>
    </row>
    <row r="445">
      <c r="A445" s="38"/>
      <c r="B445" s="8"/>
      <c r="D445" s="8"/>
      <c r="E445" s="58" t="str">
        <f t="array" ref="E445">IF(D445="","",IFERROR(_xlfn.XLOOKUP(D445,SyncCodex!L:L,SyncCodex!M:M),""))</f>
        <v/>
      </c>
      <c r="F445" s="8" t="b">
        <v>0</v>
      </c>
      <c r="G445" s="8" t="b">
        <v>0</v>
      </c>
    </row>
    <row r="446">
      <c r="A446" s="38"/>
      <c r="B446" s="8"/>
      <c r="D446" s="8"/>
      <c r="E446" s="58" t="str">
        <f t="array" ref="E446">IF(D446="","",IFERROR(_xlfn.XLOOKUP(D446,SyncCodex!L:L,SyncCodex!M:M),""))</f>
        <v/>
      </c>
      <c r="F446" s="8" t="b">
        <v>0</v>
      </c>
      <c r="G446" s="8" t="b">
        <v>0</v>
      </c>
    </row>
    <row r="447">
      <c r="A447" s="38"/>
      <c r="B447" s="8"/>
      <c r="D447" s="8"/>
      <c r="E447" s="58" t="str">
        <f t="array" ref="E447">IF(D447="","",IFERROR(_xlfn.XLOOKUP(D447,SyncCodex!L:L,SyncCodex!M:M),""))</f>
        <v/>
      </c>
      <c r="F447" s="8" t="b">
        <v>0</v>
      </c>
      <c r="G447" s="8" t="b">
        <v>0</v>
      </c>
    </row>
    <row r="448">
      <c r="A448" s="38"/>
      <c r="B448" s="8"/>
      <c r="D448" s="8"/>
      <c r="E448" s="58" t="str">
        <f t="array" ref="E448">IF(D448="","",IFERROR(_xlfn.XLOOKUP(D448,SyncCodex!L:L,SyncCodex!M:M),""))</f>
        <v/>
      </c>
      <c r="F448" s="8" t="b">
        <v>0</v>
      </c>
      <c r="G448" s="8" t="b">
        <v>0</v>
      </c>
    </row>
    <row r="449">
      <c r="A449" s="38"/>
      <c r="B449" s="8"/>
      <c r="D449" s="8"/>
      <c r="E449" s="58" t="str">
        <f t="array" ref="E449">IF(D449="","",IFERROR(_xlfn.XLOOKUP(D449,SyncCodex!L:L,SyncCodex!M:M),""))</f>
        <v/>
      </c>
      <c r="F449" s="8" t="b">
        <v>0</v>
      </c>
      <c r="G449" s="8" t="b">
        <v>0</v>
      </c>
    </row>
    <row r="450">
      <c r="A450" s="38"/>
      <c r="B450" s="8"/>
      <c r="D450" s="8"/>
      <c r="E450" s="58" t="str">
        <f t="array" ref="E450">IF(D450="","",IFERROR(_xlfn.XLOOKUP(D450,SyncCodex!L:L,SyncCodex!M:M),""))</f>
        <v/>
      </c>
      <c r="F450" s="8" t="b">
        <v>0</v>
      </c>
      <c r="G450" s="8" t="b">
        <v>0</v>
      </c>
    </row>
    <row r="451">
      <c r="A451" s="38"/>
      <c r="B451" s="8"/>
      <c r="D451" s="8"/>
      <c r="E451" s="58" t="str">
        <f t="array" ref="E451">IF(D451="","",IFERROR(_xlfn.XLOOKUP(D451,SyncCodex!L:L,SyncCodex!M:M),""))</f>
        <v/>
      </c>
      <c r="F451" s="8" t="b">
        <v>0</v>
      </c>
      <c r="G451" s="8" t="b">
        <v>0</v>
      </c>
    </row>
    <row r="452">
      <c r="A452" s="38"/>
      <c r="B452" s="8"/>
      <c r="D452" s="8"/>
      <c r="E452" s="58" t="str">
        <f t="array" ref="E452">IF(D452="","",IFERROR(_xlfn.XLOOKUP(D452,SyncCodex!L:L,SyncCodex!M:M),""))</f>
        <v/>
      </c>
      <c r="F452" s="8" t="b">
        <v>0</v>
      </c>
      <c r="G452" s="8" t="b">
        <v>0</v>
      </c>
    </row>
    <row r="453">
      <c r="A453" s="38"/>
      <c r="B453" s="8"/>
      <c r="D453" s="8"/>
      <c r="E453" s="58" t="str">
        <f t="array" ref="E453">IF(D453="","",IFERROR(_xlfn.XLOOKUP(D453,SyncCodex!L:L,SyncCodex!M:M),""))</f>
        <v/>
      </c>
      <c r="F453" s="8" t="b">
        <v>0</v>
      </c>
      <c r="G453" s="8" t="b">
        <v>0</v>
      </c>
    </row>
    <row r="454">
      <c r="A454" s="38"/>
      <c r="B454" s="8"/>
      <c r="D454" s="8"/>
      <c r="E454" s="58" t="str">
        <f t="array" ref="E454">IF(D454="","",IFERROR(_xlfn.XLOOKUP(D454,SyncCodex!L:L,SyncCodex!M:M),""))</f>
        <v/>
      </c>
      <c r="F454" s="8" t="b">
        <v>0</v>
      </c>
      <c r="G454" s="8" t="b">
        <v>0</v>
      </c>
    </row>
    <row r="455">
      <c r="A455" s="38"/>
      <c r="B455" s="8"/>
      <c r="D455" s="8"/>
      <c r="E455" s="58" t="str">
        <f t="array" ref="E455">IF(D455="","",IFERROR(_xlfn.XLOOKUP(D455,SyncCodex!L:L,SyncCodex!M:M),""))</f>
        <v/>
      </c>
      <c r="F455" s="8" t="b">
        <v>0</v>
      </c>
      <c r="G455" s="8" t="b">
        <v>0</v>
      </c>
    </row>
    <row r="456">
      <c r="A456" s="38"/>
      <c r="B456" s="8"/>
      <c r="D456" s="8"/>
      <c r="E456" s="58" t="str">
        <f t="array" ref="E456">IF(D456="","",IFERROR(_xlfn.XLOOKUP(D456,SyncCodex!L:L,SyncCodex!M:M),""))</f>
        <v/>
      </c>
      <c r="F456" s="8" t="b">
        <v>0</v>
      </c>
      <c r="G456" s="8" t="b">
        <v>0</v>
      </c>
    </row>
    <row r="457">
      <c r="A457" s="38"/>
      <c r="B457" s="8"/>
      <c r="D457" s="8"/>
      <c r="E457" s="58" t="str">
        <f t="array" ref="E457">IF(D457="","",IFERROR(_xlfn.XLOOKUP(D457,SyncCodex!L:L,SyncCodex!M:M),""))</f>
        <v/>
      </c>
      <c r="F457" s="8" t="b">
        <v>0</v>
      </c>
      <c r="G457" s="8" t="b">
        <v>0</v>
      </c>
    </row>
    <row r="458">
      <c r="A458" s="38"/>
      <c r="B458" s="8"/>
      <c r="D458" s="8"/>
      <c r="E458" s="58" t="str">
        <f t="array" ref="E458">IF(D458="","",IFERROR(_xlfn.XLOOKUP(D458,SyncCodex!L:L,SyncCodex!M:M),""))</f>
        <v/>
      </c>
      <c r="F458" s="8" t="b">
        <v>0</v>
      </c>
      <c r="G458" s="8" t="b">
        <v>0</v>
      </c>
    </row>
    <row r="459">
      <c r="A459" s="38"/>
      <c r="B459" s="8"/>
      <c r="D459" s="8"/>
      <c r="E459" s="58" t="str">
        <f t="array" ref="E459">IF(D459="","",IFERROR(_xlfn.XLOOKUP(D459,SyncCodex!L:L,SyncCodex!M:M),""))</f>
        <v/>
      </c>
      <c r="F459" s="8" t="b">
        <v>0</v>
      </c>
      <c r="G459" s="8" t="b">
        <v>0</v>
      </c>
    </row>
    <row r="460">
      <c r="A460" s="38"/>
      <c r="B460" s="8"/>
      <c r="D460" s="8"/>
      <c r="E460" s="58" t="str">
        <f t="array" ref="E460">IF(D460="","",IFERROR(_xlfn.XLOOKUP(D460,SyncCodex!L:L,SyncCodex!M:M),""))</f>
        <v/>
      </c>
      <c r="F460" s="8" t="b">
        <v>0</v>
      </c>
      <c r="G460" s="8" t="b">
        <v>0</v>
      </c>
    </row>
    <row r="461">
      <c r="A461" s="38"/>
      <c r="B461" s="8"/>
      <c r="D461" s="8"/>
      <c r="E461" s="58" t="str">
        <f t="array" ref="E461">IF(D461="","",IFERROR(_xlfn.XLOOKUP(D461,SyncCodex!L:L,SyncCodex!M:M),""))</f>
        <v/>
      </c>
      <c r="F461" s="8" t="b">
        <v>0</v>
      </c>
      <c r="G461" s="8" t="b">
        <v>0</v>
      </c>
    </row>
    <row r="462">
      <c r="A462" s="38"/>
      <c r="B462" s="8"/>
      <c r="D462" s="8"/>
      <c r="E462" s="58" t="str">
        <f t="array" ref="E462">IF(D462="","",IFERROR(_xlfn.XLOOKUP(D462,SyncCodex!L:L,SyncCodex!M:M),""))</f>
        <v/>
      </c>
      <c r="F462" s="8" t="b">
        <v>0</v>
      </c>
      <c r="G462" s="8" t="b">
        <v>0</v>
      </c>
    </row>
    <row r="463">
      <c r="A463" s="38"/>
      <c r="B463" s="8"/>
      <c r="D463" s="8"/>
      <c r="E463" s="58" t="str">
        <f t="array" ref="E463">IF(D463="","",IFERROR(_xlfn.XLOOKUP(D463,SyncCodex!L:L,SyncCodex!M:M),""))</f>
        <v/>
      </c>
      <c r="F463" s="8" t="b">
        <v>0</v>
      </c>
      <c r="G463" s="8" t="b">
        <v>0</v>
      </c>
    </row>
    <row r="464">
      <c r="A464" s="38"/>
      <c r="B464" s="8"/>
      <c r="D464" s="8"/>
      <c r="E464" s="58" t="str">
        <f t="array" ref="E464">IF(D464="","",IFERROR(_xlfn.XLOOKUP(D464,SyncCodex!L:L,SyncCodex!M:M),""))</f>
        <v/>
      </c>
      <c r="F464" s="8" t="b">
        <v>0</v>
      </c>
      <c r="G464" s="8" t="b">
        <v>0</v>
      </c>
    </row>
    <row r="465">
      <c r="A465" s="38"/>
      <c r="B465" s="8"/>
      <c r="D465" s="8"/>
      <c r="E465" s="58" t="str">
        <f t="array" ref="E465">IF(D465="","",IFERROR(_xlfn.XLOOKUP(D465,SyncCodex!L:L,SyncCodex!M:M),""))</f>
        <v/>
      </c>
      <c r="F465" s="8" t="b">
        <v>0</v>
      </c>
      <c r="G465" s="8" t="b">
        <v>0</v>
      </c>
    </row>
    <row r="466">
      <c r="A466" s="38"/>
      <c r="B466" s="8"/>
      <c r="D466" s="8"/>
      <c r="E466" s="58" t="str">
        <f t="array" ref="E466">IF(D466="","",IFERROR(_xlfn.XLOOKUP(D466,SyncCodex!L:L,SyncCodex!M:M),""))</f>
        <v/>
      </c>
      <c r="F466" s="8" t="b">
        <v>0</v>
      </c>
      <c r="G466" s="8" t="b">
        <v>0</v>
      </c>
    </row>
    <row r="467">
      <c r="A467" s="38"/>
      <c r="B467" s="8"/>
      <c r="D467" s="8"/>
      <c r="E467" s="58" t="str">
        <f t="array" ref="E467">IF(D467="","",IFERROR(_xlfn.XLOOKUP(D467,SyncCodex!L:L,SyncCodex!M:M),""))</f>
        <v/>
      </c>
      <c r="F467" s="8" t="b">
        <v>0</v>
      </c>
      <c r="G467" s="8" t="b">
        <v>0</v>
      </c>
    </row>
    <row r="468">
      <c r="A468" s="38"/>
      <c r="B468" s="8"/>
      <c r="D468" s="8"/>
      <c r="E468" s="58" t="str">
        <f t="array" ref="E468">IF(D468="","",IFERROR(_xlfn.XLOOKUP(D468,SyncCodex!L:L,SyncCodex!M:M),""))</f>
        <v/>
      </c>
      <c r="F468" s="8" t="b">
        <v>0</v>
      </c>
      <c r="G468" s="8" t="b">
        <v>0</v>
      </c>
    </row>
    <row r="469">
      <c r="A469" s="38"/>
      <c r="B469" s="8"/>
      <c r="D469" s="8"/>
      <c r="E469" s="58" t="str">
        <f t="array" ref="E469">IF(D469="","",IFERROR(_xlfn.XLOOKUP(D469,SyncCodex!L:L,SyncCodex!M:M),""))</f>
        <v/>
      </c>
      <c r="F469" s="8" t="b">
        <v>0</v>
      </c>
      <c r="G469" s="8" t="b">
        <v>0</v>
      </c>
    </row>
    <row r="470">
      <c r="A470" s="38"/>
      <c r="B470" s="8"/>
      <c r="D470" s="8"/>
      <c r="E470" s="58" t="str">
        <f t="array" ref="E470">IF(D470="","",IFERROR(_xlfn.XLOOKUP(D470,SyncCodex!L:L,SyncCodex!M:M),""))</f>
        <v/>
      </c>
      <c r="F470" s="8" t="b">
        <v>0</v>
      </c>
      <c r="G470" s="8" t="b">
        <v>0</v>
      </c>
    </row>
    <row r="471">
      <c r="A471" s="38"/>
      <c r="B471" s="8"/>
      <c r="D471" s="8"/>
      <c r="E471" s="58" t="str">
        <f t="array" ref="E471">IF(D471="","",IFERROR(_xlfn.XLOOKUP(D471,SyncCodex!L:L,SyncCodex!M:M),""))</f>
        <v/>
      </c>
      <c r="F471" s="8" t="b">
        <v>0</v>
      </c>
      <c r="G471" s="8" t="b">
        <v>0</v>
      </c>
    </row>
    <row r="472">
      <c r="A472" s="38"/>
      <c r="B472" s="8"/>
      <c r="D472" s="8"/>
      <c r="E472" s="58" t="str">
        <f t="array" ref="E472">IF(D472="","",IFERROR(_xlfn.XLOOKUP(D472,SyncCodex!L:L,SyncCodex!M:M),""))</f>
        <v/>
      </c>
      <c r="F472" s="8" t="b">
        <v>0</v>
      </c>
      <c r="G472" s="8" t="b">
        <v>0</v>
      </c>
    </row>
    <row r="473">
      <c r="A473" s="38"/>
      <c r="B473" s="8"/>
      <c r="D473" s="8"/>
      <c r="E473" s="58" t="str">
        <f t="array" ref="E473">IF(D473="","",IFERROR(_xlfn.XLOOKUP(D473,SyncCodex!L:L,SyncCodex!M:M),""))</f>
        <v/>
      </c>
      <c r="F473" s="8" t="b">
        <v>0</v>
      </c>
      <c r="G473" s="8" t="b">
        <v>0</v>
      </c>
    </row>
    <row r="474">
      <c r="A474" s="38"/>
      <c r="B474" s="8"/>
      <c r="D474" s="8"/>
      <c r="E474" s="58" t="str">
        <f t="array" ref="E474">IF(D474="","",IFERROR(_xlfn.XLOOKUP(D474,SyncCodex!L:L,SyncCodex!M:M),""))</f>
        <v/>
      </c>
      <c r="F474" s="8" t="b">
        <v>0</v>
      </c>
      <c r="G474" s="8" t="b">
        <v>0</v>
      </c>
    </row>
    <row r="475">
      <c r="A475" s="38"/>
      <c r="B475" s="8"/>
      <c r="D475" s="8"/>
      <c r="E475" s="58" t="str">
        <f t="array" ref="E475">IF(D475="","",IFERROR(_xlfn.XLOOKUP(D475,SyncCodex!L:L,SyncCodex!M:M),""))</f>
        <v/>
      </c>
      <c r="F475" s="8" t="b">
        <v>0</v>
      </c>
      <c r="G475" s="8" t="b">
        <v>0</v>
      </c>
    </row>
    <row r="476">
      <c r="A476" s="38"/>
      <c r="B476" s="8"/>
      <c r="D476" s="8"/>
      <c r="E476" s="58" t="str">
        <f t="array" ref="E476">IF(D476="","",IFERROR(_xlfn.XLOOKUP(D476,SyncCodex!L:L,SyncCodex!M:M),""))</f>
        <v/>
      </c>
      <c r="F476" s="8" t="b">
        <v>0</v>
      </c>
      <c r="G476" s="8" t="b">
        <v>0</v>
      </c>
    </row>
    <row r="477">
      <c r="A477" s="38"/>
      <c r="B477" s="8"/>
      <c r="D477" s="8"/>
      <c r="E477" s="58" t="str">
        <f t="array" ref="E477">IF(D477="","",IFERROR(_xlfn.XLOOKUP(D477,SyncCodex!L:L,SyncCodex!M:M),""))</f>
        <v/>
      </c>
      <c r="F477" s="8" t="b">
        <v>0</v>
      </c>
      <c r="G477" s="8" t="b">
        <v>0</v>
      </c>
    </row>
    <row r="478">
      <c r="A478" s="38"/>
      <c r="B478" s="8"/>
      <c r="D478" s="8"/>
      <c r="E478" s="58" t="str">
        <f t="array" ref="E478">IF(D478="","",IFERROR(_xlfn.XLOOKUP(D478,SyncCodex!L:L,SyncCodex!M:M),""))</f>
        <v/>
      </c>
      <c r="F478" s="8" t="b">
        <v>0</v>
      </c>
      <c r="G478" s="8" t="b">
        <v>0</v>
      </c>
    </row>
    <row r="479">
      <c r="A479" s="38"/>
      <c r="B479" s="8"/>
      <c r="D479" s="8"/>
      <c r="E479" s="58" t="str">
        <f t="array" ref="E479">IF(D479="","",IFERROR(_xlfn.XLOOKUP(D479,SyncCodex!L:L,SyncCodex!M:M),""))</f>
        <v/>
      </c>
      <c r="F479" s="8" t="b">
        <v>0</v>
      </c>
      <c r="G479" s="8" t="b">
        <v>0</v>
      </c>
    </row>
    <row r="480">
      <c r="A480" s="38"/>
      <c r="B480" s="8"/>
      <c r="D480" s="8"/>
      <c r="E480" s="58" t="str">
        <f t="array" ref="E480">IF(D480="","",IFERROR(_xlfn.XLOOKUP(D480,SyncCodex!L:L,SyncCodex!M:M),""))</f>
        <v/>
      </c>
      <c r="F480" s="8" t="b">
        <v>0</v>
      </c>
      <c r="G480" s="8" t="b">
        <v>0</v>
      </c>
    </row>
    <row r="481">
      <c r="A481" s="38"/>
      <c r="B481" s="8"/>
      <c r="D481" s="8"/>
      <c r="E481" s="58" t="str">
        <f t="array" ref="E481">IF(D481="","",IFERROR(_xlfn.XLOOKUP(D481,SyncCodex!L:L,SyncCodex!M:M),""))</f>
        <v/>
      </c>
      <c r="F481" s="8" t="b">
        <v>0</v>
      </c>
      <c r="G481" s="8" t="b">
        <v>0</v>
      </c>
    </row>
    <row r="482">
      <c r="A482" s="38"/>
      <c r="B482" s="8"/>
      <c r="D482" s="8"/>
      <c r="E482" s="58" t="str">
        <f t="array" ref="E482">IF(D482="","",IFERROR(_xlfn.XLOOKUP(D482,SyncCodex!L:L,SyncCodex!M:M),""))</f>
        <v/>
      </c>
      <c r="F482" s="8" t="b">
        <v>0</v>
      </c>
      <c r="G482" s="8" t="b">
        <v>0</v>
      </c>
    </row>
    <row r="483">
      <c r="A483" s="38"/>
      <c r="B483" s="8"/>
      <c r="D483" s="8"/>
      <c r="E483" s="58" t="str">
        <f t="array" ref="E483">IF(D483="","",IFERROR(_xlfn.XLOOKUP(D483,SyncCodex!L:L,SyncCodex!M:M),""))</f>
        <v/>
      </c>
      <c r="F483" s="8" t="b">
        <v>0</v>
      </c>
      <c r="G483" s="8" t="b">
        <v>0</v>
      </c>
    </row>
    <row r="484">
      <c r="A484" s="38"/>
      <c r="B484" s="8"/>
      <c r="D484" s="8"/>
      <c r="E484" s="58" t="str">
        <f t="array" ref="E484">IF(D484="","",IFERROR(_xlfn.XLOOKUP(D484,SyncCodex!L:L,SyncCodex!M:M),""))</f>
        <v/>
      </c>
      <c r="F484" s="8" t="b">
        <v>0</v>
      </c>
      <c r="G484" s="8" t="b">
        <v>0</v>
      </c>
    </row>
    <row r="485">
      <c r="A485" s="38"/>
      <c r="B485" s="8"/>
      <c r="D485" s="8"/>
      <c r="E485" s="58" t="str">
        <f t="array" ref="E485">IF(D485="","",IFERROR(_xlfn.XLOOKUP(D485,SyncCodex!L:L,SyncCodex!M:M),""))</f>
        <v/>
      </c>
      <c r="F485" s="8" t="b">
        <v>0</v>
      </c>
      <c r="G485" s="8" t="b">
        <v>0</v>
      </c>
    </row>
    <row r="486">
      <c r="A486" s="38"/>
      <c r="B486" s="8"/>
      <c r="D486" s="8"/>
      <c r="E486" s="58" t="str">
        <f t="array" ref="E486">IF(D486="","",IFERROR(_xlfn.XLOOKUP(D486,SyncCodex!L:L,SyncCodex!M:M),""))</f>
        <v/>
      </c>
      <c r="F486" s="8" t="b">
        <v>0</v>
      </c>
      <c r="G486" s="8" t="b">
        <v>0</v>
      </c>
    </row>
    <row r="487">
      <c r="A487" s="38"/>
      <c r="B487" s="8"/>
      <c r="D487" s="8"/>
      <c r="E487" s="58" t="str">
        <f t="array" ref="E487">IF(D487="","",IFERROR(_xlfn.XLOOKUP(D487,SyncCodex!L:L,SyncCodex!M:M),""))</f>
        <v/>
      </c>
      <c r="F487" s="8" t="b">
        <v>0</v>
      </c>
      <c r="G487" s="8" t="b">
        <v>0</v>
      </c>
    </row>
    <row r="488">
      <c r="A488" s="38"/>
      <c r="B488" s="8"/>
      <c r="D488" s="8"/>
      <c r="E488" s="58" t="str">
        <f t="array" ref="E488">IF(D488="","",IFERROR(_xlfn.XLOOKUP(D488,SyncCodex!L:L,SyncCodex!M:M),""))</f>
        <v/>
      </c>
      <c r="F488" s="8" t="b">
        <v>0</v>
      </c>
      <c r="G488" s="8" t="b">
        <v>0</v>
      </c>
    </row>
    <row r="489">
      <c r="A489" s="38"/>
      <c r="B489" s="8"/>
      <c r="D489" s="8"/>
      <c r="E489" s="58" t="str">
        <f t="array" ref="E489">IF(D489="","",IFERROR(_xlfn.XLOOKUP(D489,SyncCodex!L:L,SyncCodex!M:M),""))</f>
        <v/>
      </c>
      <c r="F489" s="8" t="b">
        <v>0</v>
      </c>
      <c r="G489" s="8" t="b">
        <v>0</v>
      </c>
    </row>
    <row r="490">
      <c r="A490" s="38"/>
      <c r="B490" s="8"/>
      <c r="D490" s="8"/>
      <c r="E490" s="58" t="str">
        <f t="array" ref="E490">IF(D490="","",IFERROR(_xlfn.XLOOKUP(D490,SyncCodex!L:L,SyncCodex!M:M),""))</f>
        <v/>
      </c>
      <c r="F490" s="8" t="b">
        <v>0</v>
      </c>
      <c r="G490" s="8" t="b">
        <v>0</v>
      </c>
    </row>
    <row r="491">
      <c r="A491" s="38"/>
      <c r="B491" s="8"/>
      <c r="D491" s="8"/>
      <c r="E491" s="58" t="str">
        <f t="array" ref="E491">IF(D491="","",IFERROR(_xlfn.XLOOKUP(D491,SyncCodex!L:L,SyncCodex!M:M),""))</f>
        <v/>
      </c>
      <c r="F491" s="8" t="b">
        <v>0</v>
      </c>
      <c r="G491" s="8" t="b">
        <v>0</v>
      </c>
    </row>
    <row r="492">
      <c r="A492" s="38"/>
      <c r="B492" s="8"/>
      <c r="D492" s="8"/>
      <c r="E492" s="58" t="str">
        <f t="array" ref="E492">IF(D492="","",IFERROR(_xlfn.XLOOKUP(D492,SyncCodex!L:L,SyncCodex!M:M),""))</f>
        <v/>
      </c>
      <c r="F492" s="8" t="b">
        <v>0</v>
      </c>
      <c r="G492" s="8" t="b">
        <v>0</v>
      </c>
    </row>
    <row r="493">
      <c r="A493" s="38"/>
      <c r="B493" s="8"/>
      <c r="D493" s="8"/>
      <c r="E493" s="58" t="str">
        <f t="array" ref="E493">IF(D493="","",IFERROR(_xlfn.XLOOKUP(D493,SyncCodex!L:L,SyncCodex!M:M),""))</f>
        <v/>
      </c>
      <c r="F493" s="8" t="b">
        <v>0</v>
      </c>
      <c r="G493" s="8" t="b">
        <v>0</v>
      </c>
    </row>
    <row r="494">
      <c r="A494" s="38"/>
      <c r="B494" s="8"/>
      <c r="D494" s="8"/>
      <c r="E494" s="58" t="str">
        <f t="array" ref="E494">IF(D494="","",IFERROR(_xlfn.XLOOKUP(D494,SyncCodex!L:L,SyncCodex!M:M),""))</f>
        <v/>
      </c>
      <c r="F494" s="8" t="b">
        <v>0</v>
      </c>
      <c r="G494" s="8" t="b">
        <v>0</v>
      </c>
    </row>
    <row r="495">
      <c r="A495" s="38"/>
      <c r="B495" s="8"/>
      <c r="D495" s="8"/>
      <c r="E495" s="58" t="str">
        <f t="array" ref="E495">IF(D495="","",IFERROR(_xlfn.XLOOKUP(D495,SyncCodex!L:L,SyncCodex!M:M),""))</f>
        <v/>
      </c>
      <c r="F495" s="8" t="b">
        <v>0</v>
      </c>
      <c r="G495" s="8" t="b">
        <v>0</v>
      </c>
    </row>
    <row r="496">
      <c r="A496" s="38"/>
      <c r="B496" s="8"/>
      <c r="D496" s="8"/>
      <c r="E496" s="58" t="str">
        <f t="array" ref="E496">IF(D496="","",IFERROR(_xlfn.XLOOKUP(D496,SyncCodex!L:L,SyncCodex!M:M),""))</f>
        <v/>
      </c>
      <c r="F496" s="8" t="b">
        <v>0</v>
      </c>
      <c r="G496" s="8" t="b">
        <v>0</v>
      </c>
    </row>
    <row r="497">
      <c r="A497" s="38"/>
      <c r="B497" s="8"/>
      <c r="D497" s="8"/>
      <c r="E497" s="58" t="str">
        <f t="array" ref="E497">IF(D497="","",IFERROR(_xlfn.XLOOKUP(D497,SyncCodex!L:L,SyncCodex!M:M),""))</f>
        <v/>
      </c>
      <c r="F497" s="8" t="b">
        <v>0</v>
      </c>
      <c r="G497" s="8" t="b">
        <v>0</v>
      </c>
    </row>
    <row r="498">
      <c r="A498" s="38"/>
      <c r="B498" s="8"/>
      <c r="D498" s="8"/>
      <c r="E498" s="58" t="str">
        <f t="array" ref="E498">IF(D498="","",IFERROR(_xlfn.XLOOKUP(D498,SyncCodex!L:L,SyncCodex!M:M),""))</f>
        <v/>
      </c>
      <c r="F498" s="8" t="b">
        <v>0</v>
      </c>
      <c r="G498" s="8" t="b">
        <v>0</v>
      </c>
    </row>
    <row r="499">
      <c r="A499" s="38"/>
      <c r="B499" s="8"/>
      <c r="D499" s="8"/>
      <c r="E499" s="58" t="str">
        <f t="array" ref="E499">IF(D499="","",IFERROR(_xlfn.XLOOKUP(D499,SyncCodex!L:L,SyncCodex!M:M),""))</f>
        <v/>
      </c>
      <c r="F499" s="8" t="b">
        <v>0</v>
      </c>
      <c r="G499" s="8" t="b">
        <v>0</v>
      </c>
    </row>
    <row r="500">
      <c r="A500" s="38"/>
      <c r="B500" s="8"/>
      <c r="D500" s="8"/>
      <c r="E500" s="58" t="str">
        <f t="array" ref="E500">IF(D500="","",IFERROR(_xlfn.XLOOKUP(D500,SyncCodex!L:L,SyncCodex!M:M),""))</f>
        <v/>
      </c>
      <c r="F500" s="8" t="b">
        <v>0</v>
      </c>
      <c r="G500" s="8" t="b">
        <v>0</v>
      </c>
    </row>
    <row r="501">
      <c r="A501" s="38"/>
      <c r="B501" s="8"/>
      <c r="D501" s="8"/>
      <c r="E501" s="58" t="str">
        <f t="array" ref="E501">IF(D501="","",IFERROR(_xlfn.XLOOKUP(D501,SyncCodex!L:L,SyncCodex!M:M),""))</f>
        <v/>
      </c>
      <c r="F501" s="8" t="b">
        <v>0</v>
      </c>
      <c r="G501" s="8" t="b">
        <v>0</v>
      </c>
    </row>
    <row r="502">
      <c r="A502" s="38"/>
      <c r="B502" s="8"/>
      <c r="D502" s="8"/>
      <c r="E502" s="58" t="str">
        <f t="array" ref="E502">IF(D502="","",IFERROR(_xlfn.XLOOKUP(D502,SyncCodex!L:L,SyncCodex!M:M),""))</f>
        <v/>
      </c>
      <c r="F502" s="8" t="b">
        <v>0</v>
      </c>
      <c r="G502" s="8" t="b">
        <v>0</v>
      </c>
    </row>
    <row r="503">
      <c r="A503" s="38"/>
      <c r="B503" s="8"/>
      <c r="D503" s="8"/>
      <c r="E503" s="58" t="str">
        <f t="array" ref="E503">IF(D503="","",IFERROR(_xlfn.XLOOKUP(D503,SyncCodex!L:L,SyncCodex!M:M),""))</f>
        <v/>
      </c>
      <c r="F503" s="8" t="b">
        <v>0</v>
      </c>
      <c r="G503" s="8" t="b">
        <v>0</v>
      </c>
    </row>
    <row r="504">
      <c r="A504" s="38"/>
      <c r="B504" s="8"/>
      <c r="D504" s="8"/>
      <c r="E504" s="58" t="str">
        <f t="array" ref="E504">IF(D504="","",IFERROR(_xlfn.XLOOKUP(D504,SyncCodex!L:L,SyncCodex!M:M),""))</f>
        <v/>
      </c>
      <c r="F504" s="8" t="b">
        <v>0</v>
      </c>
      <c r="G504" s="8" t="b">
        <v>0</v>
      </c>
    </row>
    <row r="505">
      <c r="A505" s="38"/>
      <c r="B505" s="8"/>
      <c r="D505" s="8"/>
      <c r="E505" s="58" t="str">
        <f t="array" ref="E505">IF(D505="","",IFERROR(_xlfn.XLOOKUP(D505,SyncCodex!L:L,SyncCodex!M:M),""))</f>
        <v/>
      </c>
      <c r="F505" s="8" t="b">
        <v>0</v>
      </c>
      <c r="G505" s="8" t="b">
        <v>0</v>
      </c>
    </row>
    <row r="506">
      <c r="A506" s="38"/>
      <c r="B506" s="8"/>
      <c r="D506" s="8"/>
      <c r="E506" s="58" t="str">
        <f t="array" ref="E506">IF(D506="","",IFERROR(_xlfn.XLOOKUP(D506,SyncCodex!L:L,SyncCodex!M:M),""))</f>
        <v/>
      </c>
      <c r="F506" s="8" t="b">
        <v>0</v>
      </c>
      <c r="G506" s="8" t="b">
        <v>0</v>
      </c>
    </row>
    <row r="507">
      <c r="A507" s="38"/>
      <c r="B507" s="8"/>
      <c r="D507" s="8"/>
      <c r="E507" s="58" t="str">
        <f t="array" ref="E507">IF(D507="","",IFERROR(_xlfn.XLOOKUP(D507,SyncCodex!L:L,SyncCodex!M:M),""))</f>
        <v/>
      </c>
      <c r="F507" s="8" t="b">
        <v>0</v>
      </c>
      <c r="G507" s="8" t="b">
        <v>0</v>
      </c>
    </row>
    <row r="508">
      <c r="A508" s="38"/>
      <c r="B508" s="8"/>
      <c r="D508" s="8"/>
      <c r="E508" s="58" t="str">
        <f t="array" ref="E508">IF(D508="","",IFERROR(_xlfn.XLOOKUP(D508,SyncCodex!L:L,SyncCodex!M:M),""))</f>
        <v/>
      </c>
      <c r="F508" s="8" t="b">
        <v>0</v>
      </c>
      <c r="G508" s="8" t="b">
        <v>0</v>
      </c>
    </row>
    <row r="509">
      <c r="A509" s="38"/>
      <c r="B509" s="8"/>
      <c r="D509" s="8"/>
      <c r="E509" s="58" t="str">
        <f t="array" ref="E509">IF(D509="","",IFERROR(_xlfn.XLOOKUP(D509,SyncCodex!L:L,SyncCodex!M:M),""))</f>
        <v/>
      </c>
      <c r="F509" s="8" t="b">
        <v>0</v>
      </c>
      <c r="G509" s="8" t="b">
        <v>0</v>
      </c>
    </row>
    <row r="510">
      <c r="A510" s="38"/>
      <c r="B510" s="8"/>
      <c r="D510" s="8"/>
      <c r="E510" s="58" t="str">
        <f t="array" ref="E510">IF(D510="","",IFERROR(_xlfn.XLOOKUP(D510,SyncCodex!L:L,SyncCodex!M:M),""))</f>
        <v/>
      </c>
      <c r="F510" s="8" t="b">
        <v>0</v>
      </c>
      <c r="G510" s="8" t="b">
        <v>0</v>
      </c>
    </row>
    <row r="511">
      <c r="A511" s="38"/>
      <c r="B511" s="8"/>
      <c r="D511" s="8"/>
      <c r="E511" s="58" t="str">
        <f t="array" ref="E511">IF(D511="","",IFERROR(_xlfn.XLOOKUP(D511,SyncCodex!L:L,SyncCodex!M:M),""))</f>
        <v/>
      </c>
      <c r="F511" s="8" t="b">
        <v>0</v>
      </c>
      <c r="G511" s="8" t="b">
        <v>0</v>
      </c>
    </row>
    <row r="512">
      <c r="A512" s="38"/>
      <c r="B512" s="8"/>
      <c r="D512" s="8"/>
      <c r="E512" s="58" t="str">
        <f t="array" ref="E512">IF(D512="","",IFERROR(_xlfn.XLOOKUP(D512,SyncCodex!L:L,SyncCodex!M:M),""))</f>
        <v/>
      </c>
      <c r="F512" s="8" t="b">
        <v>0</v>
      </c>
      <c r="G512" s="8" t="b">
        <v>0</v>
      </c>
    </row>
    <row r="513">
      <c r="A513" s="38"/>
      <c r="B513" s="8"/>
      <c r="D513" s="8"/>
      <c r="E513" s="58" t="str">
        <f t="array" ref="E513">IF(D513="","",IFERROR(_xlfn.XLOOKUP(D513,SyncCodex!L:L,SyncCodex!M:M),""))</f>
        <v/>
      </c>
      <c r="F513" s="8" t="b">
        <v>0</v>
      </c>
      <c r="G513" s="8" t="b">
        <v>0</v>
      </c>
    </row>
    <row r="514">
      <c r="A514" s="38"/>
      <c r="B514" s="8"/>
      <c r="D514" s="8"/>
      <c r="E514" s="58" t="str">
        <f t="array" ref="E514">IF(D514="","",IFERROR(_xlfn.XLOOKUP(D514,SyncCodex!L:L,SyncCodex!M:M),""))</f>
        <v/>
      </c>
      <c r="F514" s="8" t="b">
        <v>0</v>
      </c>
      <c r="G514" s="8" t="b">
        <v>0</v>
      </c>
    </row>
    <row r="515">
      <c r="A515" s="38"/>
      <c r="B515" s="8"/>
      <c r="D515" s="8"/>
      <c r="E515" s="58" t="str">
        <f t="array" ref="E515">IF(D515="","",IFERROR(_xlfn.XLOOKUP(D515,SyncCodex!L:L,SyncCodex!M:M),""))</f>
        <v/>
      </c>
      <c r="F515" s="8" t="b">
        <v>0</v>
      </c>
      <c r="G515" s="8" t="b">
        <v>0</v>
      </c>
    </row>
    <row r="516">
      <c r="A516" s="38"/>
      <c r="B516" s="8"/>
      <c r="D516" s="8"/>
      <c r="E516" s="58" t="str">
        <f t="array" ref="E516">IF(D516="","",IFERROR(_xlfn.XLOOKUP(D516,SyncCodex!L:L,SyncCodex!M:M),""))</f>
        <v/>
      </c>
      <c r="F516" s="8" t="b">
        <v>0</v>
      </c>
      <c r="G516" s="8" t="b">
        <v>0</v>
      </c>
    </row>
    <row r="517">
      <c r="A517" s="38"/>
      <c r="B517" s="8"/>
      <c r="D517" s="8"/>
      <c r="E517" s="58" t="str">
        <f t="array" ref="E517">IF(D517="","",IFERROR(_xlfn.XLOOKUP(D517,SyncCodex!L:L,SyncCodex!M:M),""))</f>
        <v/>
      </c>
      <c r="F517" s="8" t="b">
        <v>0</v>
      </c>
      <c r="G517" s="8" t="b">
        <v>0</v>
      </c>
    </row>
    <row r="518">
      <c r="A518" s="38"/>
      <c r="B518" s="8"/>
      <c r="D518" s="8"/>
      <c r="E518" s="58" t="str">
        <f t="array" ref="E518">IF(D518="","",IFERROR(_xlfn.XLOOKUP(D518,SyncCodex!L:L,SyncCodex!M:M),""))</f>
        <v/>
      </c>
      <c r="F518" s="8" t="b">
        <v>0</v>
      </c>
      <c r="G518" s="8" t="b">
        <v>0</v>
      </c>
    </row>
    <row r="519">
      <c r="A519" s="38"/>
      <c r="B519" s="8"/>
      <c r="D519" s="8"/>
      <c r="E519" s="58" t="str">
        <f t="array" ref="E519">IF(D519="","",IFERROR(_xlfn.XLOOKUP(D519,SyncCodex!L:L,SyncCodex!M:M),""))</f>
        <v/>
      </c>
      <c r="F519" s="8" t="b">
        <v>0</v>
      </c>
      <c r="G519" s="8" t="b">
        <v>0</v>
      </c>
    </row>
    <row r="520">
      <c r="A520" s="38"/>
      <c r="B520" s="8"/>
      <c r="D520" s="8"/>
      <c r="E520" s="58" t="str">
        <f t="array" ref="E520">IF(D520="","",IFERROR(_xlfn.XLOOKUP(D520,SyncCodex!L:L,SyncCodex!M:M),""))</f>
        <v/>
      </c>
      <c r="F520" s="8" t="b">
        <v>0</v>
      </c>
      <c r="G520" s="8" t="b">
        <v>0</v>
      </c>
    </row>
    <row r="521">
      <c r="A521" s="38"/>
      <c r="B521" s="8"/>
      <c r="D521" s="8"/>
      <c r="E521" s="58" t="str">
        <f t="array" ref="E521">IF(D521="","",IFERROR(_xlfn.XLOOKUP(D521,SyncCodex!L:L,SyncCodex!M:M),""))</f>
        <v/>
      </c>
      <c r="F521" s="8" t="b">
        <v>0</v>
      </c>
      <c r="G521" s="8" t="b">
        <v>0</v>
      </c>
    </row>
    <row r="522">
      <c r="A522" s="38"/>
      <c r="B522" s="8"/>
      <c r="D522" s="8"/>
      <c r="E522" s="58" t="str">
        <f t="array" ref="E522">IF(D522="","",IFERROR(_xlfn.XLOOKUP(D522,SyncCodex!L:L,SyncCodex!M:M),""))</f>
        <v/>
      </c>
      <c r="F522" s="8" t="b">
        <v>0</v>
      </c>
      <c r="G522" s="8" t="b">
        <v>0</v>
      </c>
    </row>
    <row r="523">
      <c r="A523" s="38"/>
      <c r="B523" s="8"/>
      <c r="D523" s="8"/>
      <c r="E523" s="58" t="str">
        <f t="array" ref="E523">IF(D523="","",IFERROR(_xlfn.XLOOKUP(D523,SyncCodex!L:L,SyncCodex!M:M),""))</f>
        <v/>
      </c>
      <c r="F523" s="8" t="b">
        <v>0</v>
      </c>
      <c r="G523" s="8" t="b">
        <v>0</v>
      </c>
    </row>
    <row r="524">
      <c r="A524" s="38"/>
      <c r="B524" s="8"/>
      <c r="D524" s="8"/>
      <c r="E524" s="58" t="str">
        <f t="array" ref="E524">IF(D524="","",IFERROR(_xlfn.XLOOKUP(D524,SyncCodex!L:L,SyncCodex!M:M),""))</f>
        <v/>
      </c>
      <c r="F524" s="8" t="b">
        <v>0</v>
      </c>
      <c r="G524" s="8" t="b">
        <v>0</v>
      </c>
    </row>
    <row r="525">
      <c r="A525" s="38"/>
      <c r="B525" s="8"/>
      <c r="D525" s="8"/>
      <c r="E525" s="58" t="str">
        <f t="array" ref="E525">IF(D525="","",IFERROR(_xlfn.XLOOKUP(D525,SyncCodex!L:L,SyncCodex!M:M),""))</f>
        <v/>
      </c>
      <c r="F525" s="8" t="b">
        <v>0</v>
      </c>
      <c r="G525" s="8" t="b">
        <v>0</v>
      </c>
    </row>
    <row r="526">
      <c r="A526" s="38"/>
      <c r="B526" s="8"/>
      <c r="D526" s="8"/>
      <c r="E526" s="58" t="str">
        <f t="array" ref="E526">IF(D526="","",IFERROR(_xlfn.XLOOKUP(D526,SyncCodex!L:L,SyncCodex!M:M),""))</f>
        <v/>
      </c>
      <c r="F526" s="8" t="b">
        <v>0</v>
      </c>
      <c r="G526" s="8" t="b">
        <v>0</v>
      </c>
    </row>
    <row r="527">
      <c r="A527" s="38"/>
      <c r="B527" s="8"/>
      <c r="D527" s="8"/>
      <c r="E527" s="58" t="str">
        <f t="array" ref="E527">IF(D527="","",IFERROR(_xlfn.XLOOKUP(D527,SyncCodex!L:L,SyncCodex!M:M),""))</f>
        <v/>
      </c>
      <c r="F527" s="8" t="b">
        <v>0</v>
      </c>
      <c r="G527" s="8" t="b">
        <v>0</v>
      </c>
    </row>
    <row r="528">
      <c r="A528" s="38"/>
      <c r="B528" s="8"/>
      <c r="D528" s="8"/>
      <c r="E528" s="58" t="str">
        <f t="array" ref="E528">IF(D528="","",IFERROR(_xlfn.XLOOKUP(D528,SyncCodex!L:L,SyncCodex!M:M),""))</f>
        <v/>
      </c>
      <c r="F528" s="8" t="b">
        <v>0</v>
      </c>
      <c r="G528" s="8" t="b">
        <v>0</v>
      </c>
    </row>
    <row r="529">
      <c r="A529" s="38"/>
      <c r="B529" s="8"/>
      <c r="D529" s="8"/>
      <c r="E529" s="58" t="str">
        <f t="array" ref="E529">IF(D529="","",IFERROR(_xlfn.XLOOKUP(D529,SyncCodex!L:L,SyncCodex!M:M),""))</f>
        <v/>
      </c>
      <c r="F529" s="8" t="b">
        <v>0</v>
      </c>
      <c r="G529" s="8" t="b">
        <v>0</v>
      </c>
    </row>
    <row r="530">
      <c r="A530" s="38"/>
      <c r="B530" s="8"/>
      <c r="D530" s="8"/>
      <c r="E530" s="58" t="str">
        <f t="array" ref="E530">IF(D530="","",IFERROR(_xlfn.XLOOKUP(D530,SyncCodex!L:L,SyncCodex!M:M),""))</f>
        <v/>
      </c>
      <c r="F530" s="8" t="b">
        <v>0</v>
      </c>
      <c r="G530" s="8" t="b">
        <v>0</v>
      </c>
    </row>
    <row r="531">
      <c r="A531" s="38"/>
      <c r="B531" s="8"/>
      <c r="D531" s="8"/>
      <c r="E531" s="58" t="str">
        <f t="array" ref="E531">IF(D531="","",IFERROR(_xlfn.XLOOKUP(D531,SyncCodex!L:L,SyncCodex!M:M),""))</f>
        <v/>
      </c>
      <c r="F531" s="8" t="b">
        <v>0</v>
      </c>
      <c r="G531" s="8" t="b">
        <v>0</v>
      </c>
    </row>
    <row r="532">
      <c r="A532" s="38"/>
      <c r="B532" s="8"/>
      <c r="D532" s="8"/>
      <c r="E532" s="58" t="str">
        <f t="array" ref="E532">IF(D532="","",IFERROR(_xlfn.XLOOKUP(D532,SyncCodex!L:L,SyncCodex!M:M),""))</f>
        <v/>
      </c>
      <c r="F532" s="8" t="b">
        <v>0</v>
      </c>
      <c r="G532" s="8" t="b">
        <v>0</v>
      </c>
    </row>
    <row r="533">
      <c r="A533" s="38"/>
      <c r="B533" s="8"/>
      <c r="D533" s="8"/>
      <c r="E533" s="58" t="str">
        <f t="array" ref="E533">IF(D533="","",IFERROR(_xlfn.XLOOKUP(D533,SyncCodex!L:L,SyncCodex!M:M),""))</f>
        <v/>
      </c>
      <c r="F533" s="8" t="b">
        <v>0</v>
      </c>
      <c r="G533" s="8" t="b">
        <v>0</v>
      </c>
    </row>
    <row r="534">
      <c r="A534" s="38"/>
      <c r="B534" s="8"/>
      <c r="D534" s="8"/>
      <c r="E534" s="58" t="str">
        <f t="array" ref="E534">IF(D534="","",IFERROR(_xlfn.XLOOKUP(D534,SyncCodex!L:L,SyncCodex!M:M),""))</f>
        <v/>
      </c>
      <c r="F534" s="8" t="b">
        <v>0</v>
      </c>
      <c r="G534" s="8" t="b">
        <v>0</v>
      </c>
    </row>
    <row r="535">
      <c r="A535" s="38"/>
      <c r="B535" s="8"/>
      <c r="D535" s="8"/>
      <c r="E535" s="58" t="str">
        <f t="array" ref="E535">IF(D535="","",IFERROR(_xlfn.XLOOKUP(D535,SyncCodex!L:L,SyncCodex!M:M),""))</f>
        <v/>
      </c>
      <c r="F535" s="8" t="b">
        <v>0</v>
      </c>
      <c r="G535" s="8" t="b">
        <v>0</v>
      </c>
    </row>
    <row r="536">
      <c r="A536" s="38"/>
      <c r="B536" s="8"/>
      <c r="D536" s="8"/>
      <c r="E536" s="58" t="str">
        <f t="array" ref="E536">IF(D536="","",IFERROR(_xlfn.XLOOKUP(D536,SyncCodex!L:L,SyncCodex!M:M),""))</f>
        <v/>
      </c>
      <c r="F536" s="8" t="b">
        <v>0</v>
      </c>
      <c r="G536" s="8" t="b">
        <v>0</v>
      </c>
    </row>
    <row r="537">
      <c r="A537" s="38"/>
      <c r="B537" s="8"/>
      <c r="D537" s="8"/>
      <c r="E537" s="58" t="str">
        <f t="array" ref="E537">IF(D537="","",IFERROR(_xlfn.XLOOKUP(D537,SyncCodex!L:L,SyncCodex!M:M),""))</f>
        <v/>
      </c>
      <c r="F537" s="8" t="b">
        <v>0</v>
      </c>
      <c r="G537" s="8" t="b">
        <v>0</v>
      </c>
    </row>
    <row r="538">
      <c r="A538" s="38"/>
      <c r="B538" s="8"/>
      <c r="D538" s="8"/>
      <c r="E538" s="58" t="str">
        <f t="array" ref="E538">IF(D538="","",IFERROR(_xlfn.XLOOKUP(D538,SyncCodex!L:L,SyncCodex!M:M),""))</f>
        <v/>
      </c>
      <c r="F538" s="8" t="b">
        <v>0</v>
      </c>
      <c r="G538" s="8" t="b">
        <v>0</v>
      </c>
    </row>
    <row r="539">
      <c r="A539" s="38"/>
      <c r="B539" s="8"/>
      <c r="D539" s="8"/>
      <c r="E539" s="58" t="str">
        <f t="array" ref="E539">IF(D539="","",IFERROR(_xlfn.XLOOKUP(D539,SyncCodex!L:L,SyncCodex!M:M),""))</f>
        <v/>
      </c>
      <c r="F539" s="8" t="b">
        <v>0</v>
      </c>
      <c r="G539" s="8" t="b">
        <v>0</v>
      </c>
    </row>
    <row r="540">
      <c r="A540" s="38"/>
      <c r="B540" s="8"/>
      <c r="D540" s="8"/>
      <c r="E540" s="58" t="str">
        <f t="array" ref="E540">IF(D540="","",IFERROR(_xlfn.XLOOKUP(D540,SyncCodex!L:L,SyncCodex!M:M),""))</f>
        <v/>
      </c>
      <c r="F540" s="8" t="b">
        <v>0</v>
      </c>
      <c r="G540" s="8" t="b">
        <v>0</v>
      </c>
    </row>
    <row r="541">
      <c r="A541" s="38"/>
      <c r="B541" s="8"/>
      <c r="D541" s="8"/>
      <c r="E541" s="58" t="str">
        <f t="array" ref="E541">IF(D541="","",IFERROR(_xlfn.XLOOKUP(D541,SyncCodex!L:L,SyncCodex!M:M),""))</f>
        <v/>
      </c>
      <c r="F541" s="8" t="b">
        <v>0</v>
      </c>
      <c r="G541" s="8" t="b">
        <v>0</v>
      </c>
    </row>
    <row r="542">
      <c r="A542" s="38"/>
      <c r="B542" s="8"/>
      <c r="D542" s="8"/>
      <c r="E542" s="58" t="str">
        <f t="array" ref="E542">IF(D542="","",IFERROR(_xlfn.XLOOKUP(D542,SyncCodex!L:L,SyncCodex!M:M),""))</f>
        <v/>
      </c>
      <c r="F542" s="8" t="b">
        <v>0</v>
      </c>
      <c r="G542" s="8" t="b">
        <v>0</v>
      </c>
    </row>
    <row r="543">
      <c r="A543" s="38"/>
      <c r="B543" s="8"/>
      <c r="D543" s="8"/>
      <c r="E543" s="58" t="str">
        <f t="array" ref="E543">IF(D543="","",IFERROR(_xlfn.XLOOKUP(D543,SyncCodex!L:L,SyncCodex!M:M),""))</f>
        <v/>
      </c>
      <c r="F543" s="8" t="b">
        <v>0</v>
      </c>
      <c r="G543" s="8" t="b">
        <v>0</v>
      </c>
    </row>
    <row r="544">
      <c r="A544" s="38"/>
      <c r="B544" s="8"/>
      <c r="D544" s="8"/>
      <c r="E544" s="58" t="str">
        <f t="array" ref="E544">IF(D544="","",IFERROR(_xlfn.XLOOKUP(D544,SyncCodex!L:L,SyncCodex!M:M),""))</f>
        <v/>
      </c>
      <c r="F544" s="8" t="b">
        <v>0</v>
      </c>
      <c r="G544" s="8" t="b">
        <v>0</v>
      </c>
    </row>
    <row r="545">
      <c r="A545" s="38"/>
      <c r="B545" s="8"/>
      <c r="D545" s="8"/>
      <c r="E545" s="58" t="str">
        <f t="array" ref="E545">IF(D545="","",IFERROR(_xlfn.XLOOKUP(D545,SyncCodex!L:L,SyncCodex!M:M),""))</f>
        <v/>
      </c>
      <c r="F545" s="8" t="b">
        <v>0</v>
      </c>
      <c r="G545" s="8" t="b">
        <v>0</v>
      </c>
    </row>
    <row r="546">
      <c r="A546" s="38"/>
      <c r="B546" s="8"/>
      <c r="D546" s="8"/>
      <c r="E546" s="58" t="str">
        <f t="array" ref="E546">IF(D546="","",IFERROR(_xlfn.XLOOKUP(D546,SyncCodex!L:L,SyncCodex!M:M),""))</f>
        <v/>
      </c>
      <c r="F546" s="8" t="b">
        <v>0</v>
      </c>
      <c r="G546" s="8" t="b">
        <v>0</v>
      </c>
    </row>
    <row r="547">
      <c r="A547" s="38"/>
      <c r="B547" s="8"/>
      <c r="D547" s="8"/>
      <c r="E547" s="58" t="str">
        <f t="array" ref="E547">IF(D547="","",IFERROR(_xlfn.XLOOKUP(D547,SyncCodex!L:L,SyncCodex!M:M),""))</f>
        <v/>
      </c>
      <c r="F547" s="8" t="b">
        <v>0</v>
      </c>
      <c r="G547" s="8" t="b">
        <v>0</v>
      </c>
    </row>
    <row r="548">
      <c r="A548" s="38"/>
      <c r="B548" s="8"/>
      <c r="D548" s="8"/>
      <c r="E548" s="58" t="str">
        <f t="array" ref="E548">IF(D548="","",IFERROR(_xlfn.XLOOKUP(D548,SyncCodex!L:L,SyncCodex!M:M),""))</f>
        <v/>
      </c>
      <c r="F548" s="8" t="b">
        <v>0</v>
      </c>
      <c r="G548" s="8" t="b">
        <v>0</v>
      </c>
    </row>
    <row r="549">
      <c r="A549" s="38"/>
      <c r="B549" s="8"/>
      <c r="D549" s="8"/>
      <c r="E549" s="58" t="str">
        <f t="array" ref="E549">IF(D549="","",IFERROR(_xlfn.XLOOKUP(D549,SyncCodex!L:L,SyncCodex!M:M),""))</f>
        <v/>
      </c>
      <c r="F549" s="8" t="b">
        <v>0</v>
      </c>
      <c r="G549" s="8" t="b">
        <v>0</v>
      </c>
    </row>
    <row r="550">
      <c r="A550" s="38"/>
      <c r="B550" s="8"/>
      <c r="D550" s="8"/>
      <c r="E550" s="58" t="str">
        <f t="array" ref="E550">IF(D550="","",IFERROR(_xlfn.XLOOKUP(D550,SyncCodex!L:L,SyncCodex!M:M),""))</f>
        <v/>
      </c>
      <c r="F550" s="8" t="b">
        <v>0</v>
      </c>
      <c r="G550" s="8" t="b">
        <v>0</v>
      </c>
    </row>
    <row r="551">
      <c r="A551" s="38"/>
      <c r="B551" s="8"/>
      <c r="D551" s="8"/>
      <c r="E551" s="58" t="str">
        <f t="array" ref="E551">IF(D551="","",IFERROR(_xlfn.XLOOKUP(D551,SyncCodex!L:L,SyncCodex!M:M),""))</f>
        <v/>
      </c>
      <c r="F551" s="8" t="b">
        <v>0</v>
      </c>
      <c r="G551" s="8" t="b">
        <v>0</v>
      </c>
    </row>
    <row r="552">
      <c r="A552" s="38"/>
      <c r="B552" s="8"/>
      <c r="D552" s="8"/>
      <c r="E552" s="58" t="str">
        <f t="array" ref="E552">IF(D552="","",IFERROR(_xlfn.XLOOKUP(D552,SyncCodex!L:L,SyncCodex!M:M),""))</f>
        <v/>
      </c>
      <c r="F552" s="8" t="b">
        <v>0</v>
      </c>
      <c r="G552" s="8" t="b">
        <v>0</v>
      </c>
    </row>
    <row r="553">
      <c r="A553" s="38"/>
      <c r="B553" s="8"/>
      <c r="D553" s="8"/>
      <c r="E553" s="58" t="str">
        <f t="array" ref="E553">IF(D553="","",IFERROR(_xlfn.XLOOKUP(D553,SyncCodex!L:L,SyncCodex!M:M),""))</f>
        <v/>
      </c>
      <c r="F553" s="8" t="b">
        <v>0</v>
      </c>
      <c r="G553" s="8" t="b">
        <v>0</v>
      </c>
    </row>
    <row r="554">
      <c r="A554" s="38"/>
      <c r="B554" s="8"/>
      <c r="D554" s="8"/>
      <c r="E554" s="58" t="str">
        <f t="array" ref="E554">IF(D554="","",IFERROR(_xlfn.XLOOKUP(D554,SyncCodex!L:L,SyncCodex!M:M),""))</f>
        <v/>
      </c>
      <c r="F554" s="8" t="b">
        <v>0</v>
      </c>
      <c r="G554" s="8" t="b">
        <v>0</v>
      </c>
    </row>
    <row r="555">
      <c r="A555" s="38"/>
      <c r="B555" s="8"/>
      <c r="D555" s="8"/>
      <c r="E555" s="58" t="str">
        <f t="array" ref="E555">IF(D555="","",IFERROR(_xlfn.XLOOKUP(D555,SyncCodex!L:L,SyncCodex!M:M),""))</f>
        <v/>
      </c>
      <c r="F555" s="8" t="b">
        <v>0</v>
      </c>
      <c r="G555" s="8" t="b">
        <v>0</v>
      </c>
    </row>
    <row r="556">
      <c r="A556" s="38"/>
      <c r="B556" s="8"/>
      <c r="D556" s="8"/>
      <c r="E556" s="58" t="str">
        <f t="array" ref="E556">IF(D556="","",IFERROR(_xlfn.XLOOKUP(D556,SyncCodex!L:L,SyncCodex!M:M),""))</f>
        <v/>
      </c>
      <c r="F556" s="8" t="b">
        <v>0</v>
      </c>
      <c r="G556" s="8" t="b">
        <v>0</v>
      </c>
    </row>
    <row r="557">
      <c r="A557" s="38"/>
      <c r="B557" s="8"/>
      <c r="D557" s="8"/>
      <c r="E557" s="58" t="str">
        <f t="array" ref="E557">IF(D557="","",IFERROR(_xlfn.XLOOKUP(D557,SyncCodex!L:L,SyncCodex!M:M),""))</f>
        <v/>
      </c>
      <c r="F557" s="8" t="b">
        <v>0</v>
      </c>
      <c r="G557" s="8" t="b">
        <v>0</v>
      </c>
    </row>
    <row r="558">
      <c r="A558" s="38"/>
      <c r="B558" s="8"/>
      <c r="D558" s="8"/>
      <c r="E558" s="58" t="str">
        <f t="array" ref="E558">IF(D558="","",IFERROR(_xlfn.XLOOKUP(D558,SyncCodex!L:L,SyncCodex!M:M),""))</f>
        <v/>
      </c>
      <c r="F558" s="8" t="b">
        <v>0</v>
      </c>
      <c r="G558" s="8" t="b">
        <v>0</v>
      </c>
    </row>
    <row r="559">
      <c r="A559" s="38"/>
      <c r="B559" s="8"/>
      <c r="D559" s="8"/>
      <c r="E559" s="58" t="str">
        <f t="array" ref="E559">IF(D559="","",IFERROR(_xlfn.XLOOKUP(D559,SyncCodex!L:L,SyncCodex!M:M),""))</f>
        <v/>
      </c>
      <c r="F559" s="8" t="b">
        <v>0</v>
      </c>
      <c r="G559" s="8" t="b">
        <v>0</v>
      </c>
    </row>
    <row r="560">
      <c r="A560" s="38"/>
      <c r="B560" s="8"/>
      <c r="D560" s="8"/>
      <c r="E560" s="58" t="str">
        <f t="array" ref="E560">IF(D560="","",IFERROR(_xlfn.XLOOKUP(D560,SyncCodex!L:L,SyncCodex!M:M),""))</f>
        <v/>
      </c>
      <c r="F560" s="8" t="b">
        <v>0</v>
      </c>
      <c r="G560" s="8" t="b">
        <v>0</v>
      </c>
    </row>
    <row r="561">
      <c r="A561" s="38"/>
      <c r="B561" s="8"/>
      <c r="D561" s="8"/>
      <c r="E561" s="58" t="str">
        <f t="array" ref="E561">IF(D561="","",IFERROR(_xlfn.XLOOKUP(D561,SyncCodex!L:L,SyncCodex!M:M),""))</f>
        <v/>
      </c>
      <c r="F561" s="8" t="b">
        <v>0</v>
      </c>
      <c r="G561" s="8" t="b">
        <v>0</v>
      </c>
    </row>
    <row r="562">
      <c r="A562" s="38"/>
      <c r="B562" s="8"/>
      <c r="D562" s="8"/>
      <c r="E562" s="58" t="str">
        <f t="array" ref="E562">IF(D562="","",IFERROR(_xlfn.XLOOKUP(D562,SyncCodex!L:L,SyncCodex!M:M),""))</f>
        <v/>
      </c>
      <c r="F562" s="8" t="b">
        <v>0</v>
      </c>
      <c r="G562" s="8" t="b">
        <v>0</v>
      </c>
    </row>
    <row r="563">
      <c r="A563" s="38"/>
      <c r="B563" s="8"/>
      <c r="D563" s="8"/>
      <c r="E563" s="58" t="str">
        <f t="array" ref="E563">IF(D563="","",IFERROR(_xlfn.XLOOKUP(D563,SyncCodex!L:L,SyncCodex!M:M),""))</f>
        <v/>
      </c>
      <c r="F563" s="8" t="b">
        <v>0</v>
      </c>
      <c r="G563" s="8" t="b">
        <v>0</v>
      </c>
    </row>
    <row r="564">
      <c r="A564" s="38"/>
      <c r="B564" s="8"/>
      <c r="D564" s="8"/>
      <c r="E564" s="58" t="str">
        <f t="array" ref="E564">IF(D564="","",IFERROR(_xlfn.XLOOKUP(D564,SyncCodex!L:L,SyncCodex!M:M),""))</f>
        <v/>
      </c>
      <c r="F564" s="8" t="b">
        <v>0</v>
      </c>
      <c r="G564" s="8" t="b">
        <v>0</v>
      </c>
    </row>
    <row r="565">
      <c r="A565" s="38"/>
      <c r="B565" s="8"/>
      <c r="D565" s="8"/>
      <c r="E565" s="58" t="str">
        <f t="array" ref="E565">IF(D565="","",IFERROR(_xlfn.XLOOKUP(D565,SyncCodex!L:L,SyncCodex!M:M),""))</f>
        <v/>
      </c>
      <c r="F565" s="8" t="b">
        <v>0</v>
      </c>
      <c r="G565" s="8" t="b">
        <v>0</v>
      </c>
    </row>
    <row r="566">
      <c r="A566" s="38"/>
      <c r="B566" s="8"/>
      <c r="D566" s="8"/>
      <c r="E566" s="58" t="str">
        <f t="array" ref="E566">IF(D566="","",IFERROR(_xlfn.XLOOKUP(D566,SyncCodex!L:L,SyncCodex!M:M),""))</f>
        <v/>
      </c>
      <c r="F566" s="8" t="b">
        <v>0</v>
      </c>
      <c r="G566" s="8" t="b">
        <v>0</v>
      </c>
    </row>
    <row r="567">
      <c r="A567" s="38"/>
      <c r="B567" s="8"/>
      <c r="D567" s="8"/>
      <c r="E567" s="58" t="str">
        <f t="array" ref="E567">IF(D567="","",IFERROR(_xlfn.XLOOKUP(D567,SyncCodex!L:L,SyncCodex!M:M),""))</f>
        <v/>
      </c>
      <c r="F567" s="8" t="b">
        <v>0</v>
      </c>
      <c r="G567" s="8" t="b">
        <v>0</v>
      </c>
    </row>
    <row r="568">
      <c r="A568" s="38"/>
      <c r="B568" s="8"/>
      <c r="D568" s="8"/>
      <c r="E568" s="58" t="str">
        <f t="array" ref="E568">IF(D568="","",IFERROR(_xlfn.XLOOKUP(D568,SyncCodex!L:L,SyncCodex!M:M),""))</f>
        <v/>
      </c>
      <c r="F568" s="8" t="b">
        <v>0</v>
      </c>
      <c r="G568" s="8" t="b">
        <v>0</v>
      </c>
    </row>
    <row r="569">
      <c r="A569" s="38"/>
      <c r="B569" s="8"/>
      <c r="D569" s="8"/>
      <c r="E569" s="58" t="str">
        <f t="array" ref="E569">IF(D569="","",IFERROR(_xlfn.XLOOKUP(D569,SyncCodex!L:L,SyncCodex!M:M),""))</f>
        <v/>
      </c>
      <c r="F569" s="8" t="b">
        <v>0</v>
      </c>
      <c r="G569" s="8" t="b">
        <v>0</v>
      </c>
    </row>
    <row r="570">
      <c r="A570" s="38"/>
      <c r="B570" s="8"/>
      <c r="D570" s="8"/>
      <c r="E570" s="58" t="str">
        <f t="array" ref="E570">IF(D570="","",IFERROR(_xlfn.XLOOKUP(D570,SyncCodex!L:L,SyncCodex!M:M),""))</f>
        <v/>
      </c>
      <c r="F570" s="8" t="b">
        <v>0</v>
      </c>
      <c r="G570" s="8" t="b">
        <v>0</v>
      </c>
    </row>
    <row r="571">
      <c r="A571" s="38"/>
      <c r="B571" s="8"/>
      <c r="D571" s="8"/>
      <c r="E571" s="58" t="str">
        <f t="array" ref="E571">IF(D571="","",IFERROR(_xlfn.XLOOKUP(D571,SyncCodex!L:L,SyncCodex!M:M),""))</f>
        <v/>
      </c>
      <c r="F571" s="8" t="b">
        <v>0</v>
      </c>
      <c r="G571" s="8" t="b">
        <v>0</v>
      </c>
    </row>
    <row r="572">
      <c r="A572" s="38"/>
      <c r="B572" s="8"/>
      <c r="D572" s="8"/>
      <c r="E572" s="58" t="str">
        <f t="array" ref="E572">IF(D572="","",IFERROR(_xlfn.XLOOKUP(D572,SyncCodex!L:L,SyncCodex!M:M),""))</f>
        <v/>
      </c>
      <c r="F572" s="8" t="b">
        <v>0</v>
      </c>
      <c r="G572" s="8" t="b">
        <v>0</v>
      </c>
    </row>
    <row r="573">
      <c r="A573" s="38"/>
      <c r="B573" s="8"/>
      <c r="D573" s="8"/>
      <c r="E573" s="58" t="str">
        <f t="array" ref="E573">IF(D573="","",IFERROR(_xlfn.XLOOKUP(D573,SyncCodex!L:L,SyncCodex!M:M),""))</f>
        <v/>
      </c>
      <c r="F573" s="8" t="b">
        <v>0</v>
      </c>
      <c r="G573" s="8" t="b">
        <v>0</v>
      </c>
    </row>
    <row r="574">
      <c r="A574" s="38"/>
      <c r="B574" s="8"/>
      <c r="D574" s="8"/>
      <c r="E574" s="58" t="str">
        <f t="array" ref="E574">IF(D574="","",IFERROR(_xlfn.XLOOKUP(D574,SyncCodex!L:L,SyncCodex!M:M),""))</f>
        <v/>
      </c>
      <c r="F574" s="8" t="b">
        <v>0</v>
      </c>
      <c r="G574" s="8" t="b">
        <v>0</v>
      </c>
    </row>
    <row r="575">
      <c r="A575" s="38"/>
      <c r="B575" s="8"/>
      <c r="D575" s="8"/>
      <c r="E575" s="58" t="str">
        <f t="array" ref="E575">IF(D575="","",IFERROR(_xlfn.XLOOKUP(D575,SyncCodex!L:L,SyncCodex!M:M),""))</f>
        <v/>
      </c>
      <c r="F575" s="8" t="b">
        <v>0</v>
      </c>
      <c r="G575" s="8" t="b">
        <v>0</v>
      </c>
    </row>
    <row r="576">
      <c r="A576" s="38"/>
      <c r="B576" s="8"/>
      <c r="D576" s="8"/>
      <c r="E576" s="58" t="str">
        <f t="array" ref="E576">IF(D576="","",IFERROR(_xlfn.XLOOKUP(D576,SyncCodex!L:L,SyncCodex!M:M),""))</f>
        <v/>
      </c>
      <c r="F576" s="8" t="b">
        <v>0</v>
      </c>
      <c r="G576" s="8" t="b">
        <v>0</v>
      </c>
    </row>
    <row r="577">
      <c r="A577" s="38"/>
      <c r="B577" s="8"/>
      <c r="D577" s="8"/>
      <c r="E577" s="58" t="str">
        <f t="array" ref="E577">IF(D577="","",IFERROR(_xlfn.XLOOKUP(D577,SyncCodex!L:L,SyncCodex!M:M),""))</f>
        <v/>
      </c>
      <c r="F577" s="8" t="b">
        <v>0</v>
      </c>
      <c r="G577" s="8" t="b">
        <v>0</v>
      </c>
    </row>
    <row r="578">
      <c r="A578" s="38"/>
      <c r="B578" s="8"/>
      <c r="D578" s="8"/>
      <c r="E578" s="58" t="str">
        <f t="array" ref="E578">IF(D578="","",IFERROR(_xlfn.XLOOKUP(D578,SyncCodex!L:L,SyncCodex!M:M),""))</f>
        <v/>
      </c>
      <c r="F578" s="8" t="b">
        <v>0</v>
      </c>
      <c r="G578" s="8" t="b">
        <v>0</v>
      </c>
    </row>
    <row r="579">
      <c r="A579" s="38"/>
      <c r="B579" s="8"/>
      <c r="D579" s="8"/>
      <c r="E579" s="58" t="str">
        <f t="array" ref="E579">IF(D579="","",IFERROR(_xlfn.XLOOKUP(D579,SyncCodex!L:L,SyncCodex!M:M),""))</f>
        <v/>
      </c>
      <c r="F579" s="8" t="b">
        <v>0</v>
      </c>
      <c r="G579" s="8" t="b">
        <v>0</v>
      </c>
    </row>
    <row r="580">
      <c r="A580" s="38"/>
      <c r="B580" s="8"/>
      <c r="D580" s="8"/>
      <c r="E580" s="58" t="str">
        <f t="array" ref="E580">IF(D580="","",IFERROR(_xlfn.XLOOKUP(D580,SyncCodex!L:L,SyncCodex!M:M),""))</f>
        <v/>
      </c>
      <c r="F580" s="8" t="b">
        <v>0</v>
      </c>
      <c r="G580" s="8" t="b">
        <v>0</v>
      </c>
    </row>
    <row r="581">
      <c r="A581" s="38"/>
      <c r="B581" s="8"/>
      <c r="D581" s="8"/>
      <c r="E581" s="58" t="str">
        <f t="array" ref="E581">IF(D581="","",IFERROR(_xlfn.XLOOKUP(D581,SyncCodex!L:L,SyncCodex!M:M),""))</f>
        <v/>
      </c>
      <c r="F581" s="8" t="b">
        <v>0</v>
      </c>
      <c r="G581" s="8" t="b">
        <v>0</v>
      </c>
    </row>
    <row r="582">
      <c r="A582" s="38"/>
      <c r="B582" s="8"/>
      <c r="D582" s="8"/>
      <c r="E582" s="58" t="str">
        <f t="array" ref="E582">IF(D582="","",IFERROR(_xlfn.XLOOKUP(D582,SyncCodex!L:L,SyncCodex!M:M),""))</f>
        <v/>
      </c>
      <c r="F582" s="8" t="b">
        <v>0</v>
      </c>
      <c r="G582" s="8" t="b">
        <v>0</v>
      </c>
    </row>
    <row r="583">
      <c r="A583" s="38"/>
      <c r="B583" s="8"/>
      <c r="D583" s="8"/>
      <c r="E583" s="58" t="str">
        <f t="array" ref="E583">IF(D583="","",IFERROR(_xlfn.XLOOKUP(D583,SyncCodex!L:L,SyncCodex!M:M),""))</f>
        <v/>
      </c>
      <c r="F583" s="8" t="b">
        <v>0</v>
      </c>
      <c r="G583" s="8" t="b">
        <v>0</v>
      </c>
    </row>
    <row r="584">
      <c r="A584" s="38"/>
      <c r="B584" s="8"/>
      <c r="D584" s="8"/>
      <c r="E584" s="58" t="str">
        <f t="array" ref="E584">IF(D584="","",IFERROR(_xlfn.XLOOKUP(D584,SyncCodex!L:L,SyncCodex!M:M),""))</f>
        <v/>
      </c>
      <c r="F584" s="8" t="b">
        <v>0</v>
      </c>
      <c r="G584" s="8" t="b">
        <v>0</v>
      </c>
    </row>
    <row r="585">
      <c r="A585" s="38"/>
      <c r="B585" s="8"/>
      <c r="D585" s="8"/>
      <c r="E585" s="58" t="str">
        <f t="array" ref="E585">IF(D585="","",IFERROR(_xlfn.XLOOKUP(D585,SyncCodex!L:L,SyncCodex!M:M),""))</f>
        <v/>
      </c>
      <c r="F585" s="8" t="b">
        <v>0</v>
      </c>
      <c r="G585" s="8" t="b">
        <v>0</v>
      </c>
    </row>
    <row r="586">
      <c r="A586" s="38"/>
      <c r="B586" s="8"/>
      <c r="D586" s="8"/>
      <c r="E586" s="58" t="str">
        <f t="array" ref="E586">IF(D586="","",IFERROR(_xlfn.XLOOKUP(D586,SyncCodex!L:L,SyncCodex!M:M),""))</f>
        <v/>
      </c>
      <c r="F586" s="8" t="b">
        <v>0</v>
      </c>
      <c r="G586" s="8" t="b">
        <v>0</v>
      </c>
    </row>
    <row r="587">
      <c r="A587" s="38"/>
      <c r="B587" s="8"/>
      <c r="D587" s="8"/>
      <c r="E587" s="58" t="str">
        <f t="array" ref="E587">IF(D587="","",IFERROR(_xlfn.XLOOKUP(D587,SyncCodex!L:L,SyncCodex!M:M),""))</f>
        <v/>
      </c>
      <c r="F587" s="8" t="b">
        <v>0</v>
      </c>
      <c r="G587" s="8" t="b">
        <v>0</v>
      </c>
    </row>
    <row r="588">
      <c r="A588" s="38"/>
      <c r="B588" s="8"/>
      <c r="D588" s="8"/>
      <c r="E588" s="58" t="str">
        <f t="array" ref="E588">IF(D588="","",IFERROR(_xlfn.XLOOKUP(D588,SyncCodex!L:L,SyncCodex!M:M),""))</f>
        <v/>
      </c>
      <c r="F588" s="8" t="b">
        <v>0</v>
      </c>
      <c r="G588" s="8" t="b">
        <v>0</v>
      </c>
    </row>
    <row r="589">
      <c r="A589" s="38"/>
      <c r="B589" s="8"/>
      <c r="D589" s="8"/>
      <c r="E589" s="58" t="str">
        <f t="array" ref="E589">IF(D589="","",IFERROR(_xlfn.XLOOKUP(D589,SyncCodex!L:L,SyncCodex!M:M),""))</f>
        <v/>
      </c>
      <c r="F589" s="8" t="b">
        <v>0</v>
      </c>
      <c r="G589" s="8" t="b">
        <v>0</v>
      </c>
    </row>
    <row r="590">
      <c r="A590" s="38"/>
      <c r="B590" s="8"/>
      <c r="D590" s="8"/>
      <c r="E590" s="58" t="str">
        <f t="array" ref="E590">IF(D590="","",IFERROR(_xlfn.XLOOKUP(D590,SyncCodex!L:L,SyncCodex!M:M),""))</f>
        <v/>
      </c>
      <c r="F590" s="8" t="b">
        <v>0</v>
      </c>
      <c r="G590" s="8" t="b">
        <v>0</v>
      </c>
    </row>
    <row r="591">
      <c r="A591" s="38"/>
      <c r="B591" s="8"/>
      <c r="D591" s="8"/>
      <c r="E591" s="58" t="str">
        <f t="array" ref="E591">IF(D591="","",IFERROR(_xlfn.XLOOKUP(D591,SyncCodex!L:L,SyncCodex!M:M),""))</f>
        <v/>
      </c>
      <c r="F591" s="8" t="b">
        <v>0</v>
      </c>
      <c r="G591" s="8" t="b">
        <v>0</v>
      </c>
    </row>
    <row r="592">
      <c r="A592" s="38"/>
      <c r="B592" s="8"/>
      <c r="D592" s="8"/>
      <c r="E592" s="58" t="str">
        <f t="array" ref="E592">IF(D592="","",IFERROR(_xlfn.XLOOKUP(D592,SyncCodex!L:L,SyncCodex!M:M),""))</f>
        <v/>
      </c>
      <c r="F592" s="8" t="b">
        <v>0</v>
      </c>
      <c r="G592" s="8" t="b">
        <v>0</v>
      </c>
    </row>
    <row r="593">
      <c r="A593" s="38"/>
      <c r="B593" s="8"/>
      <c r="D593" s="8"/>
      <c r="E593" s="58" t="str">
        <f t="array" ref="E593">IF(D593="","",IFERROR(_xlfn.XLOOKUP(D593,SyncCodex!L:L,SyncCodex!M:M),""))</f>
        <v/>
      </c>
      <c r="F593" s="8" t="b">
        <v>0</v>
      </c>
      <c r="G593" s="8" t="b">
        <v>0</v>
      </c>
    </row>
    <row r="594">
      <c r="A594" s="38"/>
      <c r="B594" s="8"/>
      <c r="D594" s="8"/>
      <c r="E594" s="58" t="str">
        <f t="array" ref="E594">IF(D594="","",IFERROR(_xlfn.XLOOKUP(D594,SyncCodex!L:L,SyncCodex!M:M),""))</f>
        <v/>
      </c>
      <c r="F594" s="8" t="b">
        <v>0</v>
      </c>
      <c r="G594" s="8" t="b">
        <v>0</v>
      </c>
    </row>
    <row r="595">
      <c r="A595" s="38"/>
      <c r="B595" s="8"/>
      <c r="D595" s="8"/>
      <c r="E595" s="58" t="str">
        <f t="array" ref="E595">IF(D595="","",IFERROR(_xlfn.XLOOKUP(D595,SyncCodex!L:L,SyncCodex!M:M),""))</f>
        <v/>
      </c>
      <c r="F595" s="8" t="b">
        <v>0</v>
      </c>
      <c r="G595" s="8" t="b">
        <v>0</v>
      </c>
    </row>
    <row r="596">
      <c r="A596" s="38"/>
      <c r="B596" s="8"/>
      <c r="D596" s="8"/>
      <c r="E596" s="58" t="str">
        <f t="array" ref="E596">IF(D596="","",IFERROR(_xlfn.XLOOKUP(D596,SyncCodex!L:L,SyncCodex!M:M),""))</f>
        <v/>
      </c>
      <c r="F596" s="8" t="b">
        <v>0</v>
      </c>
      <c r="G596" s="8" t="b">
        <v>0</v>
      </c>
    </row>
    <row r="597">
      <c r="A597" s="38"/>
      <c r="B597" s="8"/>
      <c r="D597" s="8"/>
      <c r="E597" s="58" t="str">
        <f t="array" ref="E597">IF(D597="","",IFERROR(_xlfn.XLOOKUP(D597,SyncCodex!L:L,SyncCodex!M:M),""))</f>
        <v/>
      </c>
      <c r="F597" s="8" t="b">
        <v>0</v>
      </c>
      <c r="G597" s="8" t="b">
        <v>0</v>
      </c>
    </row>
    <row r="598">
      <c r="A598" s="38"/>
      <c r="B598" s="8"/>
      <c r="D598" s="8"/>
      <c r="E598" s="58" t="str">
        <f t="array" ref="E598">IF(D598="","",IFERROR(_xlfn.XLOOKUP(D598,SyncCodex!L:L,SyncCodex!M:M),""))</f>
        <v/>
      </c>
      <c r="F598" s="8" t="b">
        <v>0</v>
      </c>
      <c r="G598" s="8" t="b">
        <v>0</v>
      </c>
    </row>
    <row r="599">
      <c r="A599" s="38"/>
      <c r="B599" s="8"/>
      <c r="D599" s="8"/>
      <c r="E599" s="58" t="str">
        <f t="array" ref="E599">IF(D599="","",IFERROR(_xlfn.XLOOKUP(D599,SyncCodex!L:L,SyncCodex!M:M),""))</f>
        <v/>
      </c>
      <c r="F599" s="8" t="b">
        <v>0</v>
      </c>
      <c r="G599" s="8" t="b">
        <v>0</v>
      </c>
    </row>
    <row r="600">
      <c r="A600" s="38"/>
      <c r="B600" s="8"/>
      <c r="D600" s="8"/>
      <c r="E600" s="58" t="str">
        <f t="array" ref="E600">IF(D600="","",IFERROR(_xlfn.XLOOKUP(D600,SyncCodex!L:L,SyncCodex!M:M),""))</f>
        <v/>
      </c>
      <c r="F600" s="8" t="b">
        <v>0</v>
      </c>
      <c r="G600" s="8" t="b">
        <v>0</v>
      </c>
    </row>
    <row r="601">
      <c r="A601" s="38"/>
      <c r="B601" s="8"/>
      <c r="D601" s="8"/>
      <c r="E601" s="58" t="str">
        <f t="array" ref="E601">IF(D601="","",IFERROR(_xlfn.XLOOKUP(D601,SyncCodex!L:L,SyncCodex!M:M),""))</f>
        <v/>
      </c>
      <c r="F601" s="8" t="b">
        <v>0</v>
      </c>
      <c r="G601" s="8" t="b">
        <v>0</v>
      </c>
    </row>
    <row r="602">
      <c r="A602" s="38"/>
      <c r="B602" s="8"/>
      <c r="D602" s="8"/>
      <c r="E602" s="58" t="str">
        <f t="array" ref="E602">IF(D602="","",IFERROR(_xlfn.XLOOKUP(D602,SyncCodex!L:L,SyncCodex!M:M),""))</f>
        <v/>
      </c>
      <c r="F602" s="8" t="b">
        <v>0</v>
      </c>
      <c r="G602" s="8" t="b">
        <v>0</v>
      </c>
    </row>
    <row r="603">
      <c r="A603" s="38"/>
      <c r="B603" s="8"/>
      <c r="D603" s="8"/>
      <c r="E603" s="58" t="str">
        <f t="array" ref="E603">IF(D603="","",IFERROR(_xlfn.XLOOKUP(D603,SyncCodex!L:L,SyncCodex!M:M),""))</f>
        <v/>
      </c>
      <c r="F603" s="8" t="b">
        <v>0</v>
      </c>
      <c r="G603" s="8" t="b">
        <v>0</v>
      </c>
    </row>
    <row r="604">
      <c r="A604" s="38"/>
      <c r="B604" s="8"/>
      <c r="D604" s="8"/>
      <c r="E604" s="58" t="str">
        <f t="array" ref="E604">IF(D604="","",IFERROR(_xlfn.XLOOKUP(D604,SyncCodex!L:L,SyncCodex!M:M),""))</f>
        <v/>
      </c>
      <c r="F604" s="8" t="b">
        <v>0</v>
      </c>
      <c r="G604" s="8" t="b">
        <v>0</v>
      </c>
    </row>
    <row r="605">
      <c r="A605" s="38"/>
      <c r="B605" s="8"/>
      <c r="D605" s="8"/>
      <c r="E605" s="58" t="str">
        <f t="array" ref="E605">IF(D605="","",IFERROR(_xlfn.XLOOKUP(D605,SyncCodex!L:L,SyncCodex!M:M),""))</f>
        <v/>
      </c>
      <c r="F605" s="8" t="b">
        <v>0</v>
      </c>
      <c r="G605" s="8" t="b">
        <v>0</v>
      </c>
    </row>
    <row r="606">
      <c r="A606" s="38"/>
      <c r="B606" s="8"/>
      <c r="D606" s="8"/>
      <c r="E606" s="58" t="str">
        <f t="array" ref="E606">IF(D606="","",IFERROR(_xlfn.XLOOKUP(D606,SyncCodex!L:L,SyncCodex!M:M),""))</f>
        <v/>
      </c>
      <c r="F606" s="8" t="b">
        <v>0</v>
      </c>
      <c r="G606" s="8" t="b">
        <v>0</v>
      </c>
    </row>
    <row r="607">
      <c r="A607" s="38"/>
      <c r="B607" s="8"/>
      <c r="D607" s="8"/>
      <c r="E607" s="58" t="str">
        <f t="array" ref="E607">IF(D607="","",IFERROR(_xlfn.XLOOKUP(D607,SyncCodex!L:L,SyncCodex!M:M),""))</f>
        <v/>
      </c>
      <c r="F607" s="8" t="b">
        <v>0</v>
      </c>
      <c r="G607" s="8" t="b">
        <v>0</v>
      </c>
    </row>
    <row r="608">
      <c r="A608" s="38"/>
      <c r="B608" s="8"/>
      <c r="D608" s="8"/>
      <c r="E608" s="58" t="str">
        <f t="array" ref="E608">IF(D608="","",IFERROR(_xlfn.XLOOKUP(D608,SyncCodex!L:L,SyncCodex!M:M),""))</f>
        <v/>
      </c>
      <c r="F608" s="8" t="b">
        <v>0</v>
      </c>
      <c r="G608" s="8" t="b">
        <v>0</v>
      </c>
    </row>
    <row r="609">
      <c r="A609" s="38"/>
      <c r="B609" s="8"/>
      <c r="D609" s="8"/>
      <c r="E609" s="58" t="str">
        <f t="array" ref="E609">IF(D609="","",IFERROR(_xlfn.XLOOKUP(D609,SyncCodex!L:L,SyncCodex!M:M),""))</f>
        <v/>
      </c>
      <c r="F609" s="8" t="b">
        <v>0</v>
      </c>
      <c r="G609" s="8" t="b">
        <v>0</v>
      </c>
    </row>
    <row r="610">
      <c r="A610" s="38"/>
      <c r="B610" s="8"/>
      <c r="D610" s="8"/>
      <c r="E610" s="58" t="str">
        <f t="array" ref="E610">IF(D610="","",IFERROR(_xlfn.XLOOKUP(D610,SyncCodex!L:L,SyncCodex!M:M),""))</f>
        <v/>
      </c>
      <c r="F610" s="8" t="b">
        <v>0</v>
      </c>
      <c r="G610" s="8" t="b">
        <v>0</v>
      </c>
    </row>
    <row r="611">
      <c r="A611" s="38"/>
      <c r="B611" s="8"/>
      <c r="D611" s="8"/>
      <c r="E611" s="58" t="str">
        <f t="array" ref="E611">IF(D611="","",IFERROR(_xlfn.XLOOKUP(D611,SyncCodex!L:L,SyncCodex!M:M),""))</f>
        <v/>
      </c>
      <c r="F611" s="8" t="b">
        <v>0</v>
      </c>
      <c r="G611" s="8" t="b">
        <v>0</v>
      </c>
    </row>
    <row r="612">
      <c r="A612" s="38"/>
      <c r="B612" s="8"/>
      <c r="D612" s="8"/>
      <c r="E612" s="58" t="str">
        <f t="array" ref="E612">IF(D612="","",IFERROR(_xlfn.XLOOKUP(D612,SyncCodex!L:L,SyncCodex!M:M),""))</f>
        <v/>
      </c>
      <c r="F612" s="8" t="b">
        <v>0</v>
      </c>
      <c r="G612" s="8" t="b">
        <v>0</v>
      </c>
    </row>
    <row r="613">
      <c r="A613" s="38"/>
      <c r="B613" s="8"/>
      <c r="D613" s="8"/>
      <c r="E613" s="58" t="str">
        <f t="array" ref="E613">IF(D613="","",IFERROR(_xlfn.XLOOKUP(D613,SyncCodex!L:L,SyncCodex!M:M),""))</f>
        <v/>
      </c>
      <c r="F613" s="8" t="b">
        <v>0</v>
      </c>
      <c r="G613" s="8" t="b">
        <v>0</v>
      </c>
    </row>
    <row r="614">
      <c r="A614" s="38"/>
      <c r="B614" s="8"/>
      <c r="D614" s="8"/>
      <c r="E614" s="58" t="str">
        <f t="array" ref="E614">IF(D614="","",IFERROR(_xlfn.XLOOKUP(D614,SyncCodex!L:L,SyncCodex!M:M),""))</f>
        <v/>
      </c>
      <c r="F614" s="8" t="b">
        <v>0</v>
      </c>
      <c r="G614" s="8" t="b">
        <v>0</v>
      </c>
    </row>
    <row r="615">
      <c r="A615" s="38"/>
      <c r="B615" s="8"/>
      <c r="D615" s="8"/>
      <c r="E615" s="58" t="str">
        <f t="array" ref="E615">IF(D615="","",IFERROR(_xlfn.XLOOKUP(D615,SyncCodex!L:L,SyncCodex!M:M),""))</f>
        <v/>
      </c>
      <c r="F615" s="8" t="b">
        <v>0</v>
      </c>
      <c r="G615" s="8" t="b">
        <v>0</v>
      </c>
    </row>
    <row r="616">
      <c r="A616" s="38"/>
      <c r="B616" s="8"/>
      <c r="D616" s="8"/>
      <c r="E616" s="58" t="str">
        <f t="array" ref="E616">IF(D616="","",IFERROR(_xlfn.XLOOKUP(D616,SyncCodex!L:L,SyncCodex!M:M),""))</f>
        <v/>
      </c>
      <c r="F616" s="8" t="b">
        <v>0</v>
      </c>
      <c r="G616" s="8" t="b">
        <v>0</v>
      </c>
    </row>
    <row r="617">
      <c r="A617" s="38"/>
      <c r="B617" s="8"/>
      <c r="D617" s="8"/>
      <c r="E617" s="58" t="str">
        <f t="array" ref="E617">IF(D617="","",IFERROR(_xlfn.XLOOKUP(D617,SyncCodex!L:L,SyncCodex!M:M),""))</f>
        <v/>
      </c>
      <c r="F617" s="8" t="b">
        <v>0</v>
      </c>
      <c r="G617" s="8" t="b">
        <v>0</v>
      </c>
    </row>
    <row r="618">
      <c r="A618" s="38"/>
      <c r="B618" s="8"/>
      <c r="D618" s="8"/>
      <c r="E618" s="58" t="str">
        <f t="array" ref="E618">IF(D618="","",IFERROR(_xlfn.XLOOKUP(D618,SyncCodex!L:L,SyncCodex!M:M),""))</f>
        <v/>
      </c>
      <c r="F618" s="8" t="b">
        <v>0</v>
      </c>
      <c r="G618" s="8" t="b">
        <v>0</v>
      </c>
    </row>
    <row r="619">
      <c r="A619" s="38"/>
      <c r="B619" s="8"/>
      <c r="D619" s="8"/>
      <c r="E619" s="58" t="str">
        <f t="array" ref="E619">IF(D619="","",IFERROR(_xlfn.XLOOKUP(D619,SyncCodex!L:L,SyncCodex!M:M),""))</f>
        <v/>
      </c>
      <c r="F619" s="8" t="b">
        <v>0</v>
      </c>
      <c r="G619" s="8" t="b">
        <v>0</v>
      </c>
    </row>
    <row r="620">
      <c r="A620" s="38"/>
      <c r="B620" s="8"/>
      <c r="D620" s="8"/>
      <c r="E620" s="58" t="str">
        <f t="array" ref="E620">IF(D620="","",IFERROR(_xlfn.XLOOKUP(D620,SyncCodex!L:L,SyncCodex!M:M),""))</f>
        <v/>
      </c>
      <c r="F620" s="8" t="b">
        <v>0</v>
      </c>
      <c r="G620" s="8" t="b">
        <v>0</v>
      </c>
    </row>
    <row r="621">
      <c r="A621" s="38"/>
      <c r="B621" s="8"/>
      <c r="D621" s="8"/>
      <c r="E621" s="58" t="str">
        <f t="array" ref="E621">IF(D621="","",IFERROR(_xlfn.XLOOKUP(D621,SyncCodex!L:L,SyncCodex!M:M),""))</f>
        <v/>
      </c>
      <c r="F621" s="8" t="b">
        <v>0</v>
      </c>
      <c r="G621" s="8" t="b">
        <v>0</v>
      </c>
    </row>
    <row r="622">
      <c r="A622" s="38"/>
      <c r="B622" s="8"/>
      <c r="D622" s="8"/>
      <c r="E622" s="58" t="str">
        <f t="array" ref="E622">IF(D622="","",IFERROR(_xlfn.XLOOKUP(D622,SyncCodex!L:L,SyncCodex!M:M),""))</f>
        <v/>
      </c>
      <c r="F622" s="8" t="b">
        <v>0</v>
      </c>
      <c r="G622" s="8" t="b">
        <v>0</v>
      </c>
    </row>
    <row r="623">
      <c r="A623" s="38"/>
      <c r="B623" s="8"/>
      <c r="D623" s="8"/>
      <c r="E623" s="58" t="str">
        <f t="array" ref="E623">IF(D623="","",IFERROR(_xlfn.XLOOKUP(D623,SyncCodex!L:L,SyncCodex!M:M),""))</f>
        <v/>
      </c>
      <c r="F623" s="8" t="b">
        <v>0</v>
      </c>
      <c r="G623" s="8" t="b">
        <v>0</v>
      </c>
    </row>
    <row r="624">
      <c r="A624" s="38"/>
      <c r="B624" s="8"/>
      <c r="D624" s="8"/>
      <c r="E624" s="58" t="str">
        <f t="array" ref="E624">IF(D624="","",IFERROR(_xlfn.XLOOKUP(D624,SyncCodex!L:L,SyncCodex!M:M),""))</f>
        <v/>
      </c>
      <c r="F624" s="8" t="b">
        <v>0</v>
      </c>
      <c r="G624" s="8" t="b">
        <v>0</v>
      </c>
    </row>
    <row r="625">
      <c r="A625" s="38"/>
      <c r="B625" s="8"/>
      <c r="D625" s="8"/>
      <c r="E625" s="58" t="str">
        <f t="array" ref="E625">IF(D625="","",IFERROR(_xlfn.XLOOKUP(D625,SyncCodex!L:L,SyncCodex!M:M),""))</f>
        <v/>
      </c>
      <c r="F625" s="8" t="b">
        <v>0</v>
      </c>
      <c r="G625" s="8" t="b">
        <v>0</v>
      </c>
    </row>
    <row r="626">
      <c r="A626" s="38"/>
      <c r="B626" s="8"/>
      <c r="D626" s="8"/>
      <c r="E626" s="58" t="str">
        <f t="array" ref="E626">IF(D626="","",IFERROR(_xlfn.XLOOKUP(D626,SyncCodex!L:L,SyncCodex!M:M),""))</f>
        <v/>
      </c>
      <c r="F626" s="8" t="b">
        <v>0</v>
      </c>
      <c r="G626" s="8" t="b">
        <v>0</v>
      </c>
    </row>
    <row r="627">
      <c r="A627" s="38"/>
      <c r="B627" s="8"/>
      <c r="D627" s="8"/>
      <c r="E627" s="58" t="str">
        <f t="array" ref="E627">IF(D627="","",IFERROR(_xlfn.XLOOKUP(D627,SyncCodex!L:L,SyncCodex!M:M),""))</f>
        <v/>
      </c>
      <c r="F627" s="8" t="b">
        <v>0</v>
      </c>
      <c r="G627" s="8" t="b">
        <v>0</v>
      </c>
    </row>
    <row r="628">
      <c r="A628" s="38"/>
      <c r="B628" s="8"/>
      <c r="D628" s="8"/>
      <c r="E628" s="58" t="str">
        <f t="array" ref="E628">IF(D628="","",IFERROR(_xlfn.XLOOKUP(D628,SyncCodex!L:L,SyncCodex!M:M),""))</f>
        <v/>
      </c>
      <c r="F628" s="8" t="b">
        <v>0</v>
      </c>
      <c r="G628" s="8" t="b">
        <v>0</v>
      </c>
    </row>
    <row r="629">
      <c r="A629" s="38"/>
      <c r="B629" s="8"/>
      <c r="D629" s="8"/>
      <c r="E629" s="58" t="str">
        <f t="array" ref="E629">IF(D629="","",IFERROR(_xlfn.XLOOKUP(D629,SyncCodex!L:L,SyncCodex!M:M),""))</f>
        <v/>
      </c>
      <c r="F629" s="8" t="b">
        <v>0</v>
      </c>
      <c r="G629" s="8" t="b">
        <v>0</v>
      </c>
    </row>
    <row r="630">
      <c r="A630" s="38"/>
      <c r="B630" s="8"/>
      <c r="D630" s="8"/>
      <c r="E630" s="58" t="str">
        <f t="array" ref="E630">IF(D630="","",IFERROR(_xlfn.XLOOKUP(D630,SyncCodex!L:L,SyncCodex!M:M),""))</f>
        <v/>
      </c>
      <c r="F630" s="8" t="b">
        <v>0</v>
      </c>
      <c r="G630" s="8" t="b">
        <v>0</v>
      </c>
    </row>
    <row r="631">
      <c r="A631" s="38"/>
      <c r="B631" s="8"/>
      <c r="D631" s="8"/>
      <c r="E631" s="58" t="str">
        <f t="array" ref="E631">IF(D631="","",IFERROR(_xlfn.XLOOKUP(D631,SyncCodex!L:L,SyncCodex!M:M),""))</f>
        <v/>
      </c>
      <c r="F631" s="8" t="b">
        <v>0</v>
      </c>
      <c r="G631" s="8" t="b">
        <v>0</v>
      </c>
    </row>
    <row r="632">
      <c r="A632" s="38"/>
      <c r="B632" s="8"/>
      <c r="D632" s="8"/>
      <c r="E632" s="58" t="str">
        <f t="array" ref="E632">IF(D632="","",IFERROR(_xlfn.XLOOKUP(D632,SyncCodex!L:L,SyncCodex!M:M),""))</f>
        <v/>
      </c>
      <c r="F632" s="8" t="b">
        <v>0</v>
      </c>
      <c r="G632" s="8" t="b">
        <v>0</v>
      </c>
    </row>
    <row r="633">
      <c r="A633" s="38"/>
      <c r="B633" s="8"/>
      <c r="D633" s="8"/>
      <c r="E633" s="58" t="str">
        <f t="array" ref="E633">IF(D633="","",IFERROR(_xlfn.XLOOKUP(D633,SyncCodex!L:L,SyncCodex!M:M),""))</f>
        <v/>
      </c>
      <c r="F633" s="8" t="b">
        <v>0</v>
      </c>
      <c r="G633" s="8" t="b">
        <v>0</v>
      </c>
    </row>
    <row r="634">
      <c r="A634" s="38"/>
      <c r="B634" s="8"/>
      <c r="D634" s="8"/>
      <c r="E634" s="58" t="str">
        <f t="array" ref="E634">IF(D634="","",IFERROR(_xlfn.XLOOKUP(D634,SyncCodex!L:L,SyncCodex!M:M),""))</f>
        <v/>
      </c>
      <c r="F634" s="8" t="b">
        <v>0</v>
      </c>
      <c r="G634" s="8" t="b">
        <v>0</v>
      </c>
    </row>
    <row r="635">
      <c r="A635" s="38"/>
      <c r="B635" s="8"/>
      <c r="D635" s="8"/>
      <c r="E635" s="58" t="str">
        <f t="array" ref="E635">IF(D635="","",IFERROR(_xlfn.XLOOKUP(D635,SyncCodex!L:L,SyncCodex!M:M),""))</f>
        <v/>
      </c>
      <c r="F635" s="8" t="b">
        <v>0</v>
      </c>
      <c r="G635" s="8" t="b">
        <v>0</v>
      </c>
    </row>
    <row r="636">
      <c r="A636" s="38"/>
      <c r="B636" s="8"/>
      <c r="D636" s="8"/>
      <c r="E636" s="58" t="str">
        <f t="array" ref="E636">IF(D636="","",IFERROR(_xlfn.XLOOKUP(D636,SyncCodex!L:L,SyncCodex!M:M),""))</f>
        <v/>
      </c>
      <c r="F636" s="8" t="b">
        <v>0</v>
      </c>
      <c r="G636" s="8" t="b">
        <v>0</v>
      </c>
    </row>
    <row r="637">
      <c r="A637" s="38"/>
      <c r="B637" s="8"/>
      <c r="D637" s="8"/>
      <c r="E637" s="58" t="str">
        <f t="array" ref="E637">IF(D637="","",IFERROR(_xlfn.XLOOKUP(D637,SyncCodex!L:L,SyncCodex!M:M),""))</f>
        <v/>
      </c>
      <c r="F637" s="8" t="b">
        <v>0</v>
      </c>
      <c r="G637" s="8" t="b">
        <v>0</v>
      </c>
    </row>
    <row r="638">
      <c r="A638" s="38"/>
      <c r="B638" s="8"/>
      <c r="D638" s="8"/>
      <c r="E638" s="58" t="str">
        <f t="array" ref="E638">IF(D638="","",IFERROR(_xlfn.XLOOKUP(D638,SyncCodex!L:L,SyncCodex!M:M),""))</f>
        <v/>
      </c>
      <c r="F638" s="8" t="b">
        <v>0</v>
      </c>
      <c r="G638" s="8" t="b">
        <v>0</v>
      </c>
    </row>
    <row r="639">
      <c r="A639" s="38"/>
      <c r="B639" s="8"/>
      <c r="D639" s="8"/>
      <c r="E639" s="58" t="str">
        <f t="array" ref="E639">IF(D639="","",IFERROR(_xlfn.XLOOKUP(D639,SyncCodex!L:L,SyncCodex!M:M),""))</f>
        <v/>
      </c>
      <c r="F639" s="8" t="b">
        <v>0</v>
      </c>
      <c r="G639" s="8" t="b">
        <v>0</v>
      </c>
    </row>
    <row r="640">
      <c r="A640" s="38"/>
      <c r="B640" s="8"/>
      <c r="D640" s="8"/>
      <c r="E640" s="58" t="str">
        <f t="array" ref="E640">IF(D640="","",IFERROR(_xlfn.XLOOKUP(D640,SyncCodex!L:L,SyncCodex!M:M),""))</f>
        <v/>
      </c>
      <c r="F640" s="8" t="b">
        <v>0</v>
      </c>
      <c r="G640" s="8" t="b">
        <v>0</v>
      </c>
    </row>
    <row r="641">
      <c r="A641" s="38"/>
      <c r="B641" s="8"/>
      <c r="D641" s="8"/>
      <c r="E641" s="58" t="str">
        <f t="array" ref="E641">IF(D641="","",IFERROR(_xlfn.XLOOKUP(D641,SyncCodex!L:L,SyncCodex!M:M),""))</f>
        <v/>
      </c>
      <c r="F641" s="8" t="b">
        <v>0</v>
      </c>
      <c r="G641" s="8" t="b">
        <v>0</v>
      </c>
    </row>
    <row r="642">
      <c r="A642" s="38"/>
      <c r="B642" s="8"/>
      <c r="D642" s="8"/>
      <c r="E642" s="58" t="str">
        <f t="array" ref="E642">IF(D642="","",IFERROR(_xlfn.XLOOKUP(D642,SyncCodex!L:L,SyncCodex!M:M),""))</f>
        <v/>
      </c>
      <c r="F642" s="8" t="b">
        <v>0</v>
      </c>
      <c r="G642" s="8" t="b">
        <v>0</v>
      </c>
    </row>
    <row r="643">
      <c r="A643" s="38"/>
      <c r="B643" s="8"/>
      <c r="D643" s="8"/>
      <c r="E643" s="58" t="str">
        <f t="array" ref="E643">IF(D643="","",IFERROR(_xlfn.XLOOKUP(D643,SyncCodex!L:L,SyncCodex!M:M),""))</f>
        <v/>
      </c>
      <c r="F643" s="8" t="b">
        <v>0</v>
      </c>
      <c r="G643" s="8" t="b">
        <v>0</v>
      </c>
    </row>
    <row r="644">
      <c r="A644" s="38"/>
      <c r="B644" s="8"/>
      <c r="D644" s="8"/>
      <c r="E644" s="58" t="str">
        <f t="array" ref="E644">IF(D644="","",IFERROR(_xlfn.XLOOKUP(D644,SyncCodex!L:L,SyncCodex!M:M),""))</f>
        <v/>
      </c>
      <c r="F644" s="8" t="b">
        <v>0</v>
      </c>
      <c r="G644" s="8" t="b">
        <v>0</v>
      </c>
    </row>
    <row r="645">
      <c r="A645" s="38"/>
      <c r="B645" s="8"/>
      <c r="D645" s="8"/>
      <c r="E645" s="58" t="str">
        <f t="array" ref="E645">IF(D645="","",IFERROR(_xlfn.XLOOKUP(D645,SyncCodex!L:L,SyncCodex!M:M),""))</f>
        <v/>
      </c>
      <c r="F645" s="8" t="b">
        <v>0</v>
      </c>
      <c r="G645" s="8" t="b">
        <v>0</v>
      </c>
    </row>
    <row r="646">
      <c r="A646" s="38"/>
      <c r="B646" s="8"/>
      <c r="D646" s="8"/>
      <c r="E646" s="58" t="str">
        <f t="array" ref="E646">IF(D646="","",IFERROR(_xlfn.XLOOKUP(D646,SyncCodex!L:L,SyncCodex!M:M),""))</f>
        <v/>
      </c>
      <c r="F646" s="8" t="b">
        <v>0</v>
      </c>
      <c r="G646" s="8" t="b">
        <v>0</v>
      </c>
    </row>
    <row r="647">
      <c r="A647" s="38"/>
      <c r="B647" s="8"/>
      <c r="D647" s="8"/>
      <c r="E647" s="58" t="str">
        <f t="array" ref="E647">IF(D647="","",IFERROR(_xlfn.XLOOKUP(D647,SyncCodex!L:L,SyncCodex!M:M),""))</f>
        <v/>
      </c>
      <c r="F647" s="8" t="b">
        <v>0</v>
      </c>
      <c r="G647" s="8" t="b">
        <v>0</v>
      </c>
    </row>
    <row r="648">
      <c r="A648" s="38"/>
      <c r="B648" s="8"/>
      <c r="D648" s="8"/>
      <c r="E648" s="58" t="str">
        <f t="array" ref="E648">IF(D648="","",IFERROR(_xlfn.XLOOKUP(D648,SyncCodex!L:L,SyncCodex!M:M),""))</f>
        <v/>
      </c>
      <c r="F648" s="8" t="b">
        <v>0</v>
      </c>
      <c r="G648" s="8" t="b">
        <v>0</v>
      </c>
    </row>
    <row r="649">
      <c r="A649" s="38"/>
      <c r="B649" s="8"/>
      <c r="D649" s="8"/>
      <c r="E649" s="58" t="str">
        <f t="array" ref="E649">IF(D649="","",IFERROR(_xlfn.XLOOKUP(D649,SyncCodex!L:L,SyncCodex!M:M),""))</f>
        <v/>
      </c>
      <c r="F649" s="8" t="b">
        <v>0</v>
      </c>
      <c r="G649" s="8" t="b">
        <v>0</v>
      </c>
    </row>
    <row r="650">
      <c r="A650" s="38"/>
      <c r="B650" s="8"/>
      <c r="D650" s="8"/>
      <c r="E650" s="58" t="str">
        <f t="array" ref="E650">IF(D650="","",IFERROR(_xlfn.XLOOKUP(D650,SyncCodex!L:L,SyncCodex!M:M),""))</f>
        <v/>
      </c>
      <c r="F650" s="8" t="b">
        <v>0</v>
      </c>
      <c r="G650" s="8" t="b">
        <v>0</v>
      </c>
    </row>
    <row r="651">
      <c r="A651" s="38"/>
      <c r="B651" s="8"/>
      <c r="D651" s="8"/>
      <c r="E651" s="58" t="str">
        <f t="array" ref="E651">IF(D651="","",IFERROR(_xlfn.XLOOKUP(D651,SyncCodex!L:L,SyncCodex!M:M),""))</f>
        <v/>
      </c>
      <c r="F651" s="8" t="b">
        <v>0</v>
      </c>
      <c r="G651" s="8" t="b">
        <v>0</v>
      </c>
    </row>
    <row r="652">
      <c r="A652" s="38"/>
      <c r="B652" s="8"/>
      <c r="D652" s="8"/>
      <c r="E652" s="58" t="str">
        <f t="array" ref="E652">IF(D652="","",IFERROR(_xlfn.XLOOKUP(D652,SyncCodex!L:L,SyncCodex!M:M),""))</f>
        <v/>
      </c>
      <c r="F652" s="8" t="b">
        <v>0</v>
      </c>
      <c r="G652" s="8" t="b">
        <v>0</v>
      </c>
    </row>
    <row r="653">
      <c r="A653" s="38"/>
      <c r="B653" s="8"/>
      <c r="D653" s="8"/>
      <c r="E653" s="58" t="str">
        <f t="array" ref="E653">IF(D653="","",IFERROR(_xlfn.XLOOKUP(D653,SyncCodex!L:L,SyncCodex!M:M),""))</f>
        <v/>
      </c>
      <c r="F653" s="8" t="b">
        <v>0</v>
      </c>
      <c r="G653" s="8" t="b">
        <v>0</v>
      </c>
    </row>
    <row r="654">
      <c r="A654" s="38"/>
      <c r="B654" s="8"/>
      <c r="D654" s="8"/>
      <c r="E654" s="58" t="str">
        <f t="array" ref="E654">IF(D654="","",IFERROR(_xlfn.XLOOKUP(D654,SyncCodex!L:L,SyncCodex!M:M),""))</f>
        <v/>
      </c>
      <c r="F654" s="8" t="b">
        <v>0</v>
      </c>
      <c r="G654" s="8" t="b">
        <v>0</v>
      </c>
    </row>
    <row r="655">
      <c r="A655" s="38"/>
      <c r="B655" s="8"/>
      <c r="D655" s="8"/>
      <c r="E655" s="58" t="str">
        <f t="array" ref="E655">IF(D655="","",IFERROR(_xlfn.XLOOKUP(D655,SyncCodex!L:L,SyncCodex!M:M),""))</f>
        <v/>
      </c>
      <c r="F655" s="8" t="b">
        <v>0</v>
      </c>
      <c r="G655" s="8" t="b">
        <v>0</v>
      </c>
    </row>
    <row r="656">
      <c r="A656" s="38"/>
      <c r="B656" s="8"/>
      <c r="D656" s="8"/>
      <c r="E656" s="58" t="str">
        <f t="array" ref="E656">IF(D656="","",IFERROR(_xlfn.XLOOKUP(D656,SyncCodex!L:L,SyncCodex!M:M),""))</f>
        <v/>
      </c>
      <c r="F656" s="8" t="b">
        <v>0</v>
      </c>
      <c r="G656" s="8" t="b">
        <v>0</v>
      </c>
    </row>
    <row r="657">
      <c r="A657" s="38"/>
      <c r="B657" s="8"/>
      <c r="D657" s="8"/>
      <c r="E657" s="58" t="str">
        <f t="array" ref="E657">IF(D657="","",IFERROR(_xlfn.XLOOKUP(D657,SyncCodex!L:L,SyncCodex!M:M),""))</f>
        <v/>
      </c>
      <c r="F657" s="8" t="b">
        <v>0</v>
      </c>
      <c r="G657" s="8" t="b">
        <v>0</v>
      </c>
    </row>
    <row r="658">
      <c r="A658" s="38"/>
      <c r="B658" s="8"/>
      <c r="D658" s="8"/>
      <c r="E658" s="58" t="str">
        <f t="array" ref="E658">IF(D658="","",IFERROR(_xlfn.XLOOKUP(D658,SyncCodex!L:L,SyncCodex!M:M),""))</f>
        <v/>
      </c>
      <c r="F658" s="8" t="b">
        <v>0</v>
      </c>
      <c r="G658" s="8" t="b">
        <v>0</v>
      </c>
    </row>
    <row r="659">
      <c r="A659" s="38"/>
      <c r="B659" s="8"/>
      <c r="D659" s="8"/>
      <c r="E659" s="58" t="str">
        <f t="array" ref="E659">IF(D659="","",IFERROR(_xlfn.XLOOKUP(D659,SyncCodex!L:L,SyncCodex!M:M),""))</f>
        <v/>
      </c>
      <c r="F659" s="8" t="b">
        <v>0</v>
      </c>
      <c r="G659" s="8" t="b">
        <v>0</v>
      </c>
    </row>
    <row r="660">
      <c r="A660" s="38"/>
      <c r="B660" s="8"/>
      <c r="D660" s="8"/>
      <c r="E660" s="58" t="str">
        <f t="array" ref="E660">IF(D660="","",IFERROR(_xlfn.XLOOKUP(D660,SyncCodex!L:L,SyncCodex!M:M),""))</f>
        <v/>
      </c>
      <c r="F660" s="8" t="b">
        <v>0</v>
      </c>
      <c r="G660" s="8" t="b">
        <v>0</v>
      </c>
    </row>
    <row r="661">
      <c r="A661" s="38"/>
      <c r="B661" s="8"/>
      <c r="D661" s="8"/>
      <c r="E661" s="58" t="str">
        <f t="array" ref="E661">IF(D661="","",IFERROR(_xlfn.XLOOKUP(D661,SyncCodex!L:L,SyncCodex!M:M),""))</f>
        <v/>
      </c>
      <c r="F661" s="8" t="b">
        <v>0</v>
      </c>
      <c r="G661" s="8" t="b">
        <v>0</v>
      </c>
    </row>
    <row r="662">
      <c r="A662" s="38"/>
      <c r="B662" s="8"/>
      <c r="D662" s="8"/>
      <c r="E662" s="58" t="str">
        <f t="array" ref="E662">IF(D662="","",IFERROR(_xlfn.XLOOKUP(D662,SyncCodex!L:L,SyncCodex!M:M),""))</f>
        <v/>
      </c>
      <c r="F662" s="8" t="b">
        <v>0</v>
      </c>
      <c r="G662" s="8" t="b">
        <v>0</v>
      </c>
    </row>
    <row r="663">
      <c r="A663" s="38"/>
      <c r="B663" s="8"/>
      <c r="D663" s="8"/>
      <c r="E663" s="58" t="str">
        <f t="array" ref="E663">IF(D663="","",IFERROR(_xlfn.XLOOKUP(D663,SyncCodex!L:L,SyncCodex!M:M),""))</f>
        <v/>
      </c>
      <c r="F663" s="8" t="b">
        <v>0</v>
      </c>
      <c r="G663" s="8" t="b">
        <v>0</v>
      </c>
    </row>
    <row r="664">
      <c r="A664" s="38"/>
      <c r="B664" s="8"/>
      <c r="D664" s="8"/>
      <c r="E664" s="58" t="str">
        <f t="array" ref="E664">IF(D664="","",IFERROR(_xlfn.XLOOKUP(D664,SyncCodex!L:L,SyncCodex!M:M),""))</f>
        <v/>
      </c>
      <c r="F664" s="8" t="b">
        <v>0</v>
      </c>
      <c r="G664" s="8" t="b">
        <v>0</v>
      </c>
    </row>
    <row r="665">
      <c r="A665" s="38"/>
      <c r="B665" s="8"/>
      <c r="D665" s="8"/>
      <c r="E665" s="58" t="str">
        <f t="array" ref="E665">IF(D665="","",IFERROR(_xlfn.XLOOKUP(D665,SyncCodex!L:L,SyncCodex!M:M),""))</f>
        <v/>
      </c>
      <c r="F665" s="8" t="b">
        <v>0</v>
      </c>
      <c r="G665" s="8" t="b">
        <v>0</v>
      </c>
    </row>
    <row r="666">
      <c r="A666" s="38"/>
      <c r="B666" s="8"/>
      <c r="D666" s="8"/>
      <c r="E666" s="58" t="str">
        <f t="array" ref="E666">IF(D666="","",IFERROR(_xlfn.XLOOKUP(D666,SyncCodex!L:L,SyncCodex!M:M),""))</f>
        <v/>
      </c>
      <c r="F666" s="8" t="b">
        <v>0</v>
      </c>
      <c r="G666" s="8" t="b">
        <v>0</v>
      </c>
    </row>
    <row r="667">
      <c r="A667" s="38"/>
      <c r="B667" s="8"/>
      <c r="D667" s="8"/>
      <c r="E667" s="58" t="str">
        <f t="array" ref="E667">IF(D667="","",IFERROR(_xlfn.XLOOKUP(D667,SyncCodex!L:L,SyncCodex!M:M),""))</f>
        <v/>
      </c>
      <c r="F667" s="8" t="b">
        <v>0</v>
      </c>
      <c r="G667" s="8" t="b">
        <v>0</v>
      </c>
    </row>
    <row r="668">
      <c r="A668" s="38"/>
      <c r="B668" s="8"/>
      <c r="D668" s="8"/>
      <c r="E668" s="58" t="str">
        <f t="array" ref="E668">IF(D668="","",IFERROR(_xlfn.XLOOKUP(D668,SyncCodex!L:L,SyncCodex!M:M),""))</f>
        <v/>
      </c>
      <c r="F668" s="8" t="b">
        <v>0</v>
      </c>
      <c r="G668" s="8" t="b">
        <v>0</v>
      </c>
    </row>
    <row r="669">
      <c r="A669" s="38"/>
      <c r="B669" s="8"/>
      <c r="D669" s="8"/>
      <c r="E669" s="58" t="str">
        <f t="array" ref="E669">IF(D669="","",IFERROR(_xlfn.XLOOKUP(D669,SyncCodex!L:L,SyncCodex!M:M),""))</f>
        <v/>
      </c>
      <c r="F669" s="8" t="b">
        <v>0</v>
      </c>
      <c r="G669" s="8" t="b">
        <v>0</v>
      </c>
    </row>
    <row r="670">
      <c r="A670" s="38"/>
      <c r="B670" s="8"/>
      <c r="D670" s="8"/>
      <c r="E670" s="58" t="str">
        <f t="array" ref="E670">IF(D670="","",IFERROR(_xlfn.XLOOKUP(D670,SyncCodex!L:L,SyncCodex!M:M),""))</f>
        <v/>
      </c>
      <c r="F670" s="8" t="b">
        <v>0</v>
      </c>
      <c r="G670" s="8" t="b">
        <v>0</v>
      </c>
    </row>
    <row r="671">
      <c r="A671" s="38"/>
      <c r="B671" s="8"/>
      <c r="D671" s="8"/>
      <c r="E671" s="58" t="str">
        <f t="array" ref="E671">IF(D671="","",IFERROR(_xlfn.XLOOKUP(D671,SyncCodex!L:L,SyncCodex!M:M),""))</f>
        <v/>
      </c>
      <c r="F671" s="8" t="b">
        <v>0</v>
      </c>
      <c r="G671" s="8" t="b">
        <v>0</v>
      </c>
    </row>
    <row r="672">
      <c r="A672" s="38"/>
      <c r="B672" s="8"/>
      <c r="D672" s="8"/>
      <c r="E672" s="58" t="str">
        <f t="array" ref="E672">IF(D672="","",IFERROR(_xlfn.XLOOKUP(D672,SyncCodex!L:L,SyncCodex!M:M),""))</f>
        <v/>
      </c>
      <c r="F672" s="8" t="b">
        <v>0</v>
      </c>
      <c r="G672" s="8" t="b">
        <v>0</v>
      </c>
    </row>
    <row r="673">
      <c r="A673" s="38"/>
      <c r="B673" s="8"/>
      <c r="D673" s="8"/>
      <c r="E673" s="58" t="str">
        <f t="array" ref="E673">IF(D673="","",IFERROR(_xlfn.XLOOKUP(D673,SyncCodex!L:L,SyncCodex!M:M),""))</f>
        <v/>
      </c>
      <c r="F673" s="8" t="b">
        <v>0</v>
      </c>
      <c r="G673" s="8" t="b">
        <v>0</v>
      </c>
    </row>
    <row r="674">
      <c r="A674" s="38"/>
      <c r="B674" s="8"/>
      <c r="D674" s="8"/>
      <c r="E674" s="58" t="str">
        <f t="array" ref="E674">IF(D674="","",IFERROR(_xlfn.XLOOKUP(D674,SyncCodex!L:L,SyncCodex!M:M),""))</f>
        <v/>
      </c>
      <c r="F674" s="8" t="b">
        <v>0</v>
      </c>
      <c r="G674" s="8" t="b">
        <v>0</v>
      </c>
    </row>
    <row r="675">
      <c r="A675" s="38"/>
      <c r="B675" s="8"/>
      <c r="D675" s="8"/>
      <c r="E675" s="58" t="str">
        <f t="array" ref="E675">IF(D675="","",IFERROR(_xlfn.XLOOKUP(D675,SyncCodex!L:L,SyncCodex!M:M),""))</f>
        <v/>
      </c>
      <c r="F675" s="8" t="b">
        <v>0</v>
      </c>
      <c r="G675" s="8" t="b">
        <v>0</v>
      </c>
    </row>
    <row r="676">
      <c r="A676" s="38"/>
      <c r="B676" s="8"/>
      <c r="D676" s="8"/>
      <c r="E676" s="58" t="str">
        <f t="array" ref="E676">IF(D676="","",IFERROR(_xlfn.XLOOKUP(D676,SyncCodex!L:L,SyncCodex!M:M),""))</f>
        <v/>
      </c>
      <c r="F676" s="8" t="b">
        <v>0</v>
      </c>
      <c r="G676" s="8" t="b">
        <v>0</v>
      </c>
    </row>
    <row r="677">
      <c r="A677" s="38"/>
      <c r="B677" s="8"/>
      <c r="D677" s="8"/>
      <c r="E677" s="58" t="str">
        <f t="array" ref="E677">IF(D677="","",IFERROR(_xlfn.XLOOKUP(D677,SyncCodex!L:L,SyncCodex!M:M),""))</f>
        <v/>
      </c>
      <c r="F677" s="8" t="b">
        <v>0</v>
      </c>
      <c r="G677" s="8" t="b">
        <v>0</v>
      </c>
    </row>
    <row r="678">
      <c r="A678" s="38"/>
      <c r="B678" s="8"/>
      <c r="D678" s="8"/>
      <c r="E678" s="58" t="str">
        <f t="array" ref="E678">IF(D678="","",IFERROR(_xlfn.XLOOKUP(D678,SyncCodex!L:L,SyncCodex!M:M),""))</f>
        <v/>
      </c>
      <c r="F678" s="8" t="b">
        <v>0</v>
      </c>
      <c r="G678" s="8" t="b">
        <v>0</v>
      </c>
    </row>
    <row r="679">
      <c r="A679" s="38"/>
      <c r="B679" s="8"/>
      <c r="D679" s="8"/>
      <c r="E679" s="58" t="str">
        <f t="array" ref="E679">IF(D679="","",IFERROR(_xlfn.XLOOKUP(D679,SyncCodex!L:L,SyncCodex!M:M),""))</f>
        <v/>
      </c>
      <c r="F679" s="8" t="b">
        <v>0</v>
      </c>
      <c r="G679" s="8" t="b">
        <v>0</v>
      </c>
    </row>
    <row r="680">
      <c r="A680" s="38"/>
      <c r="B680" s="8"/>
      <c r="D680" s="8"/>
      <c r="E680" s="58" t="str">
        <f t="array" ref="E680">IF(D680="","",IFERROR(_xlfn.XLOOKUP(D680,SyncCodex!L:L,SyncCodex!M:M),""))</f>
        <v/>
      </c>
      <c r="F680" s="8" t="b">
        <v>0</v>
      </c>
      <c r="G680" s="8" t="b">
        <v>0</v>
      </c>
    </row>
    <row r="681">
      <c r="A681" s="38"/>
      <c r="B681" s="8"/>
      <c r="D681" s="8"/>
      <c r="E681" s="58" t="str">
        <f t="array" ref="E681">IF(D681="","",IFERROR(_xlfn.XLOOKUP(D681,SyncCodex!L:L,SyncCodex!M:M),""))</f>
        <v/>
      </c>
      <c r="F681" s="8" t="b">
        <v>0</v>
      </c>
      <c r="G681" s="8" t="b">
        <v>0</v>
      </c>
    </row>
    <row r="682">
      <c r="A682" s="38"/>
      <c r="B682" s="8"/>
      <c r="D682" s="8"/>
      <c r="E682" s="58" t="str">
        <f t="array" ref="E682">IF(D682="","",IFERROR(_xlfn.XLOOKUP(D682,SyncCodex!L:L,SyncCodex!M:M),""))</f>
        <v/>
      </c>
      <c r="F682" s="8" t="b">
        <v>0</v>
      </c>
      <c r="G682" s="8" t="b">
        <v>0</v>
      </c>
    </row>
    <row r="683">
      <c r="A683" s="38"/>
      <c r="B683" s="8"/>
      <c r="D683" s="8"/>
      <c r="E683" s="58" t="str">
        <f t="array" ref="E683">IF(D683="","",IFERROR(_xlfn.XLOOKUP(D683,SyncCodex!L:L,SyncCodex!M:M),""))</f>
        <v/>
      </c>
      <c r="F683" s="8" t="b">
        <v>0</v>
      </c>
      <c r="G683" s="8" t="b">
        <v>0</v>
      </c>
    </row>
    <row r="684">
      <c r="A684" s="38"/>
      <c r="B684" s="8"/>
      <c r="D684" s="8"/>
      <c r="E684" s="58" t="str">
        <f t="array" ref="E684">IF(D684="","",IFERROR(_xlfn.XLOOKUP(D684,SyncCodex!L:L,SyncCodex!M:M),""))</f>
        <v/>
      </c>
      <c r="F684" s="8" t="b">
        <v>0</v>
      </c>
      <c r="G684" s="8" t="b">
        <v>0</v>
      </c>
    </row>
    <row r="685">
      <c r="A685" s="38"/>
      <c r="B685" s="8"/>
      <c r="D685" s="8"/>
      <c r="E685" s="58" t="str">
        <f t="array" ref="E685">IF(D685="","",IFERROR(_xlfn.XLOOKUP(D685,SyncCodex!L:L,SyncCodex!M:M),""))</f>
        <v/>
      </c>
      <c r="F685" s="8" t="b">
        <v>0</v>
      </c>
      <c r="G685" s="8" t="b">
        <v>0</v>
      </c>
    </row>
    <row r="686">
      <c r="A686" s="38"/>
      <c r="B686" s="8"/>
      <c r="D686" s="8"/>
      <c r="E686" s="58" t="str">
        <f t="array" ref="E686">IF(D686="","",IFERROR(_xlfn.XLOOKUP(D686,SyncCodex!L:L,SyncCodex!M:M),""))</f>
        <v/>
      </c>
      <c r="F686" s="8" t="b">
        <v>0</v>
      </c>
      <c r="G686" s="8" t="b">
        <v>0</v>
      </c>
    </row>
    <row r="687">
      <c r="A687" s="38"/>
      <c r="B687" s="8"/>
      <c r="D687" s="8"/>
      <c r="E687" s="58" t="str">
        <f t="array" ref="E687">IF(D687="","",IFERROR(_xlfn.XLOOKUP(D687,SyncCodex!L:L,SyncCodex!M:M),""))</f>
        <v/>
      </c>
      <c r="F687" s="8" t="b">
        <v>0</v>
      </c>
      <c r="G687" s="8" t="b">
        <v>0</v>
      </c>
    </row>
    <row r="688">
      <c r="A688" s="38"/>
      <c r="B688" s="8"/>
      <c r="D688" s="8"/>
      <c r="E688" s="58" t="str">
        <f t="array" ref="E688">IF(D688="","",IFERROR(_xlfn.XLOOKUP(D688,SyncCodex!L:L,SyncCodex!M:M),""))</f>
        <v/>
      </c>
      <c r="F688" s="8" t="b">
        <v>0</v>
      </c>
      <c r="G688" s="8" t="b">
        <v>0</v>
      </c>
    </row>
    <row r="689">
      <c r="A689" s="38"/>
      <c r="B689" s="8"/>
      <c r="D689" s="8"/>
      <c r="E689" s="58" t="str">
        <f t="array" ref="E689">IF(D689="","",IFERROR(_xlfn.XLOOKUP(D689,SyncCodex!L:L,SyncCodex!M:M),""))</f>
        <v/>
      </c>
      <c r="F689" s="8" t="b">
        <v>0</v>
      </c>
      <c r="G689" s="8" t="b">
        <v>0</v>
      </c>
    </row>
    <row r="690">
      <c r="A690" s="38"/>
      <c r="B690" s="8"/>
      <c r="D690" s="8"/>
      <c r="E690" s="58" t="str">
        <f t="array" ref="E690">IF(D690="","",IFERROR(_xlfn.XLOOKUP(D690,SyncCodex!L:L,SyncCodex!M:M),""))</f>
        <v/>
      </c>
      <c r="F690" s="8" t="b">
        <v>0</v>
      </c>
      <c r="G690" s="8" t="b">
        <v>0</v>
      </c>
    </row>
    <row r="691">
      <c r="A691" s="38"/>
      <c r="B691" s="8"/>
      <c r="D691" s="8"/>
      <c r="E691" s="58" t="str">
        <f t="array" ref="E691">IF(D691="","",IFERROR(_xlfn.XLOOKUP(D691,SyncCodex!L:L,SyncCodex!M:M),""))</f>
        <v/>
      </c>
      <c r="F691" s="8" t="b">
        <v>0</v>
      </c>
      <c r="G691" s="8" t="b">
        <v>0</v>
      </c>
    </row>
    <row r="692">
      <c r="A692" s="38"/>
      <c r="B692" s="8"/>
      <c r="D692" s="8"/>
      <c r="E692" s="58" t="str">
        <f t="array" ref="E692">IF(D692="","",IFERROR(_xlfn.XLOOKUP(D692,SyncCodex!L:L,SyncCodex!M:M),""))</f>
        <v/>
      </c>
      <c r="F692" s="8" t="b">
        <v>0</v>
      </c>
      <c r="G692" s="8" t="b">
        <v>0</v>
      </c>
    </row>
    <row r="693">
      <c r="A693" s="38"/>
      <c r="B693" s="8"/>
      <c r="D693" s="8"/>
      <c r="E693" s="58" t="str">
        <f t="array" ref="E693">IF(D693="","",IFERROR(_xlfn.XLOOKUP(D693,SyncCodex!L:L,SyncCodex!M:M),""))</f>
        <v/>
      </c>
      <c r="F693" s="8" t="b">
        <v>0</v>
      </c>
      <c r="G693" s="8" t="b">
        <v>0</v>
      </c>
    </row>
    <row r="694">
      <c r="A694" s="38"/>
      <c r="B694" s="8"/>
      <c r="D694" s="8"/>
      <c r="E694" s="58" t="str">
        <f t="array" ref="E694">IF(D694="","",IFERROR(_xlfn.XLOOKUP(D694,SyncCodex!L:L,SyncCodex!M:M),""))</f>
        <v/>
      </c>
      <c r="F694" s="8" t="b">
        <v>0</v>
      </c>
      <c r="G694" s="8" t="b">
        <v>0</v>
      </c>
    </row>
    <row r="695">
      <c r="A695" s="38"/>
      <c r="B695" s="8"/>
      <c r="D695" s="8"/>
      <c r="E695" s="58" t="str">
        <f t="array" ref="E695">IF(D695="","",IFERROR(_xlfn.XLOOKUP(D695,SyncCodex!L:L,SyncCodex!M:M),""))</f>
        <v/>
      </c>
      <c r="F695" s="8" t="b">
        <v>0</v>
      </c>
      <c r="G695" s="8" t="b">
        <v>0</v>
      </c>
    </row>
    <row r="696">
      <c r="A696" s="38"/>
      <c r="B696" s="8"/>
      <c r="D696" s="8"/>
      <c r="E696" s="58" t="str">
        <f t="array" ref="E696">IF(D696="","",IFERROR(_xlfn.XLOOKUP(D696,SyncCodex!L:L,SyncCodex!M:M),""))</f>
        <v/>
      </c>
      <c r="F696" s="8" t="b">
        <v>0</v>
      </c>
      <c r="G696" s="8" t="b">
        <v>0</v>
      </c>
    </row>
    <row r="697">
      <c r="A697" s="38"/>
      <c r="B697" s="8"/>
      <c r="D697" s="8"/>
      <c r="E697" s="58" t="str">
        <f t="array" ref="E697">IF(D697="","",IFERROR(_xlfn.XLOOKUP(D697,SyncCodex!L:L,SyncCodex!M:M),""))</f>
        <v/>
      </c>
      <c r="F697" s="8" t="b">
        <v>0</v>
      </c>
      <c r="G697" s="8" t="b">
        <v>0</v>
      </c>
    </row>
    <row r="698">
      <c r="A698" s="38"/>
      <c r="B698" s="8"/>
      <c r="D698" s="8"/>
      <c r="E698" s="58" t="str">
        <f t="array" ref="E698">IF(D698="","",IFERROR(_xlfn.XLOOKUP(D698,SyncCodex!L:L,SyncCodex!M:M),""))</f>
        <v/>
      </c>
      <c r="F698" s="8" t="b">
        <v>0</v>
      </c>
      <c r="G698" s="8" t="b">
        <v>0</v>
      </c>
    </row>
    <row r="699">
      <c r="A699" s="38"/>
      <c r="B699" s="8"/>
      <c r="D699" s="8"/>
      <c r="E699" s="58" t="str">
        <f t="array" ref="E699">IF(D699="","",IFERROR(_xlfn.XLOOKUP(D699,SyncCodex!L:L,SyncCodex!M:M),""))</f>
        <v/>
      </c>
      <c r="F699" s="8" t="b">
        <v>0</v>
      </c>
      <c r="G699" s="8" t="b">
        <v>0</v>
      </c>
    </row>
    <row r="700">
      <c r="A700" s="38"/>
      <c r="B700" s="8"/>
      <c r="D700" s="8"/>
      <c r="E700" s="58" t="str">
        <f t="array" ref="E700">IF(D700="","",IFERROR(_xlfn.XLOOKUP(D700,SyncCodex!L:L,SyncCodex!M:M),""))</f>
        <v/>
      </c>
      <c r="F700" s="8" t="b">
        <v>0</v>
      </c>
      <c r="G700" s="8" t="b">
        <v>0</v>
      </c>
    </row>
    <row r="701">
      <c r="A701" s="38"/>
      <c r="B701" s="8"/>
      <c r="D701" s="8"/>
      <c r="E701" s="58" t="str">
        <f t="array" ref="E701">IF(D701="","",IFERROR(_xlfn.XLOOKUP(D701,SyncCodex!L:L,SyncCodex!M:M),""))</f>
        <v/>
      </c>
      <c r="F701" s="8" t="b">
        <v>0</v>
      </c>
      <c r="G701" s="8" t="b">
        <v>0</v>
      </c>
    </row>
    <row r="702">
      <c r="A702" s="38"/>
      <c r="B702" s="8"/>
      <c r="D702" s="8"/>
      <c r="E702" s="58" t="str">
        <f t="array" ref="E702">IF(D702="","",IFERROR(_xlfn.XLOOKUP(D702,SyncCodex!L:L,SyncCodex!M:M),""))</f>
        <v/>
      </c>
      <c r="F702" s="8" t="b">
        <v>0</v>
      </c>
      <c r="G702" s="8" t="b">
        <v>0</v>
      </c>
    </row>
    <row r="703">
      <c r="A703" s="38"/>
      <c r="B703" s="8"/>
      <c r="D703" s="8"/>
      <c r="E703" s="58" t="str">
        <f t="array" ref="E703">IF(D703="","",IFERROR(_xlfn.XLOOKUP(D703,SyncCodex!L:L,SyncCodex!M:M),""))</f>
        <v/>
      </c>
      <c r="F703" s="8" t="b">
        <v>0</v>
      </c>
      <c r="G703" s="8" t="b">
        <v>0</v>
      </c>
    </row>
    <row r="704">
      <c r="A704" s="38"/>
      <c r="B704" s="8"/>
      <c r="D704" s="8"/>
      <c r="E704" s="58" t="str">
        <f t="array" ref="E704">IF(D704="","",IFERROR(_xlfn.XLOOKUP(D704,SyncCodex!L:L,SyncCodex!M:M),""))</f>
        <v/>
      </c>
      <c r="F704" s="8" t="b">
        <v>0</v>
      </c>
      <c r="G704" s="8" t="b">
        <v>0</v>
      </c>
    </row>
    <row r="705">
      <c r="A705" s="38"/>
      <c r="B705" s="8"/>
      <c r="D705" s="8"/>
      <c r="E705" s="58" t="str">
        <f t="array" ref="E705">IF(D705="","",IFERROR(_xlfn.XLOOKUP(D705,SyncCodex!L:L,SyncCodex!M:M),""))</f>
        <v/>
      </c>
      <c r="F705" s="8" t="b">
        <v>0</v>
      </c>
      <c r="G705" s="8" t="b">
        <v>0</v>
      </c>
    </row>
    <row r="706">
      <c r="A706" s="38"/>
      <c r="B706" s="8"/>
      <c r="D706" s="8"/>
      <c r="E706" s="58" t="str">
        <f t="array" ref="E706">IF(D706="","",IFERROR(_xlfn.XLOOKUP(D706,SyncCodex!L:L,SyncCodex!M:M),""))</f>
        <v/>
      </c>
      <c r="F706" s="8" t="b">
        <v>0</v>
      </c>
      <c r="G706" s="8" t="b">
        <v>0</v>
      </c>
    </row>
    <row r="707">
      <c r="A707" s="38"/>
      <c r="B707" s="8"/>
      <c r="D707" s="8"/>
      <c r="E707" s="58" t="str">
        <f t="array" ref="E707">IF(D707="","",IFERROR(_xlfn.XLOOKUP(D707,SyncCodex!L:L,SyncCodex!M:M),""))</f>
        <v/>
      </c>
      <c r="F707" s="8" t="b">
        <v>0</v>
      </c>
      <c r="G707" s="8" t="b">
        <v>0</v>
      </c>
    </row>
    <row r="708">
      <c r="A708" s="38"/>
      <c r="B708" s="8"/>
      <c r="D708" s="8"/>
      <c r="E708" s="58" t="str">
        <f t="array" ref="E708">IF(D708="","",IFERROR(_xlfn.XLOOKUP(D708,SyncCodex!L:L,SyncCodex!M:M),""))</f>
        <v/>
      </c>
      <c r="F708" s="8" t="b">
        <v>0</v>
      </c>
      <c r="G708" s="8" t="b">
        <v>0</v>
      </c>
    </row>
    <row r="709">
      <c r="A709" s="38"/>
      <c r="B709" s="8"/>
      <c r="D709" s="8"/>
      <c r="E709" s="58" t="str">
        <f t="array" ref="E709">IF(D709="","",IFERROR(_xlfn.XLOOKUP(D709,SyncCodex!L:L,SyncCodex!M:M),""))</f>
        <v/>
      </c>
      <c r="F709" s="8" t="b">
        <v>0</v>
      </c>
      <c r="G709" s="8" t="b">
        <v>0</v>
      </c>
    </row>
    <row r="710">
      <c r="A710" s="38"/>
      <c r="B710" s="8"/>
      <c r="D710" s="8"/>
      <c r="E710" s="58" t="str">
        <f t="array" ref="E710">IF(D710="","",IFERROR(_xlfn.XLOOKUP(D710,SyncCodex!L:L,SyncCodex!M:M),""))</f>
        <v/>
      </c>
      <c r="F710" s="8" t="b">
        <v>0</v>
      </c>
      <c r="G710" s="8" t="b">
        <v>0</v>
      </c>
    </row>
    <row r="711">
      <c r="A711" s="38"/>
      <c r="B711" s="8"/>
      <c r="D711" s="8"/>
      <c r="E711" s="58" t="str">
        <f t="array" ref="E711">IF(D711="","",IFERROR(_xlfn.XLOOKUP(D711,SyncCodex!L:L,SyncCodex!M:M),""))</f>
        <v/>
      </c>
      <c r="F711" s="8" t="b">
        <v>0</v>
      </c>
      <c r="G711" s="8" t="b">
        <v>0</v>
      </c>
    </row>
    <row r="712">
      <c r="A712" s="38"/>
      <c r="B712" s="8"/>
      <c r="D712" s="8"/>
      <c r="E712" s="58" t="str">
        <f t="array" ref="E712">IF(D712="","",IFERROR(_xlfn.XLOOKUP(D712,SyncCodex!L:L,SyncCodex!M:M),""))</f>
        <v/>
      </c>
      <c r="F712" s="8" t="b">
        <v>0</v>
      </c>
      <c r="G712" s="8" t="b">
        <v>0</v>
      </c>
    </row>
    <row r="713">
      <c r="A713" s="38"/>
      <c r="B713" s="8"/>
      <c r="D713" s="8"/>
      <c r="E713" s="58" t="str">
        <f t="array" ref="E713">IF(D713="","",IFERROR(_xlfn.XLOOKUP(D713,SyncCodex!L:L,SyncCodex!M:M),""))</f>
        <v/>
      </c>
      <c r="F713" s="8" t="b">
        <v>0</v>
      </c>
      <c r="G713" s="8" t="b">
        <v>0</v>
      </c>
    </row>
    <row r="714">
      <c r="A714" s="38"/>
      <c r="B714" s="8"/>
      <c r="D714" s="8"/>
      <c r="E714" s="58" t="str">
        <f t="array" ref="E714">IF(D714="","",IFERROR(_xlfn.XLOOKUP(D714,SyncCodex!L:L,SyncCodex!M:M),""))</f>
        <v/>
      </c>
      <c r="F714" s="8" t="b">
        <v>0</v>
      </c>
      <c r="G714" s="8" t="b">
        <v>0</v>
      </c>
    </row>
    <row r="715">
      <c r="A715" s="38"/>
      <c r="B715" s="8"/>
      <c r="D715" s="8"/>
      <c r="E715" s="58" t="str">
        <f t="array" ref="E715">IF(D715="","",IFERROR(_xlfn.XLOOKUP(D715,SyncCodex!L:L,SyncCodex!M:M),""))</f>
        <v/>
      </c>
      <c r="F715" s="8" t="b">
        <v>0</v>
      </c>
      <c r="G715" s="8" t="b">
        <v>0</v>
      </c>
    </row>
    <row r="716">
      <c r="A716" s="38"/>
      <c r="B716" s="8"/>
      <c r="D716" s="8"/>
      <c r="E716" s="58" t="str">
        <f t="array" ref="E716">IF(D716="","",IFERROR(_xlfn.XLOOKUP(D716,SyncCodex!L:L,SyncCodex!M:M),""))</f>
        <v/>
      </c>
      <c r="F716" s="8" t="b">
        <v>0</v>
      </c>
      <c r="G716" s="8" t="b">
        <v>0</v>
      </c>
    </row>
    <row r="717">
      <c r="A717" s="38"/>
      <c r="B717" s="8"/>
      <c r="D717" s="8"/>
      <c r="E717" s="58" t="str">
        <f t="array" ref="E717">IF(D717="","",IFERROR(_xlfn.XLOOKUP(D717,SyncCodex!L:L,SyncCodex!M:M),""))</f>
        <v/>
      </c>
      <c r="F717" s="8" t="b">
        <v>0</v>
      </c>
      <c r="G717" s="8" t="b">
        <v>0</v>
      </c>
    </row>
    <row r="718">
      <c r="A718" s="38"/>
      <c r="B718" s="8"/>
      <c r="D718" s="8"/>
      <c r="E718" s="58" t="str">
        <f t="array" ref="E718">IF(D718="","",IFERROR(_xlfn.XLOOKUP(D718,SyncCodex!L:L,SyncCodex!M:M),""))</f>
        <v/>
      </c>
      <c r="F718" s="8" t="b">
        <v>0</v>
      </c>
      <c r="G718" s="8" t="b">
        <v>0</v>
      </c>
    </row>
    <row r="719">
      <c r="A719" s="38"/>
      <c r="B719" s="8"/>
      <c r="D719" s="8"/>
      <c r="E719" s="58" t="str">
        <f t="array" ref="E719">IF(D719="","",IFERROR(_xlfn.XLOOKUP(D719,SyncCodex!L:L,SyncCodex!M:M),""))</f>
        <v/>
      </c>
      <c r="F719" s="8" t="b">
        <v>0</v>
      </c>
      <c r="G719" s="8" t="b">
        <v>0</v>
      </c>
    </row>
    <row r="720">
      <c r="A720" s="38"/>
      <c r="B720" s="8"/>
      <c r="D720" s="8"/>
      <c r="E720" s="58" t="str">
        <f t="array" ref="E720">IF(D720="","",IFERROR(_xlfn.XLOOKUP(D720,SyncCodex!L:L,SyncCodex!M:M),""))</f>
        <v/>
      </c>
      <c r="F720" s="8" t="b">
        <v>0</v>
      </c>
      <c r="G720" s="8" t="b">
        <v>0</v>
      </c>
    </row>
    <row r="721">
      <c r="A721" s="38"/>
      <c r="B721" s="8"/>
      <c r="D721" s="8"/>
      <c r="E721" s="58" t="str">
        <f t="array" ref="E721">IF(D721="","",IFERROR(_xlfn.XLOOKUP(D721,SyncCodex!L:L,SyncCodex!M:M),""))</f>
        <v/>
      </c>
      <c r="F721" s="8" t="b">
        <v>0</v>
      </c>
      <c r="G721" s="8" t="b">
        <v>0</v>
      </c>
    </row>
    <row r="722">
      <c r="A722" s="38"/>
      <c r="B722" s="8"/>
      <c r="D722" s="8"/>
      <c r="E722" s="58" t="str">
        <f t="array" ref="E722">IF(D722="","",IFERROR(_xlfn.XLOOKUP(D722,SyncCodex!L:L,SyncCodex!M:M),""))</f>
        <v/>
      </c>
      <c r="F722" s="8" t="b">
        <v>0</v>
      </c>
      <c r="G722" s="8" t="b">
        <v>0</v>
      </c>
    </row>
    <row r="723">
      <c r="A723" s="38"/>
      <c r="B723" s="8"/>
      <c r="D723" s="8"/>
      <c r="E723" s="58" t="str">
        <f t="array" ref="E723">IF(D723="","",IFERROR(_xlfn.XLOOKUP(D723,SyncCodex!L:L,SyncCodex!M:M),""))</f>
        <v/>
      </c>
      <c r="F723" s="8" t="b">
        <v>0</v>
      </c>
      <c r="G723" s="8" t="b">
        <v>0</v>
      </c>
    </row>
    <row r="724">
      <c r="A724" s="38"/>
      <c r="B724" s="8"/>
      <c r="D724" s="8"/>
      <c r="E724" s="58" t="str">
        <f t="array" ref="E724">IF(D724="","",IFERROR(_xlfn.XLOOKUP(D724,SyncCodex!L:L,SyncCodex!M:M),""))</f>
        <v/>
      </c>
      <c r="F724" s="8" t="b">
        <v>0</v>
      </c>
      <c r="G724" s="8" t="b">
        <v>0</v>
      </c>
    </row>
    <row r="725">
      <c r="A725" s="38"/>
      <c r="B725" s="8"/>
      <c r="D725" s="8"/>
      <c r="E725" s="58" t="str">
        <f t="array" ref="E725">IF(D725="","",IFERROR(_xlfn.XLOOKUP(D725,SyncCodex!L:L,SyncCodex!M:M),""))</f>
        <v/>
      </c>
      <c r="F725" s="8" t="b">
        <v>0</v>
      </c>
      <c r="G725" s="8" t="b">
        <v>0</v>
      </c>
    </row>
    <row r="726">
      <c r="A726" s="38"/>
      <c r="B726" s="8"/>
      <c r="D726" s="8"/>
      <c r="E726" s="58" t="str">
        <f t="array" ref="E726">IF(D726="","",IFERROR(_xlfn.XLOOKUP(D726,SyncCodex!L:L,SyncCodex!M:M),""))</f>
        <v/>
      </c>
      <c r="F726" s="8" t="b">
        <v>0</v>
      </c>
      <c r="G726" s="8" t="b">
        <v>0</v>
      </c>
    </row>
    <row r="727">
      <c r="A727" s="38"/>
      <c r="B727" s="8"/>
      <c r="D727" s="8"/>
      <c r="E727" s="58" t="str">
        <f t="array" ref="E727">IF(D727="","",IFERROR(_xlfn.XLOOKUP(D727,SyncCodex!L:L,SyncCodex!M:M),""))</f>
        <v/>
      </c>
      <c r="F727" s="8" t="b">
        <v>0</v>
      </c>
      <c r="G727" s="8" t="b">
        <v>0</v>
      </c>
    </row>
    <row r="728">
      <c r="A728" s="38"/>
      <c r="B728" s="8"/>
      <c r="D728" s="8"/>
      <c r="E728" s="58" t="str">
        <f t="array" ref="E728">IF(D728="","",IFERROR(_xlfn.XLOOKUP(D728,SyncCodex!L:L,SyncCodex!M:M),""))</f>
        <v/>
      </c>
      <c r="F728" s="8" t="b">
        <v>0</v>
      </c>
      <c r="G728" s="8" t="b">
        <v>0</v>
      </c>
    </row>
    <row r="729">
      <c r="A729" s="38"/>
      <c r="B729" s="8"/>
      <c r="D729" s="8"/>
      <c r="E729" s="58" t="str">
        <f t="array" ref="E729">IF(D729="","",IFERROR(_xlfn.XLOOKUP(D729,SyncCodex!L:L,SyncCodex!M:M),""))</f>
        <v/>
      </c>
      <c r="F729" s="8" t="b">
        <v>0</v>
      </c>
      <c r="G729" s="8" t="b">
        <v>0</v>
      </c>
    </row>
    <row r="730">
      <c r="A730" s="38"/>
      <c r="B730" s="8"/>
      <c r="D730" s="8"/>
      <c r="E730" s="58" t="str">
        <f t="array" ref="E730">IF(D730="","",IFERROR(_xlfn.XLOOKUP(D730,SyncCodex!L:L,SyncCodex!M:M),""))</f>
        <v/>
      </c>
      <c r="F730" s="8" t="b">
        <v>0</v>
      </c>
      <c r="G730" s="8" t="b">
        <v>0</v>
      </c>
    </row>
    <row r="731">
      <c r="A731" s="38"/>
      <c r="B731" s="8"/>
      <c r="D731" s="8"/>
      <c r="E731" s="58" t="str">
        <f t="array" ref="E731">IF(D731="","",IFERROR(_xlfn.XLOOKUP(D731,SyncCodex!L:L,SyncCodex!M:M),""))</f>
        <v/>
      </c>
      <c r="F731" s="8" t="b">
        <v>0</v>
      </c>
      <c r="G731" s="8" t="b">
        <v>0</v>
      </c>
    </row>
    <row r="732">
      <c r="A732" s="38"/>
      <c r="B732" s="8"/>
      <c r="D732" s="8"/>
      <c r="E732" s="58" t="str">
        <f t="array" ref="E732">IF(D732="","",IFERROR(_xlfn.XLOOKUP(D732,SyncCodex!L:L,SyncCodex!M:M),""))</f>
        <v/>
      </c>
      <c r="F732" s="8" t="b">
        <v>0</v>
      </c>
      <c r="G732" s="8" t="b">
        <v>0</v>
      </c>
    </row>
    <row r="733">
      <c r="A733" s="38"/>
      <c r="B733" s="8"/>
      <c r="D733" s="8"/>
      <c r="E733" s="58" t="str">
        <f t="array" ref="E733">IF(D733="","",IFERROR(_xlfn.XLOOKUP(D733,SyncCodex!L:L,SyncCodex!M:M),""))</f>
        <v/>
      </c>
      <c r="F733" s="8" t="b">
        <v>0</v>
      </c>
      <c r="G733" s="8" t="b">
        <v>0</v>
      </c>
    </row>
    <row r="734">
      <c r="A734" s="38"/>
      <c r="B734" s="8"/>
      <c r="D734" s="8"/>
      <c r="E734" s="58" t="str">
        <f t="array" ref="E734">IF(D734="","",IFERROR(_xlfn.XLOOKUP(D734,SyncCodex!L:L,SyncCodex!M:M),""))</f>
        <v/>
      </c>
      <c r="F734" s="8" t="b">
        <v>0</v>
      </c>
      <c r="G734" s="8" t="b">
        <v>0</v>
      </c>
    </row>
    <row r="735">
      <c r="A735" s="38"/>
      <c r="B735" s="8"/>
      <c r="D735" s="8"/>
      <c r="E735" s="58" t="str">
        <f t="array" ref="E735">IF(D735="","",IFERROR(_xlfn.XLOOKUP(D735,SyncCodex!L:L,SyncCodex!M:M),""))</f>
        <v/>
      </c>
      <c r="F735" s="8" t="b">
        <v>0</v>
      </c>
      <c r="G735" s="8" t="b">
        <v>0</v>
      </c>
    </row>
    <row r="736">
      <c r="A736" s="38"/>
      <c r="B736" s="8"/>
      <c r="D736" s="8"/>
      <c r="E736" s="58" t="str">
        <f t="array" ref="E736">IF(D736="","",IFERROR(_xlfn.XLOOKUP(D736,SyncCodex!L:L,SyncCodex!M:M),""))</f>
        <v/>
      </c>
      <c r="F736" s="8" t="b">
        <v>0</v>
      </c>
      <c r="G736" s="8" t="b">
        <v>0</v>
      </c>
    </row>
    <row r="737">
      <c r="A737" s="38"/>
      <c r="B737" s="8"/>
      <c r="D737" s="8"/>
      <c r="E737" s="58" t="str">
        <f t="array" ref="E737">IF(D737="","",IFERROR(_xlfn.XLOOKUP(D737,SyncCodex!L:L,SyncCodex!M:M),""))</f>
        <v/>
      </c>
      <c r="F737" s="8" t="b">
        <v>0</v>
      </c>
      <c r="G737" s="8" t="b">
        <v>0</v>
      </c>
    </row>
    <row r="738">
      <c r="A738" s="38"/>
      <c r="B738" s="8"/>
      <c r="D738" s="8"/>
      <c r="E738" s="58" t="str">
        <f t="array" ref="E738">IF(D738="","",IFERROR(_xlfn.XLOOKUP(D738,SyncCodex!L:L,SyncCodex!M:M),""))</f>
        <v/>
      </c>
      <c r="F738" s="8" t="b">
        <v>0</v>
      </c>
      <c r="G738" s="8" t="b">
        <v>0</v>
      </c>
    </row>
    <row r="739">
      <c r="A739" s="38"/>
      <c r="B739" s="8"/>
      <c r="D739" s="8"/>
      <c r="E739" s="58" t="str">
        <f t="array" ref="E739">IF(D739="","",IFERROR(_xlfn.XLOOKUP(D739,SyncCodex!L:L,SyncCodex!M:M),""))</f>
        <v/>
      </c>
      <c r="F739" s="8" t="b">
        <v>0</v>
      </c>
      <c r="G739" s="8" t="b">
        <v>0</v>
      </c>
    </row>
    <row r="740">
      <c r="A740" s="38"/>
      <c r="B740" s="8"/>
      <c r="D740" s="8"/>
      <c r="E740" s="58" t="str">
        <f t="array" ref="E740">IF(D740="","",IFERROR(_xlfn.XLOOKUP(D740,SyncCodex!L:L,SyncCodex!M:M),""))</f>
        <v/>
      </c>
      <c r="F740" s="8" t="b">
        <v>0</v>
      </c>
      <c r="G740" s="8" t="b">
        <v>0</v>
      </c>
    </row>
    <row r="741">
      <c r="A741" s="38"/>
      <c r="B741" s="8"/>
      <c r="D741" s="8"/>
      <c r="E741" s="58" t="str">
        <f t="array" ref="E741">IF(D741="","",IFERROR(_xlfn.XLOOKUP(D741,SyncCodex!L:L,SyncCodex!M:M),""))</f>
        <v/>
      </c>
      <c r="F741" s="8" t="b">
        <v>0</v>
      </c>
      <c r="G741" s="8" t="b">
        <v>0</v>
      </c>
    </row>
    <row r="742">
      <c r="A742" s="38"/>
      <c r="B742" s="8"/>
      <c r="D742" s="8"/>
      <c r="E742" s="58" t="str">
        <f t="array" ref="E742">IF(D742="","",IFERROR(_xlfn.XLOOKUP(D742,SyncCodex!L:L,SyncCodex!M:M),""))</f>
        <v/>
      </c>
      <c r="F742" s="8" t="b">
        <v>0</v>
      </c>
      <c r="G742" s="8" t="b">
        <v>0</v>
      </c>
    </row>
    <row r="743">
      <c r="A743" s="38"/>
      <c r="B743" s="8"/>
      <c r="D743" s="8"/>
      <c r="E743" s="58" t="str">
        <f t="array" ref="E743">IF(D743="","",IFERROR(_xlfn.XLOOKUP(D743,SyncCodex!L:L,SyncCodex!M:M),""))</f>
        <v/>
      </c>
      <c r="F743" s="8" t="b">
        <v>0</v>
      </c>
      <c r="G743" s="8" t="b">
        <v>0</v>
      </c>
    </row>
    <row r="744">
      <c r="A744" s="38"/>
      <c r="B744" s="8"/>
      <c r="D744" s="8"/>
      <c r="E744" s="58" t="str">
        <f t="array" ref="E744">IF(D744="","",IFERROR(_xlfn.XLOOKUP(D744,SyncCodex!L:L,SyncCodex!M:M),""))</f>
        <v/>
      </c>
      <c r="F744" s="8" t="b">
        <v>0</v>
      </c>
      <c r="G744" s="8" t="b">
        <v>0</v>
      </c>
    </row>
    <row r="745">
      <c r="A745" s="38"/>
      <c r="B745" s="8"/>
      <c r="D745" s="8"/>
      <c r="E745" s="58" t="str">
        <f t="array" ref="E745">IF(D745="","",IFERROR(_xlfn.XLOOKUP(D745,SyncCodex!L:L,SyncCodex!M:M),""))</f>
        <v/>
      </c>
      <c r="F745" s="8" t="b">
        <v>0</v>
      </c>
      <c r="G745" s="8" t="b">
        <v>0</v>
      </c>
    </row>
    <row r="746">
      <c r="A746" s="38"/>
      <c r="B746" s="8"/>
      <c r="D746" s="8"/>
      <c r="E746" s="58" t="str">
        <f t="array" ref="E746">IF(D746="","",IFERROR(_xlfn.XLOOKUP(D746,SyncCodex!L:L,SyncCodex!M:M),""))</f>
        <v/>
      </c>
      <c r="F746" s="8" t="b">
        <v>0</v>
      </c>
      <c r="G746" s="8" t="b">
        <v>0</v>
      </c>
    </row>
    <row r="747">
      <c r="A747" s="38"/>
      <c r="B747" s="8"/>
      <c r="D747" s="8"/>
      <c r="E747" s="58" t="str">
        <f t="array" ref="E747">IF(D747="","",IFERROR(_xlfn.XLOOKUP(D747,SyncCodex!L:L,SyncCodex!M:M),""))</f>
        <v/>
      </c>
      <c r="F747" s="8" t="b">
        <v>0</v>
      </c>
      <c r="G747" s="8" t="b">
        <v>0</v>
      </c>
    </row>
    <row r="748">
      <c r="A748" s="38"/>
      <c r="B748" s="8"/>
      <c r="D748" s="8"/>
      <c r="E748" s="58" t="str">
        <f t="array" ref="E748">IF(D748="","",IFERROR(_xlfn.XLOOKUP(D748,SyncCodex!L:L,SyncCodex!M:M),""))</f>
        <v/>
      </c>
      <c r="F748" s="8" t="b">
        <v>0</v>
      </c>
      <c r="G748" s="8" t="b">
        <v>0</v>
      </c>
    </row>
    <row r="749">
      <c r="A749" s="38"/>
      <c r="B749" s="8"/>
      <c r="D749" s="8"/>
      <c r="E749" s="58" t="str">
        <f t="array" ref="E749">IF(D749="","",IFERROR(_xlfn.XLOOKUP(D749,SyncCodex!L:L,SyncCodex!M:M),""))</f>
        <v/>
      </c>
      <c r="F749" s="8" t="b">
        <v>0</v>
      </c>
      <c r="G749" s="8" t="b">
        <v>0</v>
      </c>
    </row>
    <row r="750">
      <c r="A750" s="38"/>
      <c r="B750" s="8"/>
      <c r="D750" s="8"/>
      <c r="E750" s="58" t="str">
        <f t="array" ref="E750">IF(D750="","",IFERROR(_xlfn.XLOOKUP(D750,SyncCodex!L:L,SyncCodex!M:M),""))</f>
        <v/>
      </c>
      <c r="F750" s="8" t="b">
        <v>0</v>
      </c>
      <c r="G750" s="8" t="b">
        <v>0</v>
      </c>
    </row>
    <row r="751">
      <c r="A751" s="38"/>
      <c r="B751" s="8"/>
      <c r="D751" s="8"/>
      <c r="E751" s="58" t="str">
        <f t="array" ref="E751">IF(D751="","",IFERROR(_xlfn.XLOOKUP(D751,SyncCodex!L:L,SyncCodex!M:M),""))</f>
        <v/>
      </c>
      <c r="F751" s="8" t="b">
        <v>0</v>
      </c>
      <c r="G751" s="8" t="b">
        <v>0</v>
      </c>
    </row>
    <row r="752">
      <c r="A752" s="38"/>
      <c r="B752" s="8"/>
      <c r="D752" s="8"/>
      <c r="E752" s="58" t="str">
        <f t="array" ref="E752">IF(D752="","",IFERROR(_xlfn.XLOOKUP(D752,SyncCodex!L:L,SyncCodex!M:M),""))</f>
        <v/>
      </c>
      <c r="F752" s="8" t="b">
        <v>0</v>
      </c>
      <c r="G752" s="8" t="b">
        <v>0</v>
      </c>
    </row>
    <row r="753">
      <c r="A753" s="38"/>
      <c r="B753" s="8"/>
      <c r="D753" s="8"/>
      <c r="E753" s="58" t="str">
        <f t="array" ref="E753">IF(D753="","",IFERROR(_xlfn.XLOOKUP(D753,SyncCodex!L:L,SyncCodex!M:M),""))</f>
        <v/>
      </c>
      <c r="F753" s="8" t="b">
        <v>0</v>
      </c>
      <c r="G753" s="8" t="b">
        <v>0</v>
      </c>
    </row>
    <row r="754">
      <c r="A754" s="38"/>
      <c r="B754" s="8"/>
      <c r="D754" s="8"/>
      <c r="E754" s="58" t="str">
        <f t="array" ref="E754">IF(D754="","",IFERROR(_xlfn.XLOOKUP(D754,SyncCodex!L:L,SyncCodex!M:M),""))</f>
        <v/>
      </c>
      <c r="F754" s="8" t="b">
        <v>0</v>
      </c>
      <c r="G754" s="8" t="b">
        <v>0</v>
      </c>
    </row>
    <row r="755">
      <c r="A755" s="38"/>
      <c r="B755" s="8"/>
      <c r="D755" s="8"/>
      <c r="E755" s="58" t="str">
        <f t="array" ref="E755">IF(D755="","",IFERROR(_xlfn.XLOOKUP(D755,SyncCodex!L:L,SyncCodex!M:M),""))</f>
        <v/>
      </c>
      <c r="F755" s="8" t="b">
        <v>0</v>
      </c>
      <c r="G755" s="8" t="b">
        <v>0</v>
      </c>
    </row>
    <row r="756">
      <c r="A756" s="38"/>
      <c r="B756" s="8"/>
      <c r="D756" s="8"/>
      <c r="E756" s="58" t="str">
        <f t="array" ref="E756">IF(D756="","",IFERROR(_xlfn.XLOOKUP(D756,SyncCodex!L:L,SyncCodex!M:M),""))</f>
        <v/>
      </c>
      <c r="F756" s="8" t="b">
        <v>0</v>
      </c>
      <c r="G756" s="8" t="b">
        <v>0</v>
      </c>
    </row>
    <row r="757">
      <c r="A757" s="38"/>
      <c r="B757" s="8"/>
      <c r="D757" s="8"/>
      <c r="E757" s="58" t="str">
        <f t="array" ref="E757">IF(D757="","",IFERROR(_xlfn.XLOOKUP(D757,SyncCodex!L:L,SyncCodex!M:M),""))</f>
        <v/>
      </c>
      <c r="F757" s="8" t="b">
        <v>0</v>
      </c>
      <c r="G757" s="8" t="b">
        <v>0</v>
      </c>
    </row>
    <row r="758">
      <c r="A758" s="38"/>
      <c r="B758" s="8"/>
      <c r="D758" s="8"/>
      <c r="E758" s="58" t="str">
        <f t="array" ref="E758">IF(D758="","",IFERROR(_xlfn.XLOOKUP(D758,SyncCodex!L:L,SyncCodex!M:M),""))</f>
        <v/>
      </c>
      <c r="F758" s="8" t="b">
        <v>0</v>
      </c>
      <c r="G758" s="8" t="b">
        <v>0</v>
      </c>
    </row>
    <row r="759">
      <c r="A759" s="38"/>
      <c r="B759" s="8"/>
      <c r="D759" s="8"/>
      <c r="E759" s="58" t="str">
        <f t="array" ref="E759">IF(D759="","",IFERROR(_xlfn.XLOOKUP(D759,SyncCodex!L:L,SyncCodex!M:M),""))</f>
        <v/>
      </c>
      <c r="F759" s="8" t="b">
        <v>0</v>
      </c>
      <c r="G759" s="8" t="b">
        <v>0</v>
      </c>
    </row>
    <row r="760">
      <c r="A760" s="38"/>
      <c r="B760" s="8"/>
      <c r="D760" s="8"/>
      <c r="E760" s="58" t="str">
        <f t="array" ref="E760">IF(D760="","",IFERROR(_xlfn.XLOOKUP(D760,SyncCodex!L:L,SyncCodex!M:M),""))</f>
        <v/>
      </c>
      <c r="F760" s="8" t="b">
        <v>0</v>
      </c>
      <c r="G760" s="8" t="b">
        <v>0</v>
      </c>
    </row>
    <row r="761">
      <c r="A761" s="38"/>
      <c r="B761" s="8"/>
      <c r="D761" s="8"/>
      <c r="E761" s="58" t="str">
        <f t="array" ref="E761">IF(D761="","",IFERROR(_xlfn.XLOOKUP(D761,SyncCodex!L:L,SyncCodex!M:M),""))</f>
        <v/>
      </c>
      <c r="F761" s="8" t="b">
        <v>0</v>
      </c>
      <c r="G761" s="8" t="b">
        <v>0</v>
      </c>
    </row>
    <row r="762">
      <c r="A762" s="38"/>
      <c r="B762" s="8"/>
      <c r="D762" s="8"/>
      <c r="E762" s="58" t="str">
        <f t="array" ref="E762">IF(D762="","",IFERROR(_xlfn.XLOOKUP(D762,SyncCodex!L:L,SyncCodex!M:M),""))</f>
        <v/>
      </c>
      <c r="F762" s="8" t="b">
        <v>0</v>
      </c>
      <c r="G762" s="8" t="b">
        <v>0</v>
      </c>
    </row>
    <row r="763">
      <c r="A763" s="38"/>
      <c r="B763" s="8"/>
      <c r="D763" s="8"/>
      <c r="E763" s="58" t="str">
        <f t="array" ref="E763">IF(D763="","",IFERROR(_xlfn.XLOOKUP(D763,SyncCodex!L:L,SyncCodex!M:M),""))</f>
        <v/>
      </c>
      <c r="F763" s="8" t="b">
        <v>0</v>
      </c>
      <c r="G763" s="8" t="b">
        <v>0</v>
      </c>
    </row>
    <row r="764">
      <c r="A764" s="38"/>
      <c r="B764" s="8"/>
      <c r="D764" s="8"/>
      <c r="E764" s="58" t="str">
        <f t="array" ref="E764">IF(D764="","",IFERROR(_xlfn.XLOOKUP(D764,SyncCodex!L:L,SyncCodex!M:M),""))</f>
        <v/>
      </c>
      <c r="F764" s="8" t="b">
        <v>0</v>
      </c>
      <c r="G764" s="8" t="b">
        <v>0</v>
      </c>
    </row>
    <row r="765">
      <c r="A765" s="38"/>
      <c r="B765" s="8"/>
      <c r="D765" s="8"/>
      <c r="E765" s="58" t="str">
        <f t="array" ref="E765">IF(D765="","",IFERROR(_xlfn.XLOOKUP(D765,SyncCodex!L:L,SyncCodex!M:M),""))</f>
        <v/>
      </c>
      <c r="F765" s="8" t="b">
        <v>0</v>
      </c>
      <c r="G765" s="8" t="b">
        <v>0</v>
      </c>
    </row>
    <row r="766">
      <c r="A766" s="38"/>
      <c r="B766" s="8"/>
      <c r="D766" s="8"/>
      <c r="E766" s="58" t="str">
        <f t="array" ref="E766">IF(D766="","",IFERROR(_xlfn.XLOOKUP(D766,SyncCodex!L:L,SyncCodex!M:M),""))</f>
        <v/>
      </c>
      <c r="F766" s="8" t="b">
        <v>0</v>
      </c>
      <c r="G766" s="8" t="b">
        <v>0</v>
      </c>
    </row>
    <row r="767">
      <c r="A767" s="38"/>
      <c r="B767" s="8"/>
      <c r="D767" s="8"/>
      <c r="E767" s="58" t="str">
        <f t="array" ref="E767">IF(D767="","",IFERROR(_xlfn.XLOOKUP(D767,SyncCodex!L:L,SyncCodex!M:M),""))</f>
        <v/>
      </c>
      <c r="F767" s="8" t="b">
        <v>0</v>
      </c>
      <c r="G767" s="8" t="b">
        <v>0</v>
      </c>
    </row>
    <row r="768">
      <c r="A768" s="38"/>
      <c r="B768" s="8"/>
      <c r="D768" s="8"/>
      <c r="E768" s="58" t="str">
        <f t="array" ref="E768">IF(D768="","",IFERROR(_xlfn.XLOOKUP(D768,SyncCodex!L:L,SyncCodex!M:M),""))</f>
        <v/>
      </c>
      <c r="F768" s="8" t="b">
        <v>0</v>
      </c>
      <c r="G768" s="8" t="b">
        <v>0</v>
      </c>
    </row>
    <row r="769">
      <c r="A769" s="38"/>
      <c r="B769" s="8"/>
      <c r="D769" s="8"/>
      <c r="E769" s="58" t="str">
        <f t="array" ref="E769">IF(D769="","",IFERROR(_xlfn.XLOOKUP(D769,SyncCodex!L:L,SyncCodex!M:M),""))</f>
        <v/>
      </c>
      <c r="F769" s="8" t="b">
        <v>0</v>
      </c>
      <c r="G769" s="8" t="b">
        <v>0</v>
      </c>
    </row>
    <row r="770">
      <c r="A770" s="38"/>
      <c r="B770" s="8"/>
      <c r="D770" s="8"/>
      <c r="E770" s="58" t="str">
        <f t="array" ref="E770">IF(D770="","",IFERROR(_xlfn.XLOOKUP(D770,SyncCodex!L:L,SyncCodex!M:M),""))</f>
        <v/>
      </c>
      <c r="F770" s="8" t="b">
        <v>0</v>
      </c>
      <c r="G770" s="8" t="b">
        <v>0</v>
      </c>
    </row>
    <row r="771">
      <c r="A771" s="38"/>
      <c r="B771" s="8"/>
      <c r="D771" s="8"/>
      <c r="E771" s="58" t="str">
        <f t="array" ref="E771">IF(D771="","",IFERROR(_xlfn.XLOOKUP(D771,SyncCodex!L:L,SyncCodex!M:M),""))</f>
        <v/>
      </c>
      <c r="F771" s="8" t="b">
        <v>0</v>
      </c>
      <c r="G771" s="8" t="b">
        <v>0</v>
      </c>
    </row>
    <row r="772">
      <c r="A772" s="38"/>
      <c r="B772" s="8"/>
      <c r="D772" s="8"/>
      <c r="E772" s="58" t="str">
        <f t="array" ref="E772">IF(D772="","",IFERROR(_xlfn.XLOOKUP(D772,SyncCodex!L:L,SyncCodex!M:M),""))</f>
        <v/>
      </c>
      <c r="F772" s="8" t="b">
        <v>0</v>
      </c>
      <c r="G772" s="8" t="b">
        <v>0</v>
      </c>
    </row>
    <row r="773">
      <c r="A773" s="38"/>
      <c r="B773" s="8"/>
      <c r="D773" s="8"/>
      <c r="E773" s="58" t="str">
        <f t="array" ref="E773">IF(D773="","",IFERROR(_xlfn.XLOOKUP(D773,SyncCodex!L:L,SyncCodex!M:M),""))</f>
        <v/>
      </c>
      <c r="F773" s="8" t="b">
        <v>0</v>
      </c>
      <c r="G773" s="8" t="b">
        <v>0</v>
      </c>
    </row>
    <row r="774">
      <c r="A774" s="38"/>
      <c r="B774" s="8"/>
      <c r="D774" s="8"/>
      <c r="E774" s="58" t="str">
        <f t="array" ref="E774">IF(D774="","",IFERROR(_xlfn.XLOOKUP(D774,SyncCodex!L:L,SyncCodex!M:M),""))</f>
        <v/>
      </c>
      <c r="F774" s="8" t="b">
        <v>0</v>
      </c>
      <c r="G774" s="8" t="b">
        <v>0</v>
      </c>
    </row>
    <row r="775">
      <c r="A775" s="38"/>
      <c r="B775" s="8"/>
      <c r="D775" s="8"/>
      <c r="E775" s="58" t="str">
        <f t="array" ref="E775">IF(D775="","",IFERROR(_xlfn.XLOOKUP(D775,SyncCodex!L:L,SyncCodex!M:M),""))</f>
        <v/>
      </c>
      <c r="F775" s="8" t="b">
        <v>0</v>
      </c>
      <c r="G775" s="8" t="b">
        <v>0</v>
      </c>
    </row>
    <row r="776">
      <c r="A776" s="38"/>
      <c r="B776" s="8"/>
      <c r="D776" s="8"/>
      <c r="E776" s="58" t="str">
        <f t="array" ref="E776">IF(D776="","",IFERROR(_xlfn.XLOOKUP(D776,SyncCodex!L:L,SyncCodex!M:M),""))</f>
        <v/>
      </c>
      <c r="F776" s="8" t="b">
        <v>0</v>
      </c>
      <c r="G776" s="8" t="b">
        <v>0</v>
      </c>
    </row>
    <row r="777">
      <c r="A777" s="38"/>
      <c r="B777" s="8"/>
      <c r="D777" s="8"/>
      <c r="E777" s="58" t="str">
        <f t="array" ref="E777">IF(D777="","",IFERROR(_xlfn.XLOOKUP(D777,SyncCodex!L:L,SyncCodex!M:M),""))</f>
        <v/>
      </c>
      <c r="F777" s="8" t="b">
        <v>0</v>
      </c>
      <c r="G777" s="8" t="b">
        <v>0</v>
      </c>
    </row>
    <row r="778">
      <c r="A778" s="38"/>
      <c r="B778" s="8"/>
      <c r="D778" s="8"/>
      <c r="E778" s="58" t="str">
        <f t="array" ref="E778">IF(D778="","",IFERROR(_xlfn.XLOOKUP(D778,SyncCodex!L:L,SyncCodex!M:M),""))</f>
        <v/>
      </c>
      <c r="F778" s="8" t="b">
        <v>0</v>
      </c>
      <c r="G778" s="8" t="b">
        <v>0</v>
      </c>
    </row>
    <row r="779">
      <c r="A779" s="38"/>
      <c r="B779" s="8"/>
      <c r="D779" s="8"/>
      <c r="E779" s="58" t="str">
        <f t="array" ref="E779">IF(D779="","",IFERROR(_xlfn.XLOOKUP(D779,SyncCodex!L:L,SyncCodex!M:M),""))</f>
        <v/>
      </c>
      <c r="F779" s="8" t="b">
        <v>0</v>
      </c>
      <c r="G779" s="8" t="b">
        <v>0</v>
      </c>
    </row>
    <row r="780">
      <c r="A780" s="38"/>
      <c r="B780" s="8"/>
      <c r="D780" s="8"/>
      <c r="E780" s="58" t="str">
        <f t="array" ref="E780">IF(D780="","",IFERROR(_xlfn.XLOOKUP(D780,SyncCodex!L:L,SyncCodex!M:M),""))</f>
        <v/>
      </c>
      <c r="F780" s="8" t="b">
        <v>0</v>
      </c>
      <c r="G780" s="8" t="b">
        <v>0</v>
      </c>
    </row>
    <row r="781">
      <c r="A781" s="38"/>
      <c r="B781" s="8"/>
      <c r="D781" s="8"/>
      <c r="E781" s="58" t="str">
        <f t="array" ref="E781">IF(D781="","",IFERROR(_xlfn.XLOOKUP(D781,SyncCodex!L:L,SyncCodex!M:M),""))</f>
        <v/>
      </c>
      <c r="F781" s="8" t="b">
        <v>0</v>
      </c>
      <c r="G781" s="8" t="b">
        <v>0</v>
      </c>
    </row>
    <row r="782">
      <c r="A782" s="38"/>
      <c r="B782" s="8"/>
      <c r="D782" s="8"/>
      <c r="E782" s="58" t="str">
        <f t="array" ref="E782">IF(D782="","",IFERROR(_xlfn.XLOOKUP(D782,SyncCodex!L:L,SyncCodex!M:M),""))</f>
        <v/>
      </c>
      <c r="F782" s="8" t="b">
        <v>0</v>
      </c>
      <c r="G782" s="8" t="b">
        <v>0</v>
      </c>
    </row>
    <row r="783">
      <c r="A783" s="38"/>
      <c r="B783" s="8"/>
      <c r="D783" s="8"/>
      <c r="E783" s="58" t="str">
        <f t="array" ref="E783">IF(D783="","",IFERROR(_xlfn.XLOOKUP(D783,SyncCodex!L:L,SyncCodex!M:M),""))</f>
        <v/>
      </c>
      <c r="F783" s="8" t="b">
        <v>0</v>
      </c>
      <c r="G783" s="8" t="b">
        <v>0</v>
      </c>
    </row>
    <row r="784">
      <c r="A784" s="38"/>
      <c r="B784" s="8"/>
      <c r="D784" s="8"/>
      <c r="E784" s="58" t="str">
        <f t="array" ref="E784">IF(D784="","",IFERROR(_xlfn.XLOOKUP(D784,SyncCodex!L:L,SyncCodex!M:M),""))</f>
        <v/>
      </c>
      <c r="F784" s="8" t="b">
        <v>0</v>
      </c>
      <c r="G784" s="8" t="b">
        <v>0</v>
      </c>
    </row>
    <row r="785">
      <c r="A785" s="38"/>
      <c r="B785" s="8"/>
      <c r="D785" s="8"/>
      <c r="E785" s="58" t="str">
        <f t="array" ref="E785">IF(D785="","",IFERROR(_xlfn.XLOOKUP(D785,SyncCodex!L:L,SyncCodex!M:M),""))</f>
        <v/>
      </c>
      <c r="F785" s="8" t="b">
        <v>0</v>
      </c>
      <c r="G785" s="8" t="b">
        <v>0</v>
      </c>
    </row>
    <row r="786">
      <c r="A786" s="38"/>
      <c r="B786" s="8"/>
      <c r="D786" s="8"/>
      <c r="E786" s="58" t="str">
        <f t="array" ref="E786">IF(D786="","",IFERROR(_xlfn.XLOOKUP(D786,SyncCodex!L:L,SyncCodex!M:M),""))</f>
        <v/>
      </c>
      <c r="F786" s="8" t="b">
        <v>0</v>
      </c>
      <c r="G786" s="8" t="b">
        <v>0</v>
      </c>
    </row>
    <row r="787">
      <c r="A787" s="38"/>
      <c r="B787" s="8"/>
      <c r="D787" s="8"/>
      <c r="E787" s="58" t="str">
        <f t="array" ref="E787">IF(D787="","",IFERROR(_xlfn.XLOOKUP(D787,SyncCodex!L:L,SyncCodex!M:M),""))</f>
        <v/>
      </c>
      <c r="F787" s="8" t="b">
        <v>0</v>
      </c>
      <c r="G787" s="8" t="b">
        <v>0</v>
      </c>
    </row>
    <row r="788">
      <c r="A788" s="38"/>
      <c r="B788" s="8"/>
      <c r="D788" s="8"/>
      <c r="E788" s="58" t="str">
        <f t="array" ref="E788">IF(D788="","",IFERROR(_xlfn.XLOOKUP(D788,SyncCodex!L:L,SyncCodex!M:M),""))</f>
        <v/>
      </c>
      <c r="F788" s="8" t="b">
        <v>0</v>
      </c>
      <c r="G788" s="8" t="b">
        <v>0</v>
      </c>
    </row>
    <row r="789">
      <c r="A789" s="38"/>
      <c r="B789" s="8"/>
      <c r="D789" s="8"/>
      <c r="E789" s="58" t="str">
        <f t="array" ref="E789">IF(D789="","",IFERROR(_xlfn.XLOOKUP(D789,SyncCodex!L:L,SyncCodex!M:M),""))</f>
        <v/>
      </c>
      <c r="F789" s="8" t="b">
        <v>0</v>
      </c>
      <c r="G789" s="8" t="b">
        <v>0</v>
      </c>
    </row>
    <row r="790">
      <c r="A790" s="38"/>
      <c r="B790" s="8"/>
      <c r="D790" s="8"/>
      <c r="E790" s="58" t="str">
        <f t="array" ref="E790">IF(D790="","",IFERROR(_xlfn.XLOOKUP(D790,SyncCodex!L:L,SyncCodex!M:M),""))</f>
        <v/>
      </c>
      <c r="F790" s="8" t="b">
        <v>0</v>
      </c>
      <c r="G790" s="8" t="b">
        <v>0</v>
      </c>
    </row>
    <row r="791">
      <c r="A791" s="38"/>
      <c r="B791" s="8"/>
      <c r="D791" s="8"/>
      <c r="E791" s="58" t="str">
        <f t="array" ref="E791">IF(D791="","",IFERROR(_xlfn.XLOOKUP(D791,SyncCodex!L:L,SyncCodex!M:M),""))</f>
        <v/>
      </c>
      <c r="F791" s="8" t="b">
        <v>0</v>
      </c>
      <c r="G791" s="8" t="b">
        <v>0</v>
      </c>
    </row>
    <row r="792">
      <c r="A792" s="38"/>
      <c r="B792" s="8"/>
      <c r="D792" s="8"/>
      <c r="E792" s="58" t="str">
        <f t="array" ref="E792">IF(D792="","",IFERROR(_xlfn.XLOOKUP(D792,SyncCodex!L:L,SyncCodex!M:M),""))</f>
        <v/>
      </c>
      <c r="F792" s="8" t="b">
        <v>0</v>
      </c>
      <c r="G792" s="8" t="b">
        <v>0</v>
      </c>
    </row>
    <row r="793">
      <c r="A793" s="38"/>
      <c r="B793" s="8"/>
      <c r="D793" s="8"/>
      <c r="E793" s="58" t="str">
        <f t="array" ref="E793">IF(D793="","",IFERROR(_xlfn.XLOOKUP(D793,SyncCodex!L:L,SyncCodex!M:M),""))</f>
        <v/>
      </c>
      <c r="F793" s="8" t="b">
        <v>0</v>
      </c>
      <c r="G793" s="8" t="b">
        <v>0</v>
      </c>
    </row>
    <row r="794">
      <c r="A794" s="38"/>
      <c r="B794" s="8"/>
      <c r="D794" s="8"/>
      <c r="E794" s="58" t="str">
        <f t="array" ref="E794">IF(D794="","",IFERROR(_xlfn.XLOOKUP(D794,SyncCodex!L:L,SyncCodex!M:M),""))</f>
        <v/>
      </c>
      <c r="F794" s="8" t="b">
        <v>0</v>
      </c>
      <c r="G794" s="8" t="b">
        <v>0</v>
      </c>
    </row>
    <row r="795">
      <c r="A795" s="38"/>
      <c r="B795" s="8"/>
      <c r="D795" s="8"/>
      <c r="E795" s="58" t="str">
        <f t="array" ref="E795">IF(D795="","",IFERROR(_xlfn.XLOOKUP(D795,SyncCodex!L:L,SyncCodex!M:M),""))</f>
        <v/>
      </c>
      <c r="F795" s="8" t="b">
        <v>0</v>
      </c>
      <c r="G795" s="8" t="b">
        <v>0</v>
      </c>
    </row>
    <row r="796">
      <c r="A796" s="38"/>
      <c r="B796" s="8"/>
      <c r="D796" s="8"/>
      <c r="E796" s="58" t="str">
        <f t="array" ref="E796">IF(D796="","",IFERROR(_xlfn.XLOOKUP(D796,SyncCodex!L:L,SyncCodex!M:M),""))</f>
        <v/>
      </c>
      <c r="F796" s="8" t="b">
        <v>0</v>
      </c>
      <c r="G796" s="8" t="b">
        <v>0</v>
      </c>
    </row>
    <row r="797">
      <c r="A797" s="38"/>
      <c r="B797" s="8"/>
      <c r="D797" s="8"/>
      <c r="E797" s="58" t="str">
        <f t="array" ref="E797">IF(D797="","",IFERROR(_xlfn.XLOOKUP(D797,SyncCodex!L:L,SyncCodex!M:M),""))</f>
        <v/>
      </c>
      <c r="F797" s="8" t="b">
        <v>0</v>
      </c>
      <c r="G797" s="8" t="b">
        <v>0</v>
      </c>
    </row>
    <row r="798">
      <c r="A798" s="38"/>
      <c r="B798" s="8"/>
      <c r="D798" s="8"/>
      <c r="E798" s="58" t="str">
        <f t="array" ref="E798">IF(D798="","",IFERROR(_xlfn.XLOOKUP(D798,SyncCodex!L:L,SyncCodex!M:M),""))</f>
        <v/>
      </c>
      <c r="F798" s="8" t="b">
        <v>0</v>
      </c>
      <c r="G798" s="8" t="b">
        <v>0</v>
      </c>
    </row>
    <row r="799">
      <c r="A799" s="38"/>
      <c r="B799" s="8"/>
      <c r="D799" s="8"/>
      <c r="E799" s="58" t="str">
        <f t="array" ref="E799">IF(D799="","",IFERROR(_xlfn.XLOOKUP(D799,SyncCodex!L:L,SyncCodex!M:M),""))</f>
        <v/>
      </c>
      <c r="F799" s="8" t="b">
        <v>0</v>
      </c>
      <c r="G799" s="8" t="b">
        <v>0</v>
      </c>
    </row>
    <row r="800">
      <c r="A800" s="38"/>
      <c r="B800" s="8"/>
      <c r="D800" s="8"/>
      <c r="E800" s="58" t="str">
        <f t="array" ref="E800">IF(D800="","",IFERROR(_xlfn.XLOOKUP(D800,SyncCodex!L:L,SyncCodex!M:M),""))</f>
        <v/>
      </c>
      <c r="F800" s="8" t="b">
        <v>0</v>
      </c>
      <c r="G800" s="8" t="b">
        <v>0</v>
      </c>
    </row>
    <row r="801">
      <c r="A801" s="38"/>
      <c r="B801" s="8"/>
      <c r="D801" s="8"/>
      <c r="E801" s="58" t="str">
        <f t="array" ref="E801">IF(D801="","",IFERROR(_xlfn.XLOOKUP(D801,SyncCodex!L:L,SyncCodex!M:M),""))</f>
        <v/>
      </c>
      <c r="F801" s="8" t="b">
        <v>0</v>
      </c>
      <c r="G801" s="8" t="b">
        <v>0</v>
      </c>
    </row>
    <row r="802">
      <c r="A802" s="38"/>
      <c r="B802" s="8"/>
      <c r="D802" s="8"/>
      <c r="E802" s="58" t="str">
        <f t="array" ref="E802">IF(D802="","",IFERROR(_xlfn.XLOOKUP(D802,SyncCodex!L:L,SyncCodex!M:M),""))</f>
        <v/>
      </c>
      <c r="F802" s="8" t="b">
        <v>0</v>
      </c>
      <c r="G802" s="8" t="b">
        <v>0</v>
      </c>
    </row>
    <row r="803">
      <c r="A803" s="38"/>
      <c r="B803" s="8"/>
      <c r="D803" s="8"/>
      <c r="E803" s="58" t="str">
        <f t="array" ref="E803">IF(D803="","",IFERROR(_xlfn.XLOOKUP(D803,SyncCodex!L:L,SyncCodex!M:M),""))</f>
        <v/>
      </c>
      <c r="F803" s="8" t="b">
        <v>0</v>
      </c>
      <c r="G803" s="8" t="b">
        <v>0</v>
      </c>
    </row>
    <row r="804">
      <c r="A804" s="38"/>
      <c r="B804" s="8"/>
      <c r="D804" s="8"/>
      <c r="E804" s="58" t="str">
        <f t="array" ref="E804">IF(D804="","",IFERROR(_xlfn.XLOOKUP(D804,SyncCodex!L:L,SyncCodex!M:M),""))</f>
        <v/>
      </c>
      <c r="F804" s="8" t="b">
        <v>0</v>
      </c>
      <c r="G804" s="8" t="b">
        <v>0</v>
      </c>
    </row>
    <row r="805">
      <c r="A805" s="38"/>
      <c r="B805" s="8"/>
      <c r="D805" s="8"/>
      <c r="E805" s="58" t="str">
        <f t="array" ref="E805">IF(D805="","",IFERROR(_xlfn.XLOOKUP(D805,SyncCodex!L:L,SyncCodex!M:M),""))</f>
        <v/>
      </c>
      <c r="F805" s="8" t="b">
        <v>0</v>
      </c>
      <c r="G805" s="8" t="b">
        <v>0</v>
      </c>
    </row>
    <row r="806">
      <c r="A806" s="38"/>
      <c r="B806" s="8"/>
      <c r="D806" s="8"/>
      <c r="E806" s="58" t="str">
        <f t="array" ref="E806">IF(D806="","",IFERROR(_xlfn.XLOOKUP(D806,SyncCodex!L:L,SyncCodex!M:M),""))</f>
        <v/>
      </c>
      <c r="F806" s="8" t="b">
        <v>0</v>
      </c>
      <c r="G806" s="8" t="b">
        <v>0</v>
      </c>
    </row>
    <row r="807">
      <c r="A807" s="38"/>
      <c r="B807" s="8"/>
      <c r="D807" s="8"/>
      <c r="E807" s="58" t="str">
        <f t="array" ref="E807">IF(D807="","",IFERROR(_xlfn.XLOOKUP(D807,SyncCodex!L:L,SyncCodex!M:M),""))</f>
        <v/>
      </c>
      <c r="F807" s="8" t="b">
        <v>0</v>
      </c>
      <c r="G807" s="8" t="b">
        <v>0</v>
      </c>
    </row>
    <row r="808">
      <c r="A808" s="38"/>
      <c r="B808" s="8"/>
      <c r="D808" s="8"/>
      <c r="E808" s="58" t="str">
        <f t="array" ref="E808">IF(D808="","",IFERROR(_xlfn.XLOOKUP(D808,SyncCodex!L:L,SyncCodex!M:M),""))</f>
        <v/>
      </c>
      <c r="F808" s="8" t="b">
        <v>0</v>
      </c>
      <c r="G808" s="8" t="b">
        <v>0</v>
      </c>
    </row>
    <row r="809">
      <c r="A809" s="38"/>
      <c r="B809" s="8"/>
      <c r="D809" s="8"/>
      <c r="E809" s="58" t="str">
        <f t="array" ref="E809">IF(D809="","",IFERROR(_xlfn.XLOOKUP(D809,SyncCodex!L:L,SyncCodex!M:M),""))</f>
        <v/>
      </c>
      <c r="F809" s="8" t="b">
        <v>0</v>
      </c>
      <c r="G809" s="8" t="b">
        <v>0</v>
      </c>
    </row>
    <row r="810">
      <c r="A810" s="38"/>
      <c r="B810" s="8"/>
      <c r="D810" s="8"/>
      <c r="E810" s="58" t="str">
        <f t="array" ref="E810">IF(D810="","",IFERROR(_xlfn.XLOOKUP(D810,SyncCodex!L:L,SyncCodex!M:M),""))</f>
        <v/>
      </c>
      <c r="F810" s="8" t="b">
        <v>0</v>
      </c>
      <c r="G810" s="8" t="b">
        <v>0</v>
      </c>
    </row>
    <row r="811">
      <c r="A811" s="38"/>
      <c r="B811" s="8"/>
      <c r="D811" s="8"/>
      <c r="E811" s="58" t="str">
        <f t="array" ref="E811">IF(D811="","",IFERROR(_xlfn.XLOOKUP(D811,SyncCodex!L:L,SyncCodex!M:M),""))</f>
        <v/>
      </c>
      <c r="F811" s="8" t="b">
        <v>0</v>
      </c>
      <c r="G811" s="8" t="b">
        <v>0</v>
      </c>
    </row>
    <row r="812">
      <c r="A812" s="38"/>
      <c r="B812" s="8"/>
      <c r="D812" s="8"/>
      <c r="E812" s="58" t="str">
        <f t="array" ref="E812">IF(D812="","",IFERROR(_xlfn.XLOOKUP(D812,SyncCodex!L:L,SyncCodex!M:M),""))</f>
        <v/>
      </c>
      <c r="F812" s="8" t="b">
        <v>0</v>
      </c>
      <c r="G812" s="8" t="b">
        <v>0</v>
      </c>
    </row>
    <row r="813">
      <c r="A813" s="38"/>
      <c r="B813" s="8"/>
      <c r="D813" s="8"/>
      <c r="E813" s="58" t="str">
        <f t="array" ref="E813">IF(D813="","",IFERROR(_xlfn.XLOOKUP(D813,SyncCodex!L:L,SyncCodex!M:M),""))</f>
        <v/>
      </c>
      <c r="F813" s="8" t="b">
        <v>0</v>
      </c>
      <c r="G813" s="8" t="b">
        <v>0</v>
      </c>
    </row>
    <row r="814">
      <c r="A814" s="38"/>
      <c r="B814" s="8"/>
      <c r="D814" s="8"/>
      <c r="E814" s="58" t="str">
        <f t="array" ref="E814">IF(D814="","",IFERROR(_xlfn.XLOOKUP(D814,SyncCodex!L:L,SyncCodex!M:M),""))</f>
        <v/>
      </c>
      <c r="F814" s="8" t="b">
        <v>0</v>
      </c>
      <c r="G814" s="8" t="b">
        <v>0</v>
      </c>
    </row>
    <row r="815">
      <c r="A815" s="38"/>
      <c r="B815" s="8"/>
      <c r="D815" s="8"/>
      <c r="E815" s="58" t="str">
        <f t="array" ref="E815">IF(D815="","",IFERROR(_xlfn.XLOOKUP(D815,SyncCodex!L:L,SyncCodex!M:M),""))</f>
        <v/>
      </c>
      <c r="F815" s="8" t="b">
        <v>0</v>
      </c>
      <c r="G815" s="8" t="b">
        <v>0</v>
      </c>
    </row>
    <row r="816">
      <c r="A816" s="38"/>
      <c r="B816" s="8"/>
      <c r="D816" s="8"/>
      <c r="E816" s="58" t="str">
        <f t="array" ref="E816">IF(D816="","",IFERROR(_xlfn.XLOOKUP(D816,SyncCodex!L:L,SyncCodex!M:M),""))</f>
        <v/>
      </c>
      <c r="F816" s="8" t="b">
        <v>0</v>
      </c>
      <c r="G816" s="8" t="b">
        <v>0</v>
      </c>
    </row>
    <row r="817">
      <c r="A817" s="38"/>
      <c r="B817" s="8"/>
      <c r="D817" s="8"/>
      <c r="E817" s="58" t="str">
        <f t="array" ref="E817">IF(D817="","",IFERROR(_xlfn.XLOOKUP(D817,SyncCodex!L:L,SyncCodex!M:M),""))</f>
        <v/>
      </c>
      <c r="F817" s="8" t="b">
        <v>0</v>
      </c>
      <c r="G817" s="8" t="b">
        <v>0</v>
      </c>
    </row>
    <row r="818">
      <c r="A818" s="38"/>
      <c r="B818" s="8"/>
      <c r="D818" s="8"/>
      <c r="E818" s="58" t="str">
        <f t="array" ref="E818">IF(D818="","",IFERROR(_xlfn.XLOOKUP(D818,SyncCodex!L:L,SyncCodex!M:M),""))</f>
        <v/>
      </c>
      <c r="F818" s="8" t="b">
        <v>0</v>
      </c>
      <c r="G818" s="8" t="b">
        <v>0</v>
      </c>
    </row>
    <row r="819">
      <c r="A819" s="38"/>
      <c r="B819" s="8"/>
      <c r="D819" s="8"/>
      <c r="E819" s="58" t="str">
        <f t="array" ref="E819">IF(D819="","",IFERROR(_xlfn.XLOOKUP(D819,SyncCodex!L:L,SyncCodex!M:M),""))</f>
        <v/>
      </c>
      <c r="F819" s="8" t="b">
        <v>0</v>
      </c>
      <c r="G819" s="8" t="b">
        <v>0</v>
      </c>
    </row>
    <row r="820">
      <c r="A820" s="38"/>
      <c r="B820" s="8"/>
      <c r="D820" s="8"/>
      <c r="E820" s="58" t="str">
        <f t="array" ref="E820">IF(D820="","",IFERROR(_xlfn.XLOOKUP(D820,SyncCodex!L:L,SyncCodex!M:M),""))</f>
        <v/>
      </c>
      <c r="F820" s="8" t="b">
        <v>0</v>
      </c>
      <c r="G820" s="8" t="b">
        <v>0</v>
      </c>
    </row>
    <row r="821">
      <c r="A821" s="38"/>
      <c r="B821" s="8"/>
      <c r="D821" s="8"/>
      <c r="E821" s="58" t="str">
        <f t="array" ref="E821">IF(D821="","",IFERROR(_xlfn.XLOOKUP(D821,SyncCodex!L:L,SyncCodex!M:M),""))</f>
        <v/>
      </c>
      <c r="F821" s="8" t="b">
        <v>0</v>
      </c>
      <c r="G821" s="8" t="b">
        <v>0</v>
      </c>
    </row>
    <row r="822">
      <c r="A822" s="38"/>
      <c r="B822" s="8"/>
      <c r="D822" s="8"/>
      <c r="E822" s="58" t="str">
        <f t="array" ref="E822">IF(D822="","",IFERROR(_xlfn.XLOOKUP(D822,SyncCodex!L:L,SyncCodex!M:M),""))</f>
        <v/>
      </c>
      <c r="F822" s="8" t="b">
        <v>0</v>
      </c>
      <c r="G822" s="8" t="b">
        <v>0</v>
      </c>
    </row>
    <row r="823">
      <c r="A823" s="38"/>
      <c r="B823" s="8"/>
      <c r="D823" s="8"/>
      <c r="E823" s="58" t="str">
        <f t="array" ref="E823">IF(D823="","",IFERROR(_xlfn.XLOOKUP(D823,SyncCodex!L:L,SyncCodex!M:M),""))</f>
        <v/>
      </c>
      <c r="F823" s="8" t="b">
        <v>0</v>
      </c>
      <c r="G823" s="8" t="b">
        <v>0</v>
      </c>
    </row>
    <row r="824">
      <c r="A824" s="38"/>
      <c r="B824" s="8"/>
      <c r="D824" s="8"/>
      <c r="E824" s="58" t="str">
        <f t="array" ref="E824">IF(D824="","",IFERROR(_xlfn.XLOOKUP(D824,SyncCodex!L:L,SyncCodex!M:M),""))</f>
        <v/>
      </c>
      <c r="F824" s="8" t="b">
        <v>0</v>
      </c>
      <c r="G824" s="8" t="b">
        <v>0</v>
      </c>
    </row>
    <row r="825">
      <c r="A825" s="38"/>
      <c r="B825" s="8"/>
      <c r="D825" s="8"/>
      <c r="E825" s="58" t="str">
        <f t="array" ref="E825">IF(D825="","",IFERROR(_xlfn.XLOOKUP(D825,SyncCodex!L:L,SyncCodex!M:M),""))</f>
        <v/>
      </c>
      <c r="F825" s="8" t="b">
        <v>0</v>
      </c>
      <c r="G825" s="8" t="b">
        <v>0</v>
      </c>
    </row>
    <row r="826">
      <c r="A826" s="38"/>
      <c r="B826" s="8"/>
      <c r="D826" s="8"/>
      <c r="E826" s="58" t="str">
        <f t="array" ref="E826">IF(D826="","",IFERROR(_xlfn.XLOOKUP(D826,SyncCodex!L:L,SyncCodex!M:M),""))</f>
        <v/>
      </c>
      <c r="F826" s="8" t="b">
        <v>0</v>
      </c>
      <c r="G826" s="8" t="b">
        <v>0</v>
      </c>
    </row>
    <row r="827">
      <c r="A827" s="38"/>
      <c r="B827" s="8"/>
      <c r="D827" s="8"/>
      <c r="E827" s="58" t="str">
        <f t="array" ref="E827">IF(D827="","",IFERROR(_xlfn.XLOOKUP(D827,SyncCodex!L:L,SyncCodex!M:M),""))</f>
        <v/>
      </c>
      <c r="F827" s="8" t="b">
        <v>0</v>
      </c>
      <c r="G827" s="8" t="b">
        <v>0</v>
      </c>
    </row>
    <row r="828">
      <c r="A828" s="38"/>
      <c r="B828" s="8"/>
      <c r="D828" s="8"/>
      <c r="E828" s="58" t="str">
        <f t="array" ref="E828">IF(D828="","",IFERROR(_xlfn.XLOOKUP(D828,SyncCodex!L:L,SyncCodex!M:M),""))</f>
        <v/>
      </c>
      <c r="F828" s="8" t="b">
        <v>0</v>
      </c>
      <c r="G828" s="8" t="b">
        <v>0</v>
      </c>
    </row>
    <row r="829">
      <c r="A829" s="38"/>
      <c r="B829" s="8"/>
      <c r="D829" s="8"/>
      <c r="E829" s="58" t="str">
        <f t="array" ref="E829">IF(D829="","",IFERROR(_xlfn.XLOOKUP(D829,SyncCodex!L:L,SyncCodex!M:M),""))</f>
        <v/>
      </c>
      <c r="F829" s="8" t="b">
        <v>0</v>
      </c>
      <c r="G829" s="8" t="b">
        <v>0</v>
      </c>
    </row>
    <row r="830">
      <c r="A830" s="38"/>
      <c r="B830" s="8"/>
      <c r="D830" s="8"/>
      <c r="E830" s="58" t="str">
        <f t="array" ref="E830">IF(D830="","",IFERROR(_xlfn.XLOOKUP(D830,SyncCodex!L:L,SyncCodex!M:M),""))</f>
        <v/>
      </c>
      <c r="F830" s="8" t="b">
        <v>0</v>
      </c>
      <c r="G830" s="8" t="b">
        <v>0</v>
      </c>
    </row>
    <row r="831">
      <c r="A831" s="38"/>
      <c r="B831" s="8"/>
      <c r="D831" s="8"/>
      <c r="E831" s="58" t="str">
        <f t="array" ref="E831">IF(D831="","",IFERROR(_xlfn.XLOOKUP(D831,SyncCodex!L:L,SyncCodex!M:M),""))</f>
        <v/>
      </c>
      <c r="F831" s="8" t="b">
        <v>0</v>
      </c>
      <c r="G831" s="8" t="b">
        <v>0</v>
      </c>
    </row>
    <row r="832">
      <c r="A832" s="38"/>
      <c r="B832" s="8"/>
      <c r="D832" s="8"/>
      <c r="E832" s="58" t="str">
        <f t="array" ref="E832">IF(D832="","",IFERROR(_xlfn.XLOOKUP(D832,SyncCodex!L:L,SyncCodex!M:M),""))</f>
        <v/>
      </c>
      <c r="F832" s="8" t="b">
        <v>0</v>
      </c>
      <c r="G832" s="8" t="b">
        <v>0</v>
      </c>
    </row>
    <row r="833">
      <c r="A833" s="38"/>
      <c r="B833" s="8"/>
      <c r="D833" s="8"/>
      <c r="E833" s="58" t="str">
        <f t="array" ref="E833">IF(D833="","",IFERROR(_xlfn.XLOOKUP(D833,SyncCodex!L:L,SyncCodex!M:M),""))</f>
        <v/>
      </c>
      <c r="F833" s="8" t="b">
        <v>0</v>
      </c>
      <c r="G833" s="8" t="b">
        <v>0</v>
      </c>
    </row>
    <row r="834">
      <c r="A834" s="38"/>
      <c r="B834" s="8"/>
      <c r="D834" s="8"/>
      <c r="E834" s="58" t="str">
        <f t="array" ref="E834">IF(D834="","",IFERROR(_xlfn.XLOOKUP(D834,SyncCodex!L:L,SyncCodex!M:M),""))</f>
        <v/>
      </c>
      <c r="F834" s="8" t="b">
        <v>0</v>
      </c>
      <c r="G834" s="8" t="b">
        <v>0</v>
      </c>
    </row>
    <row r="835">
      <c r="A835" s="38"/>
      <c r="B835" s="8"/>
      <c r="D835" s="8"/>
      <c r="E835" s="58" t="str">
        <f t="array" ref="E835">IF(D835="","",IFERROR(_xlfn.XLOOKUP(D835,SyncCodex!L:L,SyncCodex!M:M),""))</f>
        <v/>
      </c>
      <c r="F835" s="8" t="b">
        <v>0</v>
      </c>
      <c r="G835" s="8" t="b">
        <v>0</v>
      </c>
    </row>
    <row r="836">
      <c r="A836" s="38"/>
      <c r="B836" s="8"/>
      <c r="D836" s="8"/>
      <c r="E836" s="58" t="str">
        <f t="array" ref="E836">IF(D836="","",IFERROR(_xlfn.XLOOKUP(D836,SyncCodex!L:L,SyncCodex!M:M),""))</f>
        <v/>
      </c>
      <c r="F836" s="8" t="b">
        <v>0</v>
      </c>
      <c r="G836" s="8" t="b">
        <v>0</v>
      </c>
    </row>
    <row r="837">
      <c r="A837" s="38"/>
      <c r="B837" s="8"/>
      <c r="D837" s="8"/>
      <c r="E837" s="58" t="str">
        <f t="array" ref="E837">IF(D837="","",IFERROR(_xlfn.XLOOKUP(D837,SyncCodex!L:L,SyncCodex!M:M),""))</f>
        <v/>
      </c>
      <c r="F837" s="8" t="b">
        <v>0</v>
      </c>
      <c r="G837" s="8" t="b">
        <v>0</v>
      </c>
    </row>
    <row r="838">
      <c r="A838" s="38"/>
      <c r="B838" s="8"/>
      <c r="D838" s="8"/>
      <c r="E838" s="58" t="str">
        <f t="array" ref="E838">IF(D838="","",IFERROR(_xlfn.XLOOKUP(D838,SyncCodex!L:L,SyncCodex!M:M),""))</f>
        <v/>
      </c>
      <c r="F838" s="8" t="b">
        <v>0</v>
      </c>
      <c r="G838" s="8" t="b">
        <v>0</v>
      </c>
    </row>
    <row r="839">
      <c r="A839" s="38"/>
      <c r="B839" s="8"/>
      <c r="D839" s="8"/>
      <c r="E839" s="58" t="str">
        <f t="array" ref="E839">IF(D839="","",IFERROR(_xlfn.XLOOKUP(D839,SyncCodex!L:L,SyncCodex!M:M),""))</f>
        <v/>
      </c>
      <c r="F839" s="8" t="b">
        <v>0</v>
      </c>
      <c r="G839" s="8" t="b">
        <v>0</v>
      </c>
    </row>
    <row r="840">
      <c r="A840" s="38"/>
      <c r="B840" s="8"/>
      <c r="D840" s="8"/>
      <c r="E840" s="58" t="str">
        <f t="array" ref="E840">IF(D840="","",IFERROR(_xlfn.XLOOKUP(D840,SyncCodex!L:L,SyncCodex!M:M),""))</f>
        <v/>
      </c>
      <c r="F840" s="8" t="b">
        <v>0</v>
      </c>
      <c r="G840" s="8" t="b">
        <v>0</v>
      </c>
    </row>
    <row r="841">
      <c r="A841" s="38"/>
      <c r="B841" s="8"/>
      <c r="D841" s="8"/>
      <c r="E841" s="58" t="str">
        <f t="array" ref="E841">IF(D841="","",IFERROR(_xlfn.XLOOKUP(D841,SyncCodex!L:L,SyncCodex!M:M),""))</f>
        <v/>
      </c>
      <c r="F841" s="8" t="b">
        <v>0</v>
      </c>
      <c r="G841" s="8" t="b">
        <v>0</v>
      </c>
    </row>
    <row r="842">
      <c r="A842" s="38"/>
      <c r="B842" s="8"/>
      <c r="D842" s="8"/>
      <c r="E842" s="58" t="str">
        <f t="array" ref="E842">IF(D842="","",IFERROR(_xlfn.XLOOKUP(D842,SyncCodex!L:L,SyncCodex!M:M),""))</f>
        <v/>
      </c>
      <c r="F842" s="8" t="b">
        <v>0</v>
      </c>
      <c r="G842" s="8" t="b">
        <v>0</v>
      </c>
    </row>
    <row r="843">
      <c r="A843" s="38"/>
      <c r="B843" s="8"/>
      <c r="D843" s="8"/>
      <c r="E843" s="58" t="str">
        <f t="array" ref="E843">IF(D843="","",IFERROR(_xlfn.XLOOKUP(D843,SyncCodex!L:L,SyncCodex!M:M),""))</f>
        <v/>
      </c>
      <c r="F843" s="8" t="b">
        <v>0</v>
      </c>
      <c r="G843" s="8" t="b">
        <v>0</v>
      </c>
    </row>
    <row r="844">
      <c r="A844" s="38"/>
      <c r="B844" s="8"/>
      <c r="D844" s="8"/>
      <c r="E844" s="58" t="str">
        <f t="array" ref="E844">IF(D844="","",IFERROR(_xlfn.XLOOKUP(D844,SyncCodex!L:L,SyncCodex!M:M),""))</f>
        <v/>
      </c>
      <c r="F844" s="8" t="b">
        <v>0</v>
      </c>
      <c r="G844" s="8" t="b">
        <v>0</v>
      </c>
    </row>
    <row r="845">
      <c r="A845" s="38"/>
      <c r="B845" s="8"/>
      <c r="D845" s="8"/>
      <c r="E845" s="58" t="str">
        <f t="array" ref="E845">IF(D845="","",IFERROR(_xlfn.XLOOKUP(D845,SyncCodex!L:L,SyncCodex!M:M),""))</f>
        <v/>
      </c>
      <c r="F845" s="8" t="b">
        <v>0</v>
      </c>
      <c r="G845" s="8" t="b">
        <v>0</v>
      </c>
    </row>
    <row r="846">
      <c r="A846" s="38"/>
      <c r="B846" s="8"/>
      <c r="D846" s="8"/>
      <c r="E846" s="58" t="str">
        <f t="array" ref="E846">IF(D846="","",IFERROR(_xlfn.XLOOKUP(D846,SyncCodex!L:L,SyncCodex!M:M),""))</f>
        <v/>
      </c>
      <c r="F846" s="8" t="b">
        <v>0</v>
      </c>
      <c r="G846" s="8" t="b">
        <v>0</v>
      </c>
    </row>
    <row r="847">
      <c r="A847" s="38"/>
      <c r="B847" s="8"/>
      <c r="D847" s="8"/>
      <c r="E847" s="58" t="str">
        <f t="array" ref="E847">IF(D847="","",IFERROR(_xlfn.XLOOKUP(D847,SyncCodex!L:L,SyncCodex!M:M),""))</f>
        <v/>
      </c>
      <c r="F847" s="8" t="b">
        <v>0</v>
      </c>
      <c r="G847" s="8" t="b">
        <v>0</v>
      </c>
    </row>
    <row r="848">
      <c r="A848" s="38"/>
      <c r="B848" s="8"/>
      <c r="D848" s="8"/>
      <c r="E848" s="58" t="str">
        <f t="array" ref="E848">IF(D848="","",IFERROR(_xlfn.XLOOKUP(D848,SyncCodex!L:L,SyncCodex!M:M),""))</f>
        <v/>
      </c>
      <c r="F848" s="8" t="b">
        <v>0</v>
      </c>
      <c r="G848" s="8" t="b">
        <v>0</v>
      </c>
    </row>
    <row r="849">
      <c r="A849" s="38"/>
      <c r="B849" s="8"/>
      <c r="D849" s="8"/>
      <c r="E849" s="58" t="str">
        <f t="array" ref="E849">IF(D849="","",IFERROR(_xlfn.XLOOKUP(D849,SyncCodex!L:L,SyncCodex!M:M),""))</f>
        <v/>
      </c>
      <c r="F849" s="8" t="b">
        <v>0</v>
      </c>
      <c r="G849" s="8" t="b">
        <v>0</v>
      </c>
    </row>
    <row r="850">
      <c r="A850" s="38"/>
      <c r="B850" s="8"/>
      <c r="D850" s="8"/>
      <c r="E850" s="58" t="str">
        <f t="array" ref="E850">IF(D850="","",IFERROR(_xlfn.XLOOKUP(D850,SyncCodex!L:L,SyncCodex!M:M),""))</f>
        <v/>
      </c>
      <c r="F850" s="8" t="b">
        <v>0</v>
      </c>
      <c r="G850" s="8" t="b">
        <v>0</v>
      </c>
    </row>
    <row r="851">
      <c r="A851" s="38"/>
      <c r="B851" s="8"/>
      <c r="D851" s="8"/>
      <c r="E851" s="58" t="str">
        <f t="array" ref="E851">IF(D851="","",IFERROR(_xlfn.XLOOKUP(D851,SyncCodex!L:L,SyncCodex!M:M),""))</f>
        <v/>
      </c>
      <c r="F851" s="8" t="b">
        <v>0</v>
      </c>
      <c r="G851" s="8" t="b">
        <v>0</v>
      </c>
    </row>
    <row r="852">
      <c r="A852" s="38"/>
      <c r="B852" s="8"/>
      <c r="D852" s="8"/>
      <c r="E852" s="58" t="str">
        <f t="array" ref="E852">IF(D852="","",IFERROR(_xlfn.XLOOKUP(D852,SyncCodex!L:L,SyncCodex!M:M),""))</f>
        <v/>
      </c>
      <c r="F852" s="8" t="b">
        <v>0</v>
      </c>
      <c r="G852" s="8" t="b">
        <v>0</v>
      </c>
    </row>
    <row r="853">
      <c r="A853" s="38"/>
      <c r="B853" s="8"/>
      <c r="D853" s="8"/>
      <c r="E853" s="58" t="str">
        <f t="array" ref="E853">IF(D853="","",IFERROR(_xlfn.XLOOKUP(D853,SyncCodex!L:L,SyncCodex!M:M),""))</f>
        <v/>
      </c>
      <c r="F853" s="8" t="b">
        <v>0</v>
      </c>
      <c r="G853" s="8" t="b">
        <v>0</v>
      </c>
    </row>
    <row r="854">
      <c r="A854" s="38"/>
      <c r="B854" s="8"/>
      <c r="D854" s="8"/>
      <c r="E854" s="58" t="str">
        <f t="array" ref="E854">IF(D854="","",IFERROR(_xlfn.XLOOKUP(D854,SyncCodex!L:L,SyncCodex!M:M),""))</f>
        <v/>
      </c>
      <c r="F854" s="8" t="b">
        <v>0</v>
      </c>
      <c r="G854" s="8" t="b">
        <v>0</v>
      </c>
    </row>
    <row r="855">
      <c r="A855" s="38"/>
      <c r="B855" s="8"/>
      <c r="D855" s="8"/>
      <c r="E855" s="58" t="str">
        <f t="array" ref="E855">IF(D855="","",IFERROR(_xlfn.XLOOKUP(D855,SyncCodex!L:L,SyncCodex!M:M),""))</f>
        <v/>
      </c>
      <c r="F855" s="8" t="b">
        <v>0</v>
      </c>
      <c r="G855" s="8" t="b">
        <v>0</v>
      </c>
    </row>
    <row r="856">
      <c r="A856" s="38"/>
      <c r="B856" s="8"/>
      <c r="D856" s="8"/>
      <c r="E856" s="58" t="str">
        <f t="array" ref="E856">IF(D856="","",IFERROR(_xlfn.XLOOKUP(D856,SyncCodex!L:L,SyncCodex!M:M),""))</f>
        <v/>
      </c>
      <c r="F856" s="8" t="b">
        <v>0</v>
      </c>
      <c r="G856" s="8" t="b">
        <v>0</v>
      </c>
    </row>
    <row r="857">
      <c r="A857" s="38"/>
      <c r="B857" s="8"/>
      <c r="D857" s="8"/>
      <c r="E857" s="58" t="str">
        <f t="array" ref="E857">IF(D857="","",IFERROR(_xlfn.XLOOKUP(D857,SyncCodex!L:L,SyncCodex!M:M),""))</f>
        <v/>
      </c>
      <c r="F857" s="8" t="b">
        <v>0</v>
      </c>
      <c r="G857" s="8" t="b">
        <v>0</v>
      </c>
    </row>
    <row r="858">
      <c r="A858" s="38"/>
      <c r="B858" s="8"/>
      <c r="D858" s="8"/>
      <c r="E858" s="58" t="str">
        <f t="array" ref="E858">IF(D858="","",IFERROR(_xlfn.XLOOKUP(D858,SyncCodex!L:L,SyncCodex!M:M),""))</f>
        <v/>
      </c>
      <c r="F858" s="8" t="b">
        <v>0</v>
      </c>
      <c r="G858" s="8" t="b">
        <v>0</v>
      </c>
    </row>
    <row r="859">
      <c r="A859" s="38"/>
      <c r="B859" s="8"/>
      <c r="D859" s="8"/>
      <c r="E859" s="58" t="str">
        <f t="array" ref="E859">IF(D859="","",IFERROR(_xlfn.XLOOKUP(D859,SyncCodex!L:L,SyncCodex!M:M),""))</f>
        <v/>
      </c>
      <c r="F859" s="8" t="b">
        <v>0</v>
      </c>
      <c r="G859" s="8" t="b">
        <v>0</v>
      </c>
    </row>
    <row r="860">
      <c r="A860" s="38"/>
      <c r="B860" s="8"/>
      <c r="D860" s="8"/>
      <c r="E860" s="58" t="str">
        <f t="array" ref="E860">IF(D860="","",IFERROR(_xlfn.XLOOKUP(D860,SyncCodex!L:L,SyncCodex!M:M),""))</f>
        <v/>
      </c>
      <c r="F860" s="8" t="b">
        <v>0</v>
      </c>
      <c r="G860" s="8" t="b">
        <v>0</v>
      </c>
    </row>
    <row r="861">
      <c r="A861" s="38"/>
      <c r="B861" s="8"/>
      <c r="D861" s="8"/>
      <c r="E861" s="58" t="str">
        <f t="array" ref="E861">IF(D861="","",IFERROR(_xlfn.XLOOKUP(D861,SyncCodex!L:L,SyncCodex!M:M),""))</f>
        <v/>
      </c>
      <c r="F861" s="8" t="b">
        <v>0</v>
      </c>
      <c r="G861" s="8" t="b">
        <v>0</v>
      </c>
    </row>
    <row r="862">
      <c r="A862" s="38"/>
      <c r="B862" s="8"/>
      <c r="D862" s="8"/>
      <c r="E862" s="58" t="str">
        <f t="array" ref="E862">IF(D862="","",IFERROR(_xlfn.XLOOKUP(D862,SyncCodex!L:L,SyncCodex!M:M),""))</f>
        <v/>
      </c>
      <c r="F862" s="8" t="b">
        <v>0</v>
      </c>
      <c r="G862" s="8" t="b">
        <v>0</v>
      </c>
    </row>
    <row r="863">
      <c r="A863" s="38"/>
      <c r="B863" s="8"/>
      <c r="D863" s="8"/>
      <c r="E863" s="58" t="str">
        <f t="array" ref="E863">IF(D863="","",IFERROR(_xlfn.XLOOKUP(D863,SyncCodex!L:L,SyncCodex!M:M),""))</f>
        <v/>
      </c>
      <c r="F863" s="8" t="b">
        <v>0</v>
      </c>
      <c r="G863" s="8" t="b">
        <v>0</v>
      </c>
    </row>
    <row r="864">
      <c r="A864" s="38"/>
      <c r="B864" s="8"/>
      <c r="D864" s="8"/>
      <c r="E864" s="58" t="str">
        <f t="array" ref="E864">IF(D864="","",IFERROR(_xlfn.XLOOKUP(D864,SyncCodex!L:L,SyncCodex!M:M),""))</f>
        <v/>
      </c>
      <c r="F864" s="8" t="b">
        <v>0</v>
      </c>
      <c r="G864" s="8" t="b">
        <v>0</v>
      </c>
    </row>
    <row r="865">
      <c r="A865" s="38"/>
      <c r="B865" s="8"/>
      <c r="D865" s="8"/>
      <c r="E865" s="58" t="str">
        <f t="array" ref="E865">IF(D865="","",IFERROR(_xlfn.XLOOKUP(D865,SyncCodex!L:L,SyncCodex!M:M),""))</f>
        <v/>
      </c>
      <c r="F865" s="8" t="b">
        <v>0</v>
      </c>
      <c r="G865" s="8" t="b">
        <v>0</v>
      </c>
    </row>
    <row r="866">
      <c r="A866" s="38"/>
      <c r="B866" s="8"/>
      <c r="D866" s="8"/>
      <c r="E866" s="58" t="str">
        <f t="array" ref="E866">IF(D866="","",IFERROR(_xlfn.XLOOKUP(D866,SyncCodex!L:L,SyncCodex!M:M),""))</f>
        <v/>
      </c>
      <c r="F866" s="8" t="b">
        <v>0</v>
      </c>
      <c r="G866" s="8" t="b">
        <v>0</v>
      </c>
    </row>
    <row r="867">
      <c r="A867" s="38"/>
      <c r="B867" s="8"/>
      <c r="D867" s="8"/>
      <c r="E867" s="58" t="str">
        <f t="array" ref="E867">IF(D867="","",IFERROR(_xlfn.XLOOKUP(D867,SyncCodex!L:L,SyncCodex!M:M),""))</f>
        <v/>
      </c>
      <c r="F867" s="8" t="b">
        <v>0</v>
      </c>
      <c r="G867" s="8" t="b">
        <v>0</v>
      </c>
    </row>
    <row r="868">
      <c r="A868" s="38"/>
      <c r="B868" s="8"/>
      <c r="D868" s="8"/>
      <c r="E868" s="58" t="str">
        <f t="array" ref="E868">IF(D868="","",IFERROR(_xlfn.XLOOKUP(D868,SyncCodex!L:L,SyncCodex!M:M),""))</f>
        <v/>
      </c>
      <c r="F868" s="8" t="b">
        <v>0</v>
      </c>
      <c r="G868" s="8" t="b">
        <v>0</v>
      </c>
    </row>
    <row r="869">
      <c r="A869" s="38"/>
      <c r="B869" s="8"/>
      <c r="D869" s="8"/>
      <c r="E869" s="58" t="str">
        <f t="array" ref="E869">IF(D869="","",IFERROR(_xlfn.XLOOKUP(D869,SyncCodex!L:L,SyncCodex!M:M),""))</f>
        <v/>
      </c>
      <c r="F869" s="8" t="b">
        <v>0</v>
      </c>
      <c r="G869" s="8" t="b">
        <v>0</v>
      </c>
    </row>
    <row r="870">
      <c r="A870" s="38"/>
      <c r="B870" s="8"/>
      <c r="D870" s="8"/>
      <c r="E870" s="58" t="str">
        <f t="array" ref="E870">IF(D870="","",IFERROR(_xlfn.XLOOKUP(D870,SyncCodex!L:L,SyncCodex!M:M),""))</f>
        <v/>
      </c>
      <c r="F870" s="8" t="b">
        <v>0</v>
      </c>
      <c r="G870" s="8" t="b">
        <v>0</v>
      </c>
    </row>
    <row r="871">
      <c r="A871" s="38"/>
      <c r="B871" s="8"/>
      <c r="D871" s="8"/>
      <c r="E871" s="58" t="str">
        <f t="array" ref="E871">IF(D871="","",IFERROR(_xlfn.XLOOKUP(D871,SyncCodex!L:L,SyncCodex!M:M),""))</f>
        <v/>
      </c>
      <c r="F871" s="8" t="b">
        <v>0</v>
      </c>
      <c r="G871" s="8" t="b">
        <v>0</v>
      </c>
    </row>
    <row r="872">
      <c r="A872" s="38"/>
      <c r="B872" s="8"/>
      <c r="D872" s="8"/>
      <c r="E872" s="58" t="str">
        <f t="array" ref="E872">IF(D872="","",IFERROR(_xlfn.XLOOKUP(D872,SyncCodex!L:L,SyncCodex!M:M),""))</f>
        <v/>
      </c>
      <c r="F872" s="8" t="b">
        <v>0</v>
      </c>
      <c r="G872" s="8" t="b">
        <v>0</v>
      </c>
    </row>
    <row r="873">
      <c r="A873" s="38"/>
      <c r="B873" s="8"/>
      <c r="D873" s="8"/>
      <c r="E873" s="58" t="str">
        <f t="array" ref="E873">IF(D873="","",IFERROR(_xlfn.XLOOKUP(D873,SyncCodex!L:L,SyncCodex!M:M),""))</f>
        <v/>
      </c>
      <c r="F873" s="8" t="b">
        <v>0</v>
      </c>
      <c r="G873" s="8" t="b">
        <v>0</v>
      </c>
    </row>
    <row r="874">
      <c r="A874" s="38"/>
      <c r="B874" s="8"/>
      <c r="D874" s="8"/>
      <c r="E874" s="58" t="str">
        <f t="array" ref="E874">IF(D874="","",IFERROR(_xlfn.XLOOKUP(D874,SyncCodex!L:L,SyncCodex!M:M),""))</f>
        <v/>
      </c>
      <c r="F874" s="8" t="b">
        <v>0</v>
      </c>
      <c r="G874" s="8" t="b">
        <v>0</v>
      </c>
    </row>
    <row r="875">
      <c r="A875" s="38"/>
      <c r="B875" s="8"/>
      <c r="D875" s="8"/>
      <c r="E875" s="58" t="str">
        <f t="array" ref="E875">IF(D875="","",IFERROR(_xlfn.XLOOKUP(D875,SyncCodex!L:L,SyncCodex!M:M),""))</f>
        <v/>
      </c>
      <c r="F875" s="8" t="b">
        <v>0</v>
      </c>
      <c r="G875" s="8" t="b">
        <v>0</v>
      </c>
    </row>
    <row r="876">
      <c r="A876" s="38"/>
      <c r="B876" s="8"/>
      <c r="D876" s="8"/>
      <c r="E876" s="58" t="str">
        <f t="array" ref="E876">IF(D876="","",IFERROR(_xlfn.XLOOKUP(D876,SyncCodex!L:L,SyncCodex!M:M),""))</f>
        <v/>
      </c>
      <c r="F876" s="8" t="b">
        <v>0</v>
      </c>
      <c r="G876" s="8" t="b">
        <v>0</v>
      </c>
    </row>
    <row r="877">
      <c r="A877" s="38"/>
      <c r="B877" s="8"/>
      <c r="D877" s="8"/>
      <c r="E877" s="58" t="str">
        <f t="array" ref="E877">IF(D877="","",IFERROR(_xlfn.XLOOKUP(D877,SyncCodex!L:L,SyncCodex!M:M),""))</f>
        <v/>
      </c>
      <c r="F877" s="8" t="b">
        <v>0</v>
      </c>
      <c r="G877" s="8" t="b">
        <v>0</v>
      </c>
    </row>
    <row r="878">
      <c r="A878" s="38"/>
      <c r="B878" s="8"/>
      <c r="D878" s="8"/>
      <c r="E878" s="58" t="str">
        <f t="array" ref="E878">IF(D878="","",IFERROR(_xlfn.XLOOKUP(D878,SyncCodex!L:L,SyncCodex!M:M),""))</f>
        <v/>
      </c>
      <c r="F878" s="8" t="b">
        <v>0</v>
      </c>
      <c r="G878" s="8" t="b">
        <v>0</v>
      </c>
    </row>
    <row r="879">
      <c r="A879" s="38"/>
      <c r="B879" s="8"/>
      <c r="D879" s="8"/>
      <c r="E879" s="58" t="str">
        <f t="array" ref="E879">IF(D879="","",IFERROR(_xlfn.XLOOKUP(D879,SyncCodex!L:L,SyncCodex!M:M),""))</f>
        <v/>
      </c>
      <c r="F879" s="8" t="b">
        <v>0</v>
      </c>
      <c r="G879" s="8" t="b">
        <v>0</v>
      </c>
    </row>
    <row r="880">
      <c r="A880" s="38"/>
      <c r="B880" s="8"/>
      <c r="D880" s="8"/>
      <c r="E880" s="58" t="str">
        <f t="array" ref="E880">IF(D880="","",IFERROR(_xlfn.XLOOKUP(D880,SyncCodex!L:L,SyncCodex!M:M),""))</f>
        <v/>
      </c>
      <c r="F880" s="8" t="b">
        <v>0</v>
      </c>
      <c r="G880" s="8" t="b">
        <v>0</v>
      </c>
    </row>
    <row r="881">
      <c r="A881" s="38"/>
      <c r="B881" s="8"/>
      <c r="D881" s="8"/>
      <c r="E881" s="58" t="str">
        <f t="array" ref="E881">IF(D881="","",IFERROR(_xlfn.XLOOKUP(D881,SyncCodex!L:L,SyncCodex!M:M),""))</f>
        <v/>
      </c>
      <c r="F881" s="8" t="b">
        <v>0</v>
      </c>
      <c r="G881" s="8" t="b">
        <v>0</v>
      </c>
    </row>
    <row r="882">
      <c r="A882" s="38"/>
      <c r="B882" s="8"/>
      <c r="D882" s="8"/>
      <c r="E882" s="58" t="str">
        <f t="array" ref="E882">IF(D882="","",IFERROR(_xlfn.XLOOKUP(D882,SyncCodex!L:L,SyncCodex!M:M),""))</f>
        <v/>
      </c>
      <c r="F882" s="8" t="b">
        <v>0</v>
      </c>
      <c r="G882" s="8" t="b">
        <v>0</v>
      </c>
    </row>
    <row r="883">
      <c r="A883" s="38"/>
      <c r="B883" s="8"/>
      <c r="D883" s="8"/>
      <c r="E883" s="58" t="str">
        <f t="array" ref="E883">IF(D883="","",IFERROR(_xlfn.XLOOKUP(D883,SyncCodex!L:L,SyncCodex!M:M),""))</f>
        <v/>
      </c>
      <c r="F883" s="8" t="b">
        <v>0</v>
      </c>
      <c r="G883" s="8" t="b">
        <v>0</v>
      </c>
    </row>
    <row r="884">
      <c r="A884" s="38"/>
      <c r="B884" s="8"/>
      <c r="D884" s="8"/>
      <c r="E884" s="58" t="str">
        <f t="array" ref="E884">IF(D884="","",IFERROR(_xlfn.XLOOKUP(D884,SyncCodex!L:L,SyncCodex!M:M),""))</f>
        <v/>
      </c>
      <c r="F884" s="8" t="b">
        <v>0</v>
      </c>
      <c r="G884" s="8" t="b">
        <v>0</v>
      </c>
    </row>
    <row r="885">
      <c r="A885" s="38"/>
      <c r="B885" s="8"/>
      <c r="D885" s="8"/>
      <c r="E885" s="58" t="str">
        <f t="array" ref="E885">IF(D885="","",IFERROR(_xlfn.XLOOKUP(D885,SyncCodex!L:L,SyncCodex!M:M),""))</f>
        <v/>
      </c>
      <c r="F885" s="8" t="b">
        <v>0</v>
      </c>
      <c r="G885" s="8" t="b">
        <v>0</v>
      </c>
    </row>
    <row r="886">
      <c r="A886" s="38"/>
      <c r="B886" s="8"/>
      <c r="D886" s="8"/>
      <c r="E886" s="58" t="str">
        <f t="array" ref="E886">IF(D886="","",IFERROR(_xlfn.XLOOKUP(D886,SyncCodex!L:L,SyncCodex!M:M),""))</f>
        <v/>
      </c>
      <c r="F886" s="8" t="b">
        <v>0</v>
      </c>
      <c r="G886" s="8" t="b">
        <v>0</v>
      </c>
    </row>
    <row r="887">
      <c r="A887" s="38"/>
      <c r="B887" s="8"/>
      <c r="D887" s="8"/>
      <c r="E887" s="58" t="str">
        <f t="array" ref="E887">IF(D887="","",IFERROR(_xlfn.XLOOKUP(D887,SyncCodex!L:L,SyncCodex!M:M),""))</f>
        <v/>
      </c>
      <c r="F887" s="8" t="b">
        <v>0</v>
      </c>
      <c r="G887" s="8" t="b">
        <v>0</v>
      </c>
    </row>
    <row r="888">
      <c r="A888" s="38"/>
      <c r="B888" s="8"/>
      <c r="D888" s="8"/>
      <c r="E888" s="58" t="str">
        <f t="array" ref="E888">IF(D888="","",IFERROR(_xlfn.XLOOKUP(D888,SyncCodex!L:L,SyncCodex!M:M),""))</f>
        <v/>
      </c>
      <c r="F888" s="8" t="b">
        <v>0</v>
      </c>
      <c r="G888" s="8" t="b">
        <v>0</v>
      </c>
    </row>
    <row r="889">
      <c r="A889" s="38"/>
      <c r="B889" s="8"/>
      <c r="D889" s="8"/>
      <c r="E889" s="58" t="str">
        <f t="array" ref="E889">IF(D889="","",IFERROR(_xlfn.XLOOKUP(D889,SyncCodex!L:L,SyncCodex!M:M),""))</f>
        <v/>
      </c>
      <c r="F889" s="8" t="b">
        <v>0</v>
      </c>
      <c r="G889" s="8" t="b">
        <v>0</v>
      </c>
    </row>
    <row r="890">
      <c r="A890" s="38"/>
      <c r="B890" s="8"/>
      <c r="D890" s="8"/>
      <c r="E890" s="58" t="str">
        <f t="array" ref="E890">IF(D890="","",IFERROR(_xlfn.XLOOKUP(D890,SyncCodex!L:L,SyncCodex!M:M),""))</f>
        <v/>
      </c>
      <c r="F890" s="8" t="b">
        <v>0</v>
      </c>
      <c r="G890" s="8" t="b">
        <v>0</v>
      </c>
    </row>
    <row r="891">
      <c r="A891" s="38"/>
      <c r="B891" s="8"/>
      <c r="D891" s="8"/>
      <c r="E891" s="58" t="str">
        <f t="array" ref="E891">IF(D891="","",IFERROR(_xlfn.XLOOKUP(D891,SyncCodex!L:L,SyncCodex!M:M),""))</f>
        <v/>
      </c>
      <c r="F891" s="8" t="b">
        <v>0</v>
      </c>
      <c r="G891" s="8" t="b">
        <v>0</v>
      </c>
    </row>
    <row r="892">
      <c r="A892" s="38"/>
      <c r="B892" s="8"/>
      <c r="D892" s="8"/>
      <c r="E892" s="58" t="str">
        <f t="array" ref="E892">IF(D892="","",IFERROR(_xlfn.XLOOKUP(D892,SyncCodex!L:L,SyncCodex!M:M),""))</f>
        <v/>
      </c>
      <c r="F892" s="8" t="b">
        <v>0</v>
      </c>
      <c r="G892" s="8" t="b">
        <v>0</v>
      </c>
    </row>
    <row r="893">
      <c r="A893" s="38"/>
      <c r="B893" s="8"/>
      <c r="D893" s="8"/>
      <c r="E893" s="58" t="str">
        <f t="array" ref="E893">IF(D893="","",IFERROR(_xlfn.XLOOKUP(D893,SyncCodex!L:L,SyncCodex!M:M),""))</f>
        <v/>
      </c>
      <c r="F893" s="8" t="b">
        <v>0</v>
      </c>
      <c r="G893" s="8" t="b">
        <v>0</v>
      </c>
    </row>
    <row r="894">
      <c r="A894" s="38"/>
      <c r="B894" s="8"/>
      <c r="D894" s="8"/>
      <c r="E894" s="58" t="str">
        <f t="array" ref="E894">IF(D894="","",IFERROR(_xlfn.XLOOKUP(D894,SyncCodex!L:L,SyncCodex!M:M),""))</f>
        <v/>
      </c>
      <c r="F894" s="8" t="b">
        <v>0</v>
      </c>
      <c r="G894" s="8" t="b">
        <v>0</v>
      </c>
    </row>
    <row r="895">
      <c r="A895" s="38"/>
      <c r="B895" s="8"/>
      <c r="D895" s="8"/>
      <c r="E895" s="58" t="str">
        <f t="array" ref="E895">IF(D895="","",IFERROR(_xlfn.XLOOKUP(D895,SyncCodex!L:L,SyncCodex!M:M),""))</f>
        <v/>
      </c>
      <c r="F895" s="8" t="b">
        <v>0</v>
      </c>
      <c r="G895" s="8" t="b">
        <v>0</v>
      </c>
    </row>
    <row r="896">
      <c r="A896" s="38"/>
      <c r="B896" s="8"/>
      <c r="D896" s="8"/>
      <c r="E896" s="58" t="str">
        <f t="array" ref="E896">IF(D896="","",IFERROR(_xlfn.XLOOKUP(D896,SyncCodex!L:L,SyncCodex!M:M),""))</f>
        <v/>
      </c>
      <c r="F896" s="8" t="b">
        <v>0</v>
      </c>
      <c r="G896" s="8" t="b">
        <v>0</v>
      </c>
    </row>
    <row r="897">
      <c r="A897" s="38"/>
      <c r="B897" s="8"/>
      <c r="D897" s="8"/>
      <c r="E897" s="58" t="str">
        <f t="array" ref="E897">IF(D897="","",IFERROR(_xlfn.XLOOKUP(D897,SyncCodex!L:L,SyncCodex!M:M),""))</f>
        <v/>
      </c>
      <c r="F897" s="8" t="b">
        <v>0</v>
      </c>
      <c r="G897" s="8" t="b">
        <v>0</v>
      </c>
    </row>
    <row r="898">
      <c r="A898" s="38"/>
      <c r="B898" s="8"/>
      <c r="D898" s="8"/>
      <c r="E898" s="58" t="str">
        <f t="array" ref="E898">IF(D898="","",IFERROR(_xlfn.XLOOKUP(D898,SyncCodex!L:L,SyncCodex!M:M),""))</f>
        <v/>
      </c>
      <c r="F898" s="8" t="b">
        <v>0</v>
      </c>
      <c r="G898" s="8" t="b">
        <v>0</v>
      </c>
    </row>
    <row r="899">
      <c r="A899" s="38"/>
      <c r="B899" s="8"/>
      <c r="D899" s="8"/>
      <c r="E899" s="58" t="str">
        <f t="array" ref="E899">IF(D899="","",IFERROR(_xlfn.XLOOKUP(D899,SyncCodex!L:L,SyncCodex!M:M),""))</f>
        <v/>
      </c>
      <c r="F899" s="8" t="b">
        <v>0</v>
      </c>
      <c r="G899" s="8" t="b">
        <v>0</v>
      </c>
    </row>
    <row r="900">
      <c r="A900" s="38"/>
      <c r="B900" s="8"/>
      <c r="D900" s="8"/>
      <c r="E900" s="58" t="str">
        <f t="array" ref="E900">IF(D900="","",IFERROR(_xlfn.XLOOKUP(D900,SyncCodex!L:L,SyncCodex!M:M),""))</f>
        <v/>
      </c>
      <c r="F900" s="8" t="b">
        <v>0</v>
      </c>
      <c r="G900" s="8" t="b">
        <v>0</v>
      </c>
    </row>
    <row r="901">
      <c r="A901" s="38"/>
      <c r="B901" s="8"/>
      <c r="D901" s="8"/>
      <c r="E901" s="58" t="str">
        <f t="array" ref="E901">IF(D901="","",IFERROR(_xlfn.XLOOKUP(D901,SyncCodex!L:L,SyncCodex!M:M),""))</f>
        <v/>
      </c>
      <c r="F901" s="8" t="b">
        <v>0</v>
      </c>
      <c r="G901" s="8" t="b">
        <v>0</v>
      </c>
    </row>
    <row r="902">
      <c r="A902" s="38"/>
      <c r="B902" s="8"/>
      <c r="D902" s="8"/>
      <c r="E902" s="58" t="str">
        <f t="array" ref="E902">IF(D902="","",IFERROR(_xlfn.XLOOKUP(D902,SyncCodex!L:L,SyncCodex!M:M),""))</f>
        <v/>
      </c>
      <c r="F902" s="8" t="b">
        <v>0</v>
      </c>
      <c r="G902" s="8" t="b">
        <v>0</v>
      </c>
    </row>
    <row r="903">
      <c r="A903" s="38"/>
      <c r="B903" s="8"/>
      <c r="D903" s="8"/>
      <c r="E903" s="58" t="str">
        <f t="array" ref="E903">IF(D903="","",IFERROR(_xlfn.XLOOKUP(D903,SyncCodex!L:L,SyncCodex!M:M),""))</f>
        <v/>
      </c>
      <c r="F903" s="8" t="b">
        <v>0</v>
      </c>
      <c r="G903" s="8" t="b">
        <v>0</v>
      </c>
    </row>
    <row r="904">
      <c r="A904" s="38"/>
      <c r="B904" s="8"/>
      <c r="D904" s="8"/>
      <c r="E904" s="58" t="str">
        <f t="array" ref="E904">IF(D904="","",IFERROR(_xlfn.XLOOKUP(D904,SyncCodex!L:L,SyncCodex!M:M),""))</f>
        <v/>
      </c>
      <c r="F904" s="8" t="b">
        <v>0</v>
      </c>
      <c r="G904" s="8" t="b">
        <v>0</v>
      </c>
    </row>
    <row r="905">
      <c r="A905" s="38"/>
      <c r="B905" s="8"/>
      <c r="D905" s="8"/>
      <c r="E905" s="58" t="str">
        <f t="array" ref="E905">IF(D905="","",IFERROR(_xlfn.XLOOKUP(D905,SyncCodex!L:L,SyncCodex!M:M),""))</f>
        <v/>
      </c>
      <c r="F905" s="8" t="b">
        <v>0</v>
      </c>
      <c r="G905" s="8" t="b">
        <v>0</v>
      </c>
    </row>
    <row r="906">
      <c r="A906" s="38"/>
      <c r="B906" s="8"/>
      <c r="D906" s="8"/>
      <c r="E906" s="58" t="str">
        <f t="array" ref="E906">IF(D906="","",IFERROR(_xlfn.XLOOKUP(D906,SyncCodex!L:L,SyncCodex!M:M),""))</f>
        <v/>
      </c>
      <c r="F906" s="8" t="b">
        <v>0</v>
      </c>
      <c r="G906" s="8" t="b">
        <v>0</v>
      </c>
    </row>
    <row r="907">
      <c r="A907" s="38"/>
      <c r="B907" s="8"/>
      <c r="D907" s="8"/>
      <c r="E907" s="58" t="str">
        <f t="array" ref="E907">IF(D907="","",IFERROR(_xlfn.XLOOKUP(D907,SyncCodex!L:L,SyncCodex!M:M),""))</f>
        <v/>
      </c>
      <c r="F907" s="8" t="b">
        <v>0</v>
      </c>
      <c r="G907" s="8" t="b">
        <v>0</v>
      </c>
    </row>
    <row r="908">
      <c r="A908" s="38"/>
      <c r="B908" s="8"/>
      <c r="D908" s="8"/>
      <c r="E908" s="58" t="str">
        <f t="array" ref="E908">IF(D908="","",IFERROR(_xlfn.XLOOKUP(D908,SyncCodex!L:L,SyncCodex!M:M),""))</f>
        <v/>
      </c>
      <c r="F908" s="8" t="b">
        <v>0</v>
      </c>
      <c r="G908" s="8" t="b">
        <v>0</v>
      </c>
    </row>
    <row r="909">
      <c r="A909" s="38"/>
      <c r="B909" s="8"/>
      <c r="D909" s="8"/>
      <c r="E909" s="58" t="str">
        <f t="array" ref="E909">IF(D909="","",IFERROR(_xlfn.XLOOKUP(D909,SyncCodex!L:L,SyncCodex!M:M),""))</f>
        <v/>
      </c>
      <c r="F909" s="8" t="b">
        <v>0</v>
      </c>
      <c r="G909" s="8" t="b">
        <v>0</v>
      </c>
    </row>
    <row r="910">
      <c r="A910" s="38"/>
      <c r="B910" s="8"/>
      <c r="D910" s="8"/>
      <c r="E910" s="58" t="str">
        <f t="array" ref="E910">IF(D910="","",IFERROR(_xlfn.XLOOKUP(D910,SyncCodex!L:L,SyncCodex!M:M),""))</f>
        <v/>
      </c>
      <c r="F910" s="8" t="b">
        <v>0</v>
      </c>
      <c r="G910" s="8" t="b">
        <v>0</v>
      </c>
    </row>
    <row r="911">
      <c r="A911" s="38"/>
      <c r="B911" s="8"/>
      <c r="D911" s="8"/>
      <c r="E911" s="58" t="str">
        <f t="array" ref="E911">IF(D911="","",IFERROR(_xlfn.XLOOKUP(D911,SyncCodex!L:L,SyncCodex!M:M),""))</f>
        <v/>
      </c>
      <c r="F911" s="8" t="b">
        <v>0</v>
      </c>
      <c r="G911" s="8" t="b">
        <v>0</v>
      </c>
    </row>
    <row r="912">
      <c r="A912" s="38"/>
      <c r="B912" s="8"/>
      <c r="D912" s="8"/>
      <c r="E912" s="58" t="str">
        <f t="array" ref="E912">IF(D912="","",IFERROR(_xlfn.XLOOKUP(D912,SyncCodex!L:L,SyncCodex!M:M),""))</f>
        <v/>
      </c>
      <c r="F912" s="8" t="b">
        <v>0</v>
      </c>
      <c r="G912" s="8" t="b">
        <v>0</v>
      </c>
    </row>
    <row r="913">
      <c r="A913" s="38"/>
      <c r="B913" s="8"/>
      <c r="D913" s="8"/>
      <c r="E913" s="58" t="str">
        <f t="array" ref="E913">IF(D913="","",IFERROR(_xlfn.XLOOKUP(D913,SyncCodex!L:L,SyncCodex!M:M),""))</f>
        <v/>
      </c>
      <c r="F913" s="8" t="b">
        <v>0</v>
      </c>
      <c r="G913" s="8" t="b">
        <v>0</v>
      </c>
    </row>
    <row r="914">
      <c r="A914" s="38"/>
      <c r="B914" s="8"/>
      <c r="D914" s="8"/>
      <c r="E914" s="58" t="str">
        <f t="array" ref="E914">IF(D914="","",IFERROR(_xlfn.XLOOKUP(D914,SyncCodex!L:L,SyncCodex!M:M),""))</f>
        <v/>
      </c>
      <c r="F914" s="8" t="b">
        <v>0</v>
      </c>
      <c r="G914" s="8" t="b">
        <v>0</v>
      </c>
    </row>
    <row r="915">
      <c r="A915" s="38"/>
      <c r="B915" s="8"/>
      <c r="D915" s="8"/>
      <c r="E915" s="58" t="str">
        <f t="array" ref="E915">IF(D915="","",IFERROR(_xlfn.XLOOKUP(D915,SyncCodex!L:L,SyncCodex!M:M),""))</f>
        <v/>
      </c>
      <c r="F915" s="8" t="b">
        <v>0</v>
      </c>
      <c r="G915" s="8" t="b">
        <v>0</v>
      </c>
    </row>
    <row r="916">
      <c r="A916" s="38"/>
      <c r="B916" s="8"/>
      <c r="D916" s="8"/>
      <c r="E916" s="58" t="str">
        <f t="array" ref="E916">IF(D916="","",IFERROR(_xlfn.XLOOKUP(D916,SyncCodex!L:L,SyncCodex!M:M),""))</f>
        <v/>
      </c>
      <c r="F916" s="8" t="b">
        <v>0</v>
      </c>
      <c r="G916" s="8" t="b">
        <v>0</v>
      </c>
    </row>
    <row r="917">
      <c r="A917" s="38"/>
      <c r="B917" s="8"/>
      <c r="D917" s="8"/>
      <c r="E917" s="58" t="str">
        <f t="array" ref="E917">IF(D917="","",IFERROR(_xlfn.XLOOKUP(D917,SyncCodex!L:L,SyncCodex!M:M),""))</f>
        <v/>
      </c>
      <c r="F917" s="8" t="b">
        <v>0</v>
      </c>
      <c r="G917" s="8" t="b">
        <v>0</v>
      </c>
    </row>
    <row r="918">
      <c r="A918" s="38"/>
      <c r="B918" s="8"/>
      <c r="D918" s="8"/>
      <c r="E918" s="58" t="str">
        <f t="array" ref="E918">IF(D918="","",IFERROR(_xlfn.XLOOKUP(D918,SyncCodex!L:L,SyncCodex!M:M),""))</f>
        <v/>
      </c>
      <c r="F918" s="8" t="b">
        <v>0</v>
      </c>
      <c r="G918" s="8" t="b">
        <v>0</v>
      </c>
    </row>
    <row r="919">
      <c r="A919" s="38"/>
      <c r="B919" s="8"/>
      <c r="D919" s="8"/>
      <c r="E919" s="58" t="str">
        <f t="array" ref="E919">IF(D919="","",IFERROR(_xlfn.XLOOKUP(D919,SyncCodex!L:L,SyncCodex!M:M),""))</f>
        <v/>
      </c>
      <c r="F919" s="8" t="b">
        <v>0</v>
      </c>
      <c r="G919" s="8" t="b">
        <v>0</v>
      </c>
    </row>
    <row r="920">
      <c r="A920" s="38"/>
      <c r="B920" s="8"/>
      <c r="D920" s="8"/>
      <c r="E920" s="58" t="str">
        <f t="array" ref="E920">IF(D920="","",IFERROR(_xlfn.XLOOKUP(D920,SyncCodex!L:L,SyncCodex!M:M),""))</f>
        <v/>
      </c>
      <c r="F920" s="8" t="b">
        <v>0</v>
      </c>
      <c r="G920" s="8" t="b">
        <v>0</v>
      </c>
    </row>
    <row r="921">
      <c r="A921" s="38"/>
      <c r="B921" s="8"/>
      <c r="D921" s="8"/>
      <c r="E921" s="58" t="str">
        <f t="array" ref="E921">IF(D921="","",IFERROR(_xlfn.XLOOKUP(D921,SyncCodex!L:L,SyncCodex!M:M),""))</f>
        <v/>
      </c>
      <c r="F921" s="8" t="b">
        <v>0</v>
      </c>
      <c r="G921" s="8" t="b">
        <v>0</v>
      </c>
    </row>
    <row r="922">
      <c r="A922" s="38"/>
      <c r="B922" s="8"/>
      <c r="D922" s="8"/>
      <c r="E922" s="58" t="str">
        <f t="array" ref="E922">IF(D922="","",IFERROR(_xlfn.XLOOKUP(D922,SyncCodex!L:L,SyncCodex!M:M),""))</f>
        <v/>
      </c>
      <c r="F922" s="8" t="b">
        <v>0</v>
      </c>
      <c r="G922" s="8" t="b">
        <v>0</v>
      </c>
    </row>
    <row r="923">
      <c r="A923" s="38"/>
      <c r="B923" s="8"/>
      <c r="D923" s="8"/>
      <c r="E923" s="58" t="str">
        <f t="array" ref="E923">IF(D923="","",IFERROR(_xlfn.XLOOKUP(D923,SyncCodex!L:L,SyncCodex!M:M),""))</f>
        <v/>
      </c>
      <c r="F923" s="8" t="b">
        <v>0</v>
      </c>
      <c r="G923" s="8" t="b">
        <v>0</v>
      </c>
    </row>
    <row r="924">
      <c r="A924" s="38"/>
      <c r="B924" s="8"/>
      <c r="D924" s="8"/>
      <c r="E924" s="58" t="str">
        <f t="array" ref="E924">IF(D924="","",IFERROR(_xlfn.XLOOKUP(D924,SyncCodex!L:L,SyncCodex!M:M),""))</f>
        <v/>
      </c>
      <c r="F924" s="8" t="b">
        <v>0</v>
      </c>
      <c r="G924" s="8" t="b">
        <v>0</v>
      </c>
    </row>
    <row r="925">
      <c r="A925" s="38"/>
      <c r="B925" s="8"/>
      <c r="D925" s="8"/>
      <c r="E925" s="58" t="str">
        <f t="array" ref="E925">IF(D925="","",IFERROR(_xlfn.XLOOKUP(D925,SyncCodex!L:L,SyncCodex!M:M),""))</f>
        <v/>
      </c>
      <c r="F925" s="8" t="b">
        <v>0</v>
      </c>
      <c r="G925" s="8" t="b">
        <v>0</v>
      </c>
    </row>
    <row r="926">
      <c r="A926" s="38"/>
      <c r="B926" s="8"/>
      <c r="D926" s="8"/>
      <c r="E926" s="58" t="str">
        <f t="array" ref="E926">IF(D926="","",IFERROR(_xlfn.XLOOKUP(D926,SyncCodex!L:L,SyncCodex!M:M),""))</f>
        <v/>
      </c>
      <c r="F926" s="8" t="b">
        <v>0</v>
      </c>
      <c r="G926" s="8" t="b">
        <v>0</v>
      </c>
    </row>
    <row r="927">
      <c r="A927" s="38"/>
      <c r="B927" s="8"/>
      <c r="D927" s="8"/>
      <c r="E927" s="58" t="str">
        <f t="array" ref="E927">IF(D927="","",IFERROR(_xlfn.XLOOKUP(D927,SyncCodex!L:L,SyncCodex!M:M),""))</f>
        <v/>
      </c>
      <c r="F927" s="8" t="b">
        <v>0</v>
      </c>
      <c r="G927" s="8" t="b">
        <v>0</v>
      </c>
    </row>
    <row r="928">
      <c r="A928" s="38"/>
      <c r="B928" s="8"/>
      <c r="D928" s="8"/>
      <c r="E928" s="58" t="str">
        <f t="array" ref="E928">IF(D928="","",IFERROR(_xlfn.XLOOKUP(D928,SyncCodex!L:L,SyncCodex!M:M),""))</f>
        <v/>
      </c>
      <c r="F928" s="8" t="b">
        <v>0</v>
      </c>
      <c r="G928" s="8" t="b">
        <v>0</v>
      </c>
    </row>
    <row r="929">
      <c r="A929" s="38"/>
      <c r="B929" s="8"/>
      <c r="D929" s="8"/>
      <c r="E929" s="58" t="str">
        <f t="array" ref="E929">IF(D929="","",IFERROR(_xlfn.XLOOKUP(D929,SyncCodex!L:L,SyncCodex!M:M),""))</f>
        <v/>
      </c>
      <c r="F929" s="8" t="b">
        <v>0</v>
      </c>
      <c r="G929" s="8" t="b">
        <v>0</v>
      </c>
    </row>
    <row r="930">
      <c r="A930" s="38"/>
      <c r="B930" s="8"/>
      <c r="D930" s="8"/>
      <c r="E930" s="58" t="str">
        <f t="array" ref="E930">IF(D930="","",IFERROR(_xlfn.XLOOKUP(D930,SyncCodex!L:L,SyncCodex!M:M),""))</f>
        <v/>
      </c>
      <c r="F930" s="8" t="b">
        <v>0</v>
      </c>
      <c r="G930" s="8" t="b">
        <v>0</v>
      </c>
    </row>
    <row r="931">
      <c r="A931" s="38"/>
      <c r="B931" s="8"/>
      <c r="D931" s="8"/>
      <c r="E931" s="58" t="str">
        <f t="array" ref="E931">IF(D931="","",IFERROR(_xlfn.XLOOKUP(D931,SyncCodex!L:L,SyncCodex!M:M),""))</f>
        <v/>
      </c>
      <c r="F931" s="8" t="b">
        <v>0</v>
      </c>
      <c r="G931" s="8" t="b">
        <v>0</v>
      </c>
    </row>
    <row r="932">
      <c r="A932" s="38"/>
      <c r="B932" s="8"/>
      <c r="D932" s="8"/>
      <c r="E932" s="58" t="str">
        <f t="array" ref="E932">IF(D932="","",IFERROR(_xlfn.XLOOKUP(D932,SyncCodex!L:L,SyncCodex!M:M),""))</f>
        <v/>
      </c>
      <c r="F932" s="8" t="b">
        <v>0</v>
      </c>
      <c r="G932" s="8" t="b">
        <v>0</v>
      </c>
    </row>
    <row r="933">
      <c r="A933" s="38"/>
      <c r="B933" s="8"/>
      <c r="D933" s="8"/>
      <c r="E933" s="58" t="str">
        <f t="array" ref="E933">IF(D933="","",IFERROR(_xlfn.XLOOKUP(D933,SyncCodex!L:L,SyncCodex!M:M),""))</f>
        <v/>
      </c>
      <c r="F933" s="8" t="b">
        <v>0</v>
      </c>
      <c r="G933" s="8" t="b">
        <v>0</v>
      </c>
    </row>
    <row r="934">
      <c r="A934" s="38"/>
      <c r="B934" s="8"/>
      <c r="D934" s="8"/>
      <c r="E934" s="58" t="str">
        <f t="array" ref="E934">IF(D934="","",IFERROR(_xlfn.XLOOKUP(D934,SyncCodex!L:L,SyncCodex!M:M),""))</f>
        <v/>
      </c>
      <c r="F934" s="8" t="b">
        <v>0</v>
      </c>
      <c r="G934" s="8" t="b">
        <v>0</v>
      </c>
    </row>
    <row r="935">
      <c r="A935" s="38"/>
      <c r="B935" s="8"/>
      <c r="D935" s="8"/>
      <c r="E935" s="58" t="str">
        <f t="array" ref="E935">IF(D935="","",IFERROR(_xlfn.XLOOKUP(D935,SyncCodex!L:L,SyncCodex!M:M),""))</f>
        <v/>
      </c>
      <c r="F935" s="8" t="b">
        <v>0</v>
      </c>
      <c r="G935" s="8" t="b">
        <v>0</v>
      </c>
    </row>
    <row r="936">
      <c r="A936" s="38"/>
      <c r="B936" s="8"/>
      <c r="D936" s="8"/>
      <c r="E936" s="58" t="str">
        <f t="array" ref="E936">IF(D936="","",IFERROR(_xlfn.XLOOKUP(D936,SyncCodex!L:L,SyncCodex!M:M),""))</f>
        <v/>
      </c>
      <c r="F936" s="8" t="b">
        <v>0</v>
      </c>
      <c r="G936" s="8" t="b">
        <v>0</v>
      </c>
    </row>
    <row r="937">
      <c r="A937" s="38"/>
      <c r="B937" s="8"/>
      <c r="D937" s="8"/>
      <c r="E937" s="58" t="str">
        <f t="array" ref="E937">IF(D937="","",IFERROR(_xlfn.XLOOKUP(D937,SyncCodex!L:L,SyncCodex!M:M),""))</f>
        <v/>
      </c>
      <c r="F937" s="8" t="b">
        <v>0</v>
      </c>
      <c r="G937" s="8" t="b">
        <v>0</v>
      </c>
    </row>
    <row r="938">
      <c r="A938" s="38"/>
      <c r="B938" s="8"/>
      <c r="D938" s="8"/>
      <c r="E938" s="58" t="str">
        <f t="array" ref="E938">IF(D938="","",IFERROR(_xlfn.XLOOKUP(D938,SyncCodex!L:L,SyncCodex!M:M),""))</f>
        <v/>
      </c>
      <c r="F938" s="8" t="b">
        <v>0</v>
      </c>
      <c r="G938" s="8" t="b">
        <v>0</v>
      </c>
    </row>
    <row r="939">
      <c r="A939" s="38"/>
      <c r="B939" s="8"/>
      <c r="D939" s="8"/>
      <c r="E939" s="58" t="str">
        <f t="array" ref="E939">IF(D939="","",IFERROR(_xlfn.XLOOKUP(D939,SyncCodex!L:L,SyncCodex!M:M),""))</f>
        <v/>
      </c>
      <c r="F939" s="8" t="b">
        <v>0</v>
      </c>
      <c r="G939" s="8" t="b">
        <v>0</v>
      </c>
    </row>
    <row r="940">
      <c r="A940" s="38"/>
      <c r="B940" s="8"/>
      <c r="D940" s="8"/>
      <c r="E940" s="58" t="str">
        <f t="array" ref="E940">IF(D940="","",IFERROR(_xlfn.XLOOKUP(D940,SyncCodex!L:L,SyncCodex!M:M),""))</f>
        <v/>
      </c>
      <c r="F940" s="8" t="b">
        <v>0</v>
      </c>
      <c r="G940" s="8" t="b">
        <v>0</v>
      </c>
    </row>
    <row r="941">
      <c r="A941" s="38"/>
      <c r="B941" s="8"/>
      <c r="D941" s="8"/>
      <c r="E941" s="58" t="str">
        <f t="array" ref="E941">IF(D941="","",IFERROR(_xlfn.XLOOKUP(D941,SyncCodex!L:L,SyncCodex!M:M),""))</f>
        <v/>
      </c>
      <c r="F941" s="8" t="b">
        <v>0</v>
      </c>
      <c r="G941" s="8" t="b">
        <v>0</v>
      </c>
    </row>
    <row r="942">
      <c r="A942" s="38"/>
      <c r="B942" s="8"/>
      <c r="D942" s="8"/>
      <c r="E942" s="58" t="str">
        <f t="array" ref="E942">IF(D942="","",IFERROR(_xlfn.XLOOKUP(D942,SyncCodex!L:L,SyncCodex!M:M),""))</f>
        <v/>
      </c>
      <c r="F942" s="8" t="b">
        <v>0</v>
      </c>
      <c r="G942" s="8" t="b">
        <v>0</v>
      </c>
    </row>
    <row r="943">
      <c r="A943" s="38"/>
      <c r="B943" s="8"/>
      <c r="D943" s="8"/>
      <c r="E943" s="58" t="str">
        <f t="array" ref="E943">IF(D943="","",IFERROR(_xlfn.XLOOKUP(D943,SyncCodex!L:L,SyncCodex!M:M),""))</f>
        <v/>
      </c>
      <c r="F943" s="8" t="b">
        <v>0</v>
      </c>
      <c r="G943" s="8" t="b">
        <v>0</v>
      </c>
    </row>
    <row r="944">
      <c r="A944" s="38"/>
      <c r="B944" s="8"/>
      <c r="D944" s="8"/>
      <c r="E944" s="58" t="str">
        <f t="array" ref="E944">IF(D944="","",IFERROR(_xlfn.XLOOKUP(D944,SyncCodex!L:L,SyncCodex!M:M),""))</f>
        <v/>
      </c>
      <c r="F944" s="8" t="b">
        <v>0</v>
      </c>
      <c r="G944" s="8" t="b">
        <v>0</v>
      </c>
    </row>
    <row r="945">
      <c r="A945" s="38"/>
      <c r="B945" s="8"/>
      <c r="D945" s="8"/>
      <c r="E945" s="58" t="str">
        <f t="array" ref="E945">IF(D945="","",IFERROR(_xlfn.XLOOKUP(D945,SyncCodex!L:L,SyncCodex!M:M),""))</f>
        <v/>
      </c>
      <c r="F945" s="8" t="b">
        <v>0</v>
      </c>
      <c r="G945" s="8" t="b">
        <v>0</v>
      </c>
    </row>
    <row r="946">
      <c r="A946" s="38"/>
      <c r="B946" s="8"/>
      <c r="D946" s="8"/>
      <c r="E946" s="58" t="str">
        <f t="array" ref="E946">IF(D946="","",IFERROR(_xlfn.XLOOKUP(D946,SyncCodex!L:L,SyncCodex!M:M),""))</f>
        <v/>
      </c>
      <c r="F946" s="8" t="b">
        <v>0</v>
      </c>
      <c r="G946" s="8" t="b">
        <v>0</v>
      </c>
    </row>
    <row r="947">
      <c r="A947" s="38"/>
      <c r="B947" s="8"/>
      <c r="D947" s="8"/>
      <c r="E947" s="58" t="str">
        <f t="array" ref="E947">IF(D947="","",IFERROR(_xlfn.XLOOKUP(D947,SyncCodex!L:L,SyncCodex!M:M),""))</f>
        <v/>
      </c>
      <c r="F947" s="8" t="b">
        <v>0</v>
      </c>
      <c r="G947" s="8" t="b">
        <v>0</v>
      </c>
    </row>
    <row r="948">
      <c r="A948" s="38"/>
      <c r="B948" s="8"/>
      <c r="D948" s="8"/>
      <c r="E948" s="58" t="str">
        <f t="array" ref="E948">IF(D948="","",IFERROR(_xlfn.XLOOKUP(D948,SyncCodex!L:L,SyncCodex!M:M),""))</f>
        <v/>
      </c>
      <c r="F948" s="8" t="b">
        <v>0</v>
      </c>
      <c r="G948" s="8" t="b">
        <v>0</v>
      </c>
    </row>
    <row r="949">
      <c r="A949" s="38"/>
      <c r="B949" s="8"/>
      <c r="D949" s="8"/>
      <c r="E949" s="58" t="str">
        <f t="array" ref="E949">IF(D949="","",IFERROR(_xlfn.XLOOKUP(D949,SyncCodex!L:L,SyncCodex!M:M),""))</f>
        <v/>
      </c>
      <c r="F949" s="8" t="b">
        <v>0</v>
      </c>
      <c r="G949" s="8" t="b">
        <v>0</v>
      </c>
    </row>
    <row r="950">
      <c r="A950" s="38"/>
      <c r="B950" s="8"/>
      <c r="D950" s="8"/>
      <c r="E950" s="58" t="str">
        <f t="array" ref="E950">IF(D950="","",IFERROR(_xlfn.XLOOKUP(D950,SyncCodex!L:L,SyncCodex!M:M),""))</f>
        <v/>
      </c>
      <c r="F950" s="8" t="b">
        <v>0</v>
      </c>
      <c r="G950" s="8" t="b">
        <v>0</v>
      </c>
    </row>
    <row r="951">
      <c r="A951" s="38"/>
      <c r="B951" s="8"/>
      <c r="D951" s="8"/>
      <c r="E951" s="58" t="str">
        <f t="array" ref="E951">IF(D951="","",IFERROR(_xlfn.XLOOKUP(D951,SyncCodex!L:L,SyncCodex!M:M),""))</f>
        <v/>
      </c>
      <c r="F951" s="8" t="b">
        <v>0</v>
      </c>
      <c r="G951" s="8" t="b">
        <v>0</v>
      </c>
    </row>
    <row r="952">
      <c r="A952" s="38"/>
      <c r="B952" s="8"/>
      <c r="D952" s="8"/>
      <c r="E952" s="58" t="str">
        <f t="array" ref="E952">IF(D952="","",IFERROR(_xlfn.XLOOKUP(D952,SyncCodex!L:L,SyncCodex!M:M),""))</f>
        <v/>
      </c>
      <c r="F952" s="8" t="b">
        <v>0</v>
      </c>
      <c r="G952" s="8" t="b">
        <v>0</v>
      </c>
    </row>
    <row r="953">
      <c r="A953" s="38"/>
      <c r="B953" s="8"/>
      <c r="D953" s="8"/>
      <c r="E953" s="58" t="str">
        <f t="array" ref="E953">IF(D953="","",IFERROR(_xlfn.XLOOKUP(D953,SyncCodex!L:L,SyncCodex!M:M),""))</f>
        <v/>
      </c>
      <c r="F953" s="8" t="b">
        <v>0</v>
      </c>
      <c r="G953" s="8" t="b">
        <v>0</v>
      </c>
    </row>
    <row r="954">
      <c r="A954" s="38"/>
      <c r="B954" s="8"/>
      <c r="D954" s="8"/>
      <c r="E954" s="58" t="str">
        <f t="array" ref="E954">IF(D954="","",IFERROR(_xlfn.XLOOKUP(D954,SyncCodex!L:L,SyncCodex!M:M),""))</f>
        <v/>
      </c>
      <c r="F954" s="8" t="b">
        <v>0</v>
      </c>
      <c r="G954" s="8" t="b">
        <v>0</v>
      </c>
    </row>
    <row r="955">
      <c r="A955" s="38"/>
      <c r="B955" s="8"/>
      <c r="D955" s="8"/>
      <c r="E955" s="58" t="str">
        <f t="array" ref="E955">IF(D955="","",IFERROR(_xlfn.XLOOKUP(D955,SyncCodex!L:L,SyncCodex!M:M),""))</f>
        <v/>
      </c>
      <c r="F955" s="8" t="b">
        <v>0</v>
      </c>
      <c r="G955" s="8" t="b">
        <v>0</v>
      </c>
    </row>
    <row r="956">
      <c r="A956" s="38"/>
      <c r="B956" s="8"/>
      <c r="D956" s="8"/>
      <c r="E956" s="58" t="str">
        <f t="array" ref="E956">IF(D956="","",IFERROR(_xlfn.XLOOKUP(D956,SyncCodex!L:L,SyncCodex!M:M),""))</f>
        <v/>
      </c>
      <c r="F956" s="8" t="b">
        <v>0</v>
      </c>
      <c r="G956" s="8" t="b">
        <v>0</v>
      </c>
    </row>
    <row r="957">
      <c r="A957" s="38"/>
      <c r="B957" s="8"/>
      <c r="D957" s="8"/>
      <c r="E957" s="58" t="str">
        <f t="array" ref="E957">IF(D957="","",IFERROR(_xlfn.XLOOKUP(D957,SyncCodex!L:L,SyncCodex!M:M),""))</f>
        <v/>
      </c>
      <c r="F957" s="8" t="b">
        <v>0</v>
      </c>
      <c r="G957" s="8" t="b">
        <v>0</v>
      </c>
    </row>
    <row r="958">
      <c r="A958" s="38"/>
      <c r="B958" s="8"/>
      <c r="D958" s="8"/>
      <c r="E958" s="58" t="str">
        <f t="array" ref="E958">IF(D958="","",IFERROR(_xlfn.XLOOKUP(D958,SyncCodex!L:L,SyncCodex!M:M),""))</f>
        <v/>
      </c>
      <c r="F958" s="8" t="b">
        <v>0</v>
      </c>
      <c r="G958" s="8" t="b">
        <v>0</v>
      </c>
    </row>
    <row r="959">
      <c r="A959" s="38"/>
      <c r="B959" s="8"/>
      <c r="D959" s="8"/>
      <c r="E959" s="58" t="str">
        <f t="array" ref="E959">IF(D959="","",IFERROR(_xlfn.XLOOKUP(D959,SyncCodex!L:L,SyncCodex!M:M),""))</f>
        <v/>
      </c>
      <c r="F959" s="8" t="b">
        <v>0</v>
      </c>
      <c r="G959" s="8" t="b">
        <v>0</v>
      </c>
    </row>
    <row r="960">
      <c r="A960" s="38"/>
      <c r="B960" s="8"/>
      <c r="D960" s="8"/>
      <c r="E960" s="58" t="str">
        <f t="array" ref="E960">IF(D960="","",IFERROR(_xlfn.XLOOKUP(D960,SyncCodex!L:L,SyncCodex!M:M),""))</f>
        <v/>
      </c>
      <c r="F960" s="8" t="b">
        <v>0</v>
      </c>
      <c r="G960" s="8" t="b">
        <v>0</v>
      </c>
    </row>
    <row r="961">
      <c r="A961" s="38"/>
      <c r="B961" s="8"/>
      <c r="D961" s="8"/>
      <c r="E961" s="58" t="str">
        <f t="array" ref="E961">IF(D961="","",IFERROR(_xlfn.XLOOKUP(D961,SyncCodex!L:L,SyncCodex!M:M),""))</f>
        <v/>
      </c>
      <c r="F961" s="8" t="b">
        <v>0</v>
      </c>
      <c r="G961" s="8" t="b">
        <v>0</v>
      </c>
    </row>
    <row r="962">
      <c r="A962" s="38"/>
      <c r="B962" s="8"/>
      <c r="D962" s="8"/>
      <c r="E962" s="58" t="str">
        <f t="array" ref="E962">IF(D962="","",IFERROR(_xlfn.XLOOKUP(D962,SyncCodex!L:L,SyncCodex!M:M),""))</f>
        <v/>
      </c>
      <c r="F962" s="8" t="b">
        <v>0</v>
      </c>
      <c r="G962" s="8" t="b">
        <v>0</v>
      </c>
    </row>
    <row r="963">
      <c r="A963" s="38"/>
      <c r="B963" s="8"/>
      <c r="D963" s="8"/>
      <c r="E963" s="58" t="str">
        <f t="array" ref="E963">IF(D963="","",IFERROR(_xlfn.XLOOKUP(D963,SyncCodex!L:L,SyncCodex!M:M),""))</f>
        <v/>
      </c>
      <c r="F963" s="8" t="b">
        <v>0</v>
      </c>
      <c r="G963" s="8" t="b">
        <v>0</v>
      </c>
    </row>
    <row r="964">
      <c r="A964" s="38"/>
      <c r="B964" s="8"/>
      <c r="D964" s="8"/>
      <c r="E964" s="58" t="str">
        <f t="array" ref="E964">IF(D964="","",IFERROR(_xlfn.XLOOKUP(D964,SyncCodex!L:L,SyncCodex!M:M),""))</f>
        <v/>
      </c>
      <c r="F964" s="8" t="b">
        <v>0</v>
      </c>
      <c r="G964" s="8" t="b">
        <v>0</v>
      </c>
    </row>
    <row r="965">
      <c r="A965" s="38"/>
      <c r="B965" s="8"/>
      <c r="D965" s="8"/>
      <c r="E965" s="58" t="str">
        <f t="array" ref="E965">IF(D965="","",IFERROR(_xlfn.XLOOKUP(D965,SyncCodex!L:L,SyncCodex!M:M),""))</f>
        <v/>
      </c>
      <c r="F965" s="8" t="b">
        <v>0</v>
      </c>
      <c r="G965" s="8" t="b">
        <v>0</v>
      </c>
    </row>
    <row r="966">
      <c r="A966" s="38"/>
      <c r="B966" s="8"/>
      <c r="D966" s="8"/>
      <c r="E966" s="58" t="str">
        <f t="array" ref="E966">IF(D966="","",IFERROR(_xlfn.XLOOKUP(D966,SyncCodex!L:L,SyncCodex!M:M),""))</f>
        <v/>
      </c>
      <c r="F966" s="8" t="b">
        <v>0</v>
      </c>
      <c r="G966" s="8" t="b">
        <v>0</v>
      </c>
    </row>
    <row r="967">
      <c r="A967" s="38"/>
      <c r="B967" s="8"/>
      <c r="D967" s="8"/>
      <c r="E967" s="58" t="str">
        <f t="array" ref="E967">IF(D967="","",IFERROR(_xlfn.XLOOKUP(D967,SyncCodex!L:L,SyncCodex!M:M),""))</f>
        <v/>
      </c>
      <c r="F967" s="8" t="b">
        <v>0</v>
      </c>
      <c r="G967" s="8" t="b">
        <v>0</v>
      </c>
    </row>
    <row r="968">
      <c r="A968" s="38"/>
      <c r="B968" s="8"/>
      <c r="D968" s="8"/>
      <c r="E968" s="58" t="str">
        <f t="array" ref="E968">IF(D968="","",IFERROR(_xlfn.XLOOKUP(D968,SyncCodex!L:L,SyncCodex!M:M),""))</f>
        <v/>
      </c>
      <c r="F968" s="8" t="b">
        <v>0</v>
      </c>
      <c r="G968" s="8" t="b">
        <v>0</v>
      </c>
    </row>
    <row r="969">
      <c r="A969" s="38"/>
      <c r="B969" s="8"/>
      <c r="D969" s="8"/>
      <c r="E969" s="58" t="str">
        <f t="array" ref="E969">IF(D969="","",IFERROR(_xlfn.XLOOKUP(D969,SyncCodex!L:L,SyncCodex!M:M),""))</f>
        <v/>
      </c>
      <c r="F969" s="8" t="b">
        <v>0</v>
      </c>
      <c r="G969" s="8" t="b">
        <v>0</v>
      </c>
    </row>
    <row r="970">
      <c r="A970" s="38"/>
      <c r="B970" s="8"/>
      <c r="D970" s="8"/>
      <c r="E970" s="58" t="str">
        <f t="array" ref="E970">IF(D970="","",IFERROR(_xlfn.XLOOKUP(D970,SyncCodex!L:L,SyncCodex!M:M),""))</f>
        <v/>
      </c>
      <c r="F970" s="8" t="b">
        <v>0</v>
      </c>
      <c r="G970" s="8" t="b">
        <v>0</v>
      </c>
    </row>
    <row r="971">
      <c r="A971" s="38"/>
      <c r="B971" s="8"/>
      <c r="D971" s="8"/>
      <c r="E971" s="58" t="str">
        <f t="array" ref="E971">IF(D971="","",IFERROR(_xlfn.XLOOKUP(D971,SyncCodex!L:L,SyncCodex!M:M),""))</f>
        <v/>
      </c>
      <c r="F971" s="8" t="b">
        <v>0</v>
      </c>
      <c r="G971" s="8" t="b">
        <v>0</v>
      </c>
    </row>
    <row r="972">
      <c r="A972" s="38"/>
      <c r="B972" s="8"/>
      <c r="D972" s="8"/>
      <c r="E972" s="58" t="str">
        <f t="array" ref="E972">IF(D972="","",IFERROR(_xlfn.XLOOKUP(D972,SyncCodex!L:L,SyncCodex!M:M),""))</f>
        <v/>
      </c>
      <c r="F972" s="8" t="b">
        <v>0</v>
      </c>
      <c r="G972" s="8" t="b">
        <v>0</v>
      </c>
    </row>
    <row r="973">
      <c r="A973" s="38"/>
      <c r="B973" s="8"/>
      <c r="D973" s="8"/>
      <c r="E973" s="58" t="str">
        <f t="array" ref="E973">IF(D973="","",IFERROR(_xlfn.XLOOKUP(D973,SyncCodex!L:L,SyncCodex!M:M),""))</f>
        <v/>
      </c>
      <c r="F973" s="8" t="b">
        <v>0</v>
      </c>
      <c r="G973" s="8" t="b">
        <v>0</v>
      </c>
    </row>
    <row r="974">
      <c r="A974" s="38"/>
      <c r="B974" s="8"/>
      <c r="D974" s="8"/>
      <c r="E974" s="58" t="str">
        <f t="array" ref="E974">IF(D974="","",IFERROR(_xlfn.XLOOKUP(D974,SyncCodex!L:L,SyncCodex!M:M),""))</f>
        <v/>
      </c>
      <c r="F974" s="8" t="b">
        <v>0</v>
      </c>
      <c r="G974" s="8" t="b">
        <v>0</v>
      </c>
    </row>
    <row r="975">
      <c r="A975" s="38"/>
      <c r="B975" s="8"/>
      <c r="D975" s="8"/>
      <c r="E975" s="58" t="str">
        <f t="array" ref="E975">IF(D975="","",IFERROR(_xlfn.XLOOKUP(D975,SyncCodex!L:L,SyncCodex!M:M),""))</f>
        <v/>
      </c>
      <c r="F975" s="8" t="b">
        <v>0</v>
      </c>
      <c r="G975" s="8" t="b">
        <v>0</v>
      </c>
    </row>
    <row r="976">
      <c r="A976" s="38"/>
      <c r="B976" s="8"/>
      <c r="D976" s="8"/>
      <c r="E976" s="58" t="str">
        <f t="array" ref="E976">IF(D976="","",IFERROR(_xlfn.XLOOKUP(D976,SyncCodex!L:L,SyncCodex!M:M),""))</f>
        <v/>
      </c>
      <c r="F976" s="8" t="b">
        <v>0</v>
      </c>
      <c r="G976" s="8" t="b">
        <v>0</v>
      </c>
    </row>
    <row r="977">
      <c r="A977" s="38"/>
      <c r="B977" s="8"/>
      <c r="D977" s="8"/>
      <c r="E977" s="58" t="str">
        <f t="array" ref="E977">IF(D977="","",IFERROR(_xlfn.XLOOKUP(D977,SyncCodex!L:L,SyncCodex!M:M),""))</f>
        <v/>
      </c>
      <c r="F977" s="8" t="b">
        <v>0</v>
      </c>
      <c r="G977" s="8" t="b">
        <v>0</v>
      </c>
    </row>
    <row r="978">
      <c r="A978" s="38"/>
      <c r="B978" s="8"/>
      <c r="D978" s="8"/>
      <c r="E978" s="58" t="str">
        <f t="array" ref="E978">IF(D978="","",IFERROR(_xlfn.XLOOKUP(D978,SyncCodex!L:L,SyncCodex!M:M),""))</f>
        <v/>
      </c>
      <c r="F978" s="8" t="b">
        <v>0</v>
      </c>
      <c r="G978" s="8" t="b">
        <v>0</v>
      </c>
    </row>
    <row r="979">
      <c r="A979" s="38"/>
      <c r="B979" s="8"/>
      <c r="D979" s="8"/>
      <c r="E979" s="58" t="str">
        <f t="array" ref="E979">IF(D979="","",IFERROR(_xlfn.XLOOKUP(D979,SyncCodex!L:L,SyncCodex!M:M),""))</f>
        <v/>
      </c>
      <c r="F979" s="8" t="b">
        <v>0</v>
      </c>
      <c r="G979" s="8" t="b">
        <v>0</v>
      </c>
    </row>
    <row r="980">
      <c r="A980" s="38"/>
      <c r="B980" s="8"/>
      <c r="D980" s="8"/>
      <c r="E980" s="58" t="str">
        <f t="array" ref="E980">IF(D980="","",IFERROR(_xlfn.XLOOKUP(D980,SyncCodex!L:L,SyncCodex!M:M),""))</f>
        <v/>
      </c>
      <c r="F980" s="8" t="b">
        <v>0</v>
      </c>
      <c r="G980" s="8" t="b">
        <v>0</v>
      </c>
    </row>
    <row r="981">
      <c r="A981" s="38"/>
      <c r="B981" s="8"/>
      <c r="D981" s="8"/>
      <c r="E981" s="58" t="str">
        <f t="array" ref="E981">IF(D981="","",IFERROR(_xlfn.XLOOKUP(D981,SyncCodex!L:L,SyncCodex!M:M),""))</f>
        <v/>
      </c>
      <c r="F981" s="8" t="b">
        <v>0</v>
      </c>
      <c r="G981" s="8" t="b">
        <v>0</v>
      </c>
    </row>
    <row r="982">
      <c r="A982" s="38"/>
      <c r="B982" s="8"/>
      <c r="D982" s="8"/>
      <c r="E982" s="58" t="str">
        <f t="array" ref="E982">IF(D982="","",IFERROR(_xlfn.XLOOKUP(D982,SyncCodex!L:L,SyncCodex!M:M),""))</f>
        <v/>
      </c>
      <c r="F982" s="8" t="b">
        <v>0</v>
      </c>
      <c r="G982" s="8" t="b">
        <v>0</v>
      </c>
    </row>
    <row r="983">
      <c r="A983" s="38"/>
      <c r="B983" s="8"/>
      <c r="D983" s="8"/>
      <c r="E983" s="58" t="str">
        <f t="array" ref="E983">IF(D983="","",IFERROR(_xlfn.XLOOKUP(D983,SyncCodex!L:L,SyncCodex!M:M),""))</f>
        <v/>
      </c>
      <c r="F983" s="8" t="b">
        <v>0</v>
      </c>
      <c r="G983" s="8" t="b">
        <v>0</v>
      </c>
    </row>
    <row r="984">
      <c r="A984" s="38"/>
      <c r="B984" s="8"/>
      <c r="D984" s="8"/>
      <c r="E984" s="58" t="str">
        <f t="array" ref="E984">IF(D984="","",IFERROR(_xlfn.XLOOKUP(D984,SyncCodex!L:L,SyncCodex!M:M),""))</f>
        <v/>
      </c>
      <c r="F984" s="8" t="b">
        <v>0</v>
      </c>
      <c r="G984" s="8" t="b">
        <v>0</v>
      </c>
    </row>
    <row r="985">
      <c r="A985" s="38"/>
      <c r="B985" s="8"/>
      <c r="D985" s="8"/>
      <c r="E985" s="58" t="str">
        <f t="array" ref="E985">IF(D985="","",IFERROR(_xlfn.XLOOKUP(D985,SyncCodex!L:L,SyncCodex!M:M),""))</f>
        <v/>
      </c>
      <c r="F985" s="8" t="b">
        <v>0</v>
      </c>
      <c r="G985" s="8" t="b">
        <v>0</v>
      </c>
    </row>
    <row r="986">
      <c r="A986" s="38"/>
      <c r="B986" s="8"/>
      <c r="D986" s="8"/>
      <c r="E986" s="58" t="str">
        <f t="array" ref="E986">IF(D986="","",IFERROR(_xlfn.XLOOKUP(D986,SyncCodex!L:L,SyncCodex!M:M),""))</f>
        <v/>
      </c>
      <c r="F986" s="8" t="b">
        <v>0</v>
      </c>
      <c r="G986" s="8" t="b">
        <v>0</v>
      </c>
    </row>
    <row r="987">
      <c r="A987" s="38"/>
      <c r="B987" s="8"/>
      <c r="D987" s="8"/>
      <c r="E987" s="58" t="str">
        <f t="array" ref="E987">IF(D987="","",IFERROR(_xlfn.XLOOKUP(D987,SyncCodex!L:L,SyncCodex!M:M),""))</f>
        <v/>
      </c>
      <c r="F987" s="8" t="b">
        <v>0</v>
      </c>
      <c r="G987" s="8" t="b">
        <v>0</v>
      </c>
    </row>
    <row r="988">
      <c r="A988" s="38"/>
      <c r="B988" s="8"/>
      <c r="D988" s="8"/>
      <c r="E988" s="58" t="str">
        <f t="array" ref="E988">IF(D988="","",IFERROR(_xlfn.XLOOKUP(D988,SyncCodex!L:L,SyncCodex!M:M),""))</f>
        <v/>
      </c>
      <c r="F988" s="8" t="b">
        <v>0</v>
      </c>
      <c r="G988" s="8" t="b">
        <v>0</v>
      </c>
    </row>
    <row r="989">
      <c r="A989" s="38"/>
      <c r="B989" s="8"/>
      <c r="D989" s="8"/>
      <c r="E989" s="58" t="str">
        <f t="array" ref="E989">IF(D989="","",IFERROR(_xlfn.XLOOKUP(D989,SyncCodex!L:L,SyncCodex!M:M),""))</f>
        <v/>
      </c>
      <c r="F989" s="8" t="b">
        <v>0</v>
      </c>
      <c r="G989" s="8" t="b">
        <v>0</v>
      </c>
    </row>
    <row r="990">
      <c r="A990" s="38"/>
      <c r="B990" s="8"/>
      <c r="D990" s="8"/>
      <c r="E990" s="58" t="str">
        <f t="array" ref="E990">IF(D990="","",IFERROR(_xlfn.XLOOKUP(D990,SyncCodex!L:L,SyncCodex!M:M),""))</f>
        <v/>
      </c>
      <c r="F990" s="8" t="b">
        <v>0</v>
      </c>
      <c r="G990" s="8" t="b">
        <v>0</v>
      </c>
    </row>
    <row r="991">
      <c r="A991" s="38"/>
      <c r="B991" s="8"/>
      <c r="D991" s="8"/>
      <c r="E991" s="58" t="str">
        <f t="array" ref="E991">IF(D991="","",IFERROR(_xlfn.XLOOKUP(D991,SyncCodex!L:L,SyncCodex!M:M),""))</f>
        <v/>
      </c>
      <c r="F991" s="8" t="b">
        <v>0</v>
      </c>
      <c r="G991" s="8" t="b">
        <v>0</v>
      </c>
    </row>
    <row r="992">
      <c r="A992" s="38"/>
      <c r="B992" s="8"/>
      <c r="D992" s="8"/>
      <c r="E992" s="58" t="str">
        <f t="array" ref="E992">IF(D992="","",IFERROR(_xlfn.XLOOKUP(D992,SyncCodex!L:L,SyncCodex!M:M),""))</f>
        <v/>
      </c>
      <c r="F992" s="8" t="b">
        <v>0</v>
      </c>
      <c r="G992" s="8" t="b">
        <v>0</v>
      </c>
    </row>
    <row r="993">
      <c r="A993" s="38"/>
      <c r="B993" s="8"/>
      <c r="D993" s="8"/>
      <c r="E993" s="58" t="str">
        <f t="array" ref="E993">IF(D993="","",IFERROR(_xlfn.XLOOKUP(D993,SyncCodex!L:L,SyncCodex!M:M),""))</f>
        <v/>
      </c>
      <c r="F993" s="8" t="b">
        <v>0</v>
      </c>
      <c r="G993" s="8" t="b">
        <v>0</v>
      </c>
    </row>
    <row r="994">
      <c r="A994" s="38"/>
      <c r="B994" s="8"/>
      <c r="D994" s="8"/>
      <c r="E994" s="58" t="str">
        <f t="array" ref="E994">IF(D994="","",IFERROR(_xlfn.XLOOKUP(D994,SyncCodex!L:L,SyncCodex!M:M),""))</f>
        <v/>
      </c>
      <c r="F994" s="8" t="b">
        <v>0</v>
      </c>
      <c r="G994" s="8" t="b">
        <v>0</v>
      </c>
    </row>
    <row r="995">
      <c r="A995" s="38"/>
      <c r="B995" s="8"/>
      <c r="D995" s="8"/>
      <c r="E995" s="58" t="str">
        <f t="array" ref="E995">IF(D995="","",IFERROR(_xlfn.XLOOKUP(D995,SyncCodex!L:L,SyncCodex!M:M),""))</f>
        <v/>
      </c>
      <c r="F995" s="8" t="b">
        <v>0</v>
      </c>
      <c r="G995" s="8" t="b">
        <v>0</v>
      </c>
    </row>
    <row r="996">
      <c r="A996" s="38"/>
      <c r="B996" s="8"/>
      <c r="D996" s="8"/>
      <c r="E996" s="58" t="str">
        <f t="array" ref="E996">IF(D996="","",IFERROR(_xlfn.XLOOKUP(D996,SyncCodex!L:L,SyncCodex!M:M),""))</f>
        <v/>
      </c>
      <c r="F996" s="8" t="b">
        <v>0</v>
      </c>
      <c r="G996" s="8" t="b">
        <v>0</v>
      </c>
    </row>
  </sheetData>
  <autoFilter ref="$A$1:$Z$996"/>
  <dataValidations>
    <dataValidation type="list" allowBlank="1" showErrorMessage="1" sqref="D2:D996">
      <formula1>SyncCodex!$L$2:$L$81</formula1>
    </dataValidation>
    <dataValidation type="list" allowBlank="1" showErrorMessage="1" sqref="B2:B996">
      <formula1>'Données'!$O:$O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25.13"/>
    <col customWidth="1" min="3" max="3" width="23.88"/>
    <col customWidth="1" min="4" max="4" width="10.0"/>
    <col customWidth="1" min="5" max="5" width="41.38"/>
    <col customWidth="1" min="6" max="6" width="15.13"/>
    <col customWidth="1" min="7" max="7" width="21.38"/>
    <col customWidth="1" min="8" max="8" width="23.88"/>
    <col customWidth="1" min="9" max="9" width="10.75"/>
    <col customWidth="1" min="10" max="10" width="37.63"/>
    <col customWidth="1" min="11" max="11" width="50.13"/>
  </cols>
  <sheetData>
    <row r="1">
      <c r="A1" s="62" t="s">
        <v>179</v>
      </c>
      <c r="B1" s="63" t="s">
        <v>34</v>
      </c>
      <c r="C1" s="63" t="s">
        <v>217</v>
      </c>
      <c r="D1" s="63" t="s">
        <v>218</v>
      </c>
      <c r="E1" s="63" t="s">
        <v>181</v>
      </c>
      <c r="F1" s="63" t="s">
        <v>219</v>
      </c>
      <c r="G1" s="63" t="s">
        <v>220</v>
      </c>
      <c r="H1" s="63" t="s">
        <v>221</v>
      </c>
      <c r="I1" s="64" t="s">
        <v>222</v>
      </c>
      <c r="J1" s="64" t="s">
        <v>223</v>
      </c>
      <c r="K1" s="64" t="s">
        <v>224</v>
      </c>
    </row>
    <row r="2">
      <c r="A2" s="65"/>
      <c r="B2" s="5"/>
      <c r="C2" s="5"/>
      <c r="D2" s="5"/>
      <c r="E2" s="66"/>
      <c r="F2" s="66"/>
      <c r="G2" s="67"/>
      <c r="H2" s="67"/>
      <c r="I2" s="5"/>
      <c r="J2" s="68"/>
      <c r="K2" s="68"/>
    </row>
    <row r="3">
      <c r="A3" s="69"/>
      <c r="B3" s="8"/>
      <c r="E3" s="70"/>
      <c r="F3" s="70" t="str">
        <f t="array" ref="F3">IF(E3="","",IFERROR(_xlfn.XLOOKUP(E3,SyncCodex!N:N,SyncCodex!O:O),""))</f>
        <v/>
      </c>
      <c r="G3" s="71"/>
      <c r="H3" s="71" t="str">
        <f t="shared" ref="H3:H997" si="1">IF(OR(G3="",F3=""),"",G3+(F3/24))</f>
        <v/>
      </c>
      <c r="I3" s="8" t="b">
        <v>0</v>
      </c>
      <c r="J3" s="72"/>
      <c r="K3" s="72"/>
    </row>
    <row r="4">
      <c r="A4" s="69"/>
      <c r="B4" s="8"/>
      <c r="E4" s="70"/>
      <c r="F4" s="70" t="str">
        <f t="array" ref="F4">IF(E4="","",IFERROR(_xlfn.XLOOKUP(E4,SyncCodex!N:N,SyncCodex!O:O),""))</f>
        <v/>
      </c>
      <c r="G4" s="71"/>
      <c r="H4" s="71" t="str">
        <f t="shared" si="1"/>
        <v/>
      </c>
      <c r="I4" s="8" t="b">
        <v>0</v>
      </c>
      <c r="J4" s="72"/>
      <c r="K4" s="72"/>
    </row>
    <row r="5">
      <c r="A5" s="69"/>
      <c r="B5" s="8"/>
      <c r="E5" s="70"/>
      <c r="F5" s="70" t="str">
        <f t="array" ref="F5">IF(E5="","",IFERROR(_xlfn.XLOOKUP(E5,SyncCodex!N:N,SyncCodex!O:O),""))</f>
        <v/>
      </c>
      <c r="G5" s="71"/>
      <c r="H5" s="71" t="str">
        <f t="shared" si="1"/>
        <v/>
      </c>
      <c r="I5" s="8" t="b">
        <v>0</v>
      </c>
      <c r="J5" s="72"/>
      <c r="K5" s="72"/>
    </row>
    <row r="6">
      <c r="A6" s="69"/>
      <c r="B6" s="8"/>
      <c r="E6" s="70"/>
      <c r="F6" s="70" t="str">
        <f t="array" ref="F6">IF(E6="","",IFERROR(_xlfn.XLOOKUP(E6,SyncCodex!N:N,SyncCodex!O:O),""))</f>
        <v/>
      </c>
      <c r="G6" s="71"/>
      <c r="H6" s="71" t="str">
        <f t="shared" si="1"/>
        <v/>
      </c>
      <c r="I6" s="8" t="b">
        <v>0</v>
      </c>
      <c r="J6" s="72"/>
      <c r="K6" s="72"/>
    </row>
    <row r="7">
      <c r="A7" s="69"/>
      <c r="B7" s="8"/>
      <c r="E7" s="70"/>
      <c r="F7" s="70" t="str">
        <f t="array" ref="F7">IF(E7="","",IFERROR(_xlfn.XLOOKUP(E7,SyncCodex!N:N,SyncCodex!O:O),""))</f>
        <v/>
      </c>
      <c r="G7" s="71"/>
      <c r="H7" s="71" t="str">
        <f t="shared" si="1"/>
        <v/>
      </c>
      <c r="I7" s="8" t="b">
        <v>0</v>
      </c>
      <c r="J7" s="72"/>
      <c r="K7" s="72"/>
    </row>
    <row r="8">
      <c r="A8" s="69"/>
      <c r="B8" s="8"/>
      <c r="E8" s="70"/>
      <c r="F8" s="70" t="str">
        <f t="array" ref="F8">IF(E8="","",IFERROR(_xlfn.XLOOKUP(E8,SyncCodex!N:N,SyncCodex!O:O),""))</f>
        <v/>
      </c>
      <c r="G8" s="71"/>
      <c r="H8" s="71" t="str">
        <f t="shared" si="1"/>
        <v/>
      </c>
      <c r="I8" s="8" t="b">
        <v>0</v>
      </c>
      <c r="J8" s="72"/>
      <c r="K8" s="72"/>
    </row>
    <row r="9">
      <c r="A9" s="69"/>
      <c r="B9" s="8"/>
      <c r="E9" s="70"/>
      <c r="F9" s="70" t="str">
        <f t="array" ref="F9">IF(E9="","",IFERROR(_xlfn.XLOOKUP(E9,SyncCodex!N:N,SyncCodex!O:O),""))</f>
        <v/>
      </c>
      <c r="G9" s="71"/>
      <c r="H9" s="71" t="str">
        <f t="shared" si="1"/>
        <v/>
      </c>
      <c r="I9" s="8" t="b">
        <v>0</v>
      </c>
      <c r="J9" s="72"/>
      <c r="K9" s="72"/>
    </row>
    <row r="10">
      <c r="A10" s="69"/>
      <c r="B10" s="8"/>
      <c r="E10" s="70"/>
      <c r="F10" s="70" t="str">
        <f t="array" ref="F10">IF(E10="","",IFERROR(_xlfn.XLOOKUP(E10,SyncCodex!N:N,SyncCodex!O:O),""))</f>
        <v/>
      </c>
      <c r="G10" s="71"/>
      <c r="H10" s="71" t="str">
        <f t="shared" si="1"/>
        <v/>
      </c>
      <c r="I10" s="8" t="b">
        <v>0</v>
      </c>
      <c r="J10" s="72"/>
      <c r="K10" s="72"/>
    </row>
    <row r="11">
      <c r="A11" s="69"/>
      <c r="B11" s="8"/>
      <c r="E11" s="70"/>
      <c r="F11" s="70" t="str">
        <f t="array" ref="F11">IF(E11="","",IFERROR(_xlfn.XLOOKUP(E11,SyncCodex!N:N,SyncCodex!O:O),""))</f>
        <v/>
      </c>
      <c r="G11" s="71"/>
      <c r="H11" s="71" t="str">
        <f t="shared" si="1"/>
        <v/>
      </c>
      <c r="I11" s="8" t="b">
        <v>0</v>
      </c>
      <c r="J11" s="72"/>
      <c r="K11" s="72"/>
    </row>
    <row r="12">
      <c r="A12" s="69"/>
      <c r="B12" s="8"/>
      <c r="E12" s="70"/>
      <c r="F12" s="70" t="str">
        <f t="array" ref="F12">IF(E12="","",IFERROR(_xlfn.XLOOKUP(E12,SyncCodex!N:N,SyncCodex!O:O),""))</f>
        <v/>
      </c>
      <c r="G12" s="71"/>
      <c r="H12" s="71" t="str">
        <f t="shared" si="1"/>
        <v/>
      </c>
      <c r="I12" s="8" t="b">
        <v>0</v>
      </c>
      <c r="J12" s="72"/>
      <c r="K12" s="72"/>
    </row>
    <row r="13">
      <c r="A13" s="69"/>
      <c r="B13" s="8"/>
      <c r="E13" s="70"/>
      <c r="F13" s="70" t="str">
        <f t="array" ref="F13">IF(E13="","",IFERROR(_xlfn.XLOOKUP(E13,SyncCodex!N:N,SyncCodex!O:O),""))</f>
        <v/>
      </c>
      <c r="G13" s="71"/>
      <c r="H13" s="71" t="str">
        <f t="shared" si="1"/>
        <v/>
      </c>
      <c r="I13" s="8" t="b">
        <v>0</v>
      </c>
      <c r="J13" s="72"/>
      <c r="K13" s="72"/>
    </row>
    <row r="14">
      <c r="A14" s="69"/>
      <c r="B14" s="8"/>
      <c r="E14" s="70"/>
      <c r="F14" s="70" t="str">
        <f t="array" ref="F14">IF(E14="","",IFERROR(_xlfn.XLOOKUP(E14,SyncCodex!N:N,SyncCodex!O:O),""))</f>
        <v/>
      </c>
      <c r="G14" s="71"/>
      <c r="H14" s="71" t="str">
        <f t="shared" si="1"/>
        <v/>
      </c>
      <c r="I14" s="8" t="b">
        <v>0</v>
      </c>
      <c r="J14" s="72"/>
      <c r="K14" s="72"/>
    </row>
    <row r="15">
      <c r="A15" s="69"/>
      <c r="B15" s="8"/>
      <c r="E15" s="70"/>
      <c r="F15" s="70" t="str">
        <f t="array" ref="F15">IF(E15="","",IFERROR(_xlfn.XLOOKUP(E15,SyncCodex!N:N,SyncCodex!O:O),""))</f>
        <v/>
      </c>
      <c r="G15" s="71"/>
      <c r="H15" s="71" t="str">
        <f t="shared" si="1"/>
        <v/>
      </c>
      <c r="I15" s="8" t="b">
        <v>0</v>
      </c>
      <c r="J15" s="72"/>
      <c r="K15" s="72"/>
    </row>
    <row r="16">
      <c r="A16" s="69"/>
      <c r="B16" s="8"/>
      <c r="E16" s="70"/>
      <c r="F16" s="70" t="str">
        <f t="array" ref="F16">IF(E16="","",IFERROR(_xlfn.XLOOKUP(E16,SyncCodex!N:N,SyncCodex!O:O),""))</f>
        <v/>
      </c>
      <c r="G16" s="71"/>
      <c r="H16" s="71" t="str">
        <f t="shared" si="1"/>
        <v/>
      </c>
      <c r="I16" s="8" t="b">
        <v>0</v>
      </c>
      <c r="J16" s="72"/>
      <c r="K16" s="72"/>
    </row>
    <row r="17">
      <c r="A17" s="69"/>
      <c r="B17" s="8"/>
      <c r="E17" s="70"/>
      <c r="F17" s="70" t="str">
        <f t="array" ref="F17">IF(E17="","",IFERROR(_xlfn.XLOOKUP(E17,SyncCodex!N:N,SyncCodex!O:O),""))</f>
        <v/>
      </c>
      <c r="G17" s="71"/>
      <c r="H17" s="71" t="str">
        <f t="shared" si="1"/>
        <v/>
      </c>
      <c r="I17" s="8" t="b">
        <v>0</v>
      </c>
      <c r="J17" s="72"/>
      <c r="K17" s="72"/>
    </row>
    <row r="18">
      <c r="A18" s="69"/>
      <c r="B18" s="8"/>
      <c r="E18" s="70"/>
      <c r="F18" s="70" t="str">
        <f t="array" ref="F18">IF(E18="","",IFERROR(_xlfn.XLOOKUP(E18,SyncCodex!N:N,SyncCodex!O:O),""))</f>
        <v/>
      </c>
      <c r="G18" s="71"/>
      <c r="H18" s="71" t="str">
        <f t="shared" si="1"/>
        <v/>
      </c>
      <c r="I18" s="8" t="b">
        <v>0</v>
      </c>
      <c r="J18" s="72"/>
      <c r="K18" s="72"/>
    </row>
    <row r="19">
      <c r="A19" s="69"/>
      <c r="B19" s="8"/>
      <c r="E19" s="70"/>
      <c r="F19" s="70" t="str">
        <f t="array" ref="F19">IF(E19="","",IFERROR(_xlfn.XLOOKUP(E19,SyncCodex!N:N,SyncCodex!O:O),""))</f>
        <v/>
      </c>
      <c r="G19" s="71"/>
      <c r="H19" s="71" t="str">
        <f t="shared" si="1"/>
        <v/>
      </c>
      <c r="I19" s="8" t="b">
        <v>0</v>
      </c>
      <c r="J19" s="72"/>
      <c r="K19" s="72"/>
    </row>
    <row r="20">
      <c r="A20" s="69"/>
      <c r="B20" s="8"/>
      <c r="E20" s="70"/>
      <c r="F20" s="70" t="str">
        <f t="array" ref="F20">IF(E20="","",IFERROR(_xlfn.XLOOKUP(E20,SyncCodex!N:N,SyncCodex!O:O),""))</f>
        <v/>
      </c>
      <c r="G20" s="71"/>
      <c r="H20" s="71" t="str">
        <f t="shared" si="1"/>
        <v/>
      </c>
      <c r="I20" s="8" t="b">
        <v>0</v>
      </c>
      <c r="J20" s="72"/>
      <c r="K20" s="72"/>
    </row>
    <row r="21">
      <c r="A21" s="69"/>
      <c r="B21" s="8"/>
      <c r="E21" s="70"/>
      <c r="F21" s="70" t="str">
        <f t="array" ref="F21">IF(E21="","",IFERROR(_xlfn.XLOOKUP(E21,SyncCodex!N:N,SyncCodex!O:O),""))</f>
        <v/>
      </c>
      <c r="G21" s="71"/>
      <c r="H21" s="71" t="str">
        <f t="shared" si="1"/>
        <v/>
      </c>
      <c r="I21" s="8" t="b">
        <v>0</v>
      </c>
      <c r="J21" s="72"/>
      <c r="K21" s="72"/>
    </row>
    <row r="22">
      <c r="A22" s="69"/>
      <c r="B22" s="8"/>
      <c r="E22" s="70"/>
      <c r="F22" s="70" t="str">
        <f t="array" ref="F22">IF(E22="","",IFERROR(_xlfn.XLOOKUP(E22,SyncCodex!N:N,SyncCodex!O:O),""))</f>
        <v/>
      </c>
      <c r="G22" s="71"/>
      <c r="H22" s="71" t="str">
        <f t="shared" si="1"/>
        <v/>
      </c>
      <c r="I22" s="8" t="b">
        <v>0</v>
      </c>
      <c r="J22" s="72"/>
      <c r="K22" s="72"/>
    </row>
    <row r="23">
      <c r="A23" s="69"/>
      <c r="B23" s="8"/>
      <c r="E23" s="70"/>
      <c r="F23" s="70" t="str">
        <f t="array" ref="F23">IF(E23="","",IFERROR(_xlfn.XLOOKUP(E23,SyncCodex!N:N,SyncCodex!O:O),""))</f>
        <v/>
      </c>
      <c r="G23" s="71"/>
      <c r="H23" s="71" t="str">
        <f t="shared" si="1"/>
        <v/>
      </c>
      <c r="I23" s="8" t="b">
        <v>0</v>
      </c>
      <c r="J23" s="72"/>
      <c r="K23" s="72"/>
    </row>
    <row r="24">
      <c r="A24" s="69"/>
      <c r="B24" s="8"/>
      <c r="E24" s="70"/>
      <c r="F24" s="70" t="str">
        <f t="array" ref="F24">IF(E24="","",IFERROR(_xlfn.XLOOKUP(E24,SyncCodex!N:N,SyncCodex!O:O),""))</f>
        <v/>
      </c>
      <c r="G24" s="71"/>
      <c r="H24" s="71" t="str">
        <f t="shared" si="1"/>
        <v/>
      </c>
      <c r="I24" s="8" t="b">
        <v>0</v>
      </c>
      <c r="J24" s="72"/>
      <c r="K24" s="72"/>
    </row>
    <row r="25">
      <c r="A25" s="69"/>
      <c r="B25" s="8"/>
      <c r="E25" s="70"/>
      <c r="F25" s="70" t="str">
        <f t="array" ref="F25">IF(E25="","",IFERROR(_xlfn.XLOOKUP(E25,SyncCodex!N:N,SyncCodex!O:O),""))</f>
        <v/>
      </c>
      <c r="G25" s="71"/>
      <c r="H25" s="71" t="str">
        <f t="shared" si="1"/>
        <v/>
      </c>
      <c r="I25" s="8" t="b">
        <v>0</v>
      </c>
      <c r="J25" s="72"/>
      <c r="K25" s="72"/>
    </row>
    <row r="26">
      <c r="A26" s="69"/>
      <c r="B26" s="8"/>
      <c r="E26" s="70"/>
      <c r="F26" s="70" t="str">
        <f t="array" ref="F26">IF(E26="","",IFERROR(_xlfn.XLOOKUP(E26,SyncCodex!N:N,SyncCodex!O:O),""))</f>
        <v/>
      </c>
      <c r="G26" s="71"/>
      <c r="H26" s="71" t="str">
        <f t="shared" si="1"/>
        <v/>
      </c>
      <c r="I26" s="8" t="b">
        <v>0</v>
      </c>
      <c r="J26" s="72"/>
      <c r="K26" s="72"/>
    </row>
    <row r="27">
      <c r="A27" s="69"/>
      <c r="B27" s="8"/>
      <c r="E27" s="70"/>
      <c r="F27" s="70" t="str">
        <f t="array" ref="F27">IF(E27="","",IFERROR(_xlfn.XLOOKUP(E27,SyncCodex!N:N,SyncCodex!O:O),""))</f>
        <v/>
      </c>
      <c r="G27" s="71"/>
      <c r="H27" s="71" t="str">
        <f t="shared" si="1"/>
        <v/>
      </c>
      <c r="I27" s="8" t="b">
        <v>0</v>
      </c>
      <c r="J27" s="72"/>
      <c r="K27" s="72"/>
    </row>
    <row r="28">
      <c r="A28" s="69"/>
      <c r="B28" s="8"/>
      <c r="E28" s="70"/>
      <c r="F28" s="70" t="str">
        <f t="array" ref="F28">IF(E28="","",IFERROR(_xlfn.XLOOKUP(E28,SyncCodex!N:N,SyncCodex!O:O),""))</f>
        <v/>
      </c>
      <c r="G28" s="71"/>
      <c r="H28" s="71" t="str">
        <f t="shared" si="1"/>
        <v/>
      </c>
      <c r="I28" s="8" t="b">
        <v>0</v>
      </c>
      <c r="J28" s="72"/>
      <c r="K28" s="72"/>
    </row>
    <row r="29">
      <c r="A29" s="69"/>
      <c r="B29" s="8"/>
      <c r="E29" s="70"/>
      <c r="F29" s="70" t="str">
        <f t="array" ref="F29">IF(E29="","",IFERROR(_xlfn.XLOOKUP(E29,SyncCodex!N:N,SyncCodex!O:O),""))</f>
        <v/>
      </c>
      <c r="G29" s="71"/>
      <c r="H29" s="71" t="str">
        <f t="shared" si="1"/>
        <v/>
      </c>
      <c r="I29" s="8" t="b">
        <v>0</v>
      </c>
      <c r="J29" s="72"/>
      <c r="K29" s="72"/>
    </row>
    <row r="30">
      <c r="A30" s="69"/>
      <c r="B30" s="8"/>
      <c r="E30" s="70"/>
      <c r="F30" s="70" t="str">
        <f t="array" ref="F30">IF(E30="","",IFERROR(_xlfn.XLOOKUP(E30,SyncCodex!N:N,SyncCodex!O:O),""))</f>
        <v/>
      </c>
      <c r="G30" s="71"/>
      <c r="H30" s="71" t="str">
        <f t="shared" si="1"/>
        <v/>
      </c>
      <c r="I30" s="8" t="b">
        <v>0</v>
      </c>
      <c r="J30" s="72"/>
      <c r="K30" s="72"/>
    </row>
    <row r="31">
      <c r="A31" s="69"/>
      <c r="B31" s="8"/>
      <c r="E31" s="70"/>
      <c r="F31" s="70" t="str">
        <f t="array" ref="F31">IF(E31="","",IFERROR(_xlfn.XLOOKUP(E31,SyncCodex!N:N,SyncCodex!O:O),""))</f>
        <v/>
      </c>
      <c r="G31" s="71"/>
      <c r="H31" s="71" t="str">
        <f t="shared" si="1"/>
        <v/>
      </c>
      <c r="I31" s="8" t="b">
        <v>0</v>
      </c>
      <c r="J31" s="72"/>
      <c r="K31" s="72"/>
    </row>
    <row r="32">
      <c r="A32" s="69"/>
      <c r="B32" s="8"/>
      <c r="E32" s="70"/>
      <c r="F32" s="70" t="str">
        <f t="array" ref="F32">IF(E32="","",IFERROR(_xlfn.XLOOKUP(E32,SyncCodex!N:N,SyncCodex!O:O),""))</f>
        <v/>
      </c>
      <c r="G32" s="71"/>
      <c r="H32" s="71" t="str">
        <f t="shared" si="1"/>
        <v/>
      </c>
      <c r="I32" s="8" t="b">
        <v>0</v>
      </c>
      <c r="J32" s="72"/>
      <c r="K32" s="72"/>
    </row>
    <row r="33">
      <c r="A33" s="69"/>
      <c r="B33" s="8"/>
      <c r="E33" s="70"/>
      <c r="F33" s="70" t="str">
        <f t="array" ref="F33">IF(E33="","",IFERROR(_xlfn.XLOOKUP(E33,SyncCodex!N:N,SyncCodex!O:O),""))</f>
        <v/>
      </c>
      <c r="G33" s="71"/>
      <c r="H33" s="71" t="str">
        <f t="shared" si="1"/>
        <v/>
      </c>
      <c r="I33" s="8" t="b">
        <v>0</v>
      </c>
      <c r="J33" s="72"/>
      <c r="K33" s="72"/>
    </row>
    <row r="34">
      <c r="A34" s="69"/>
      <c r="B34" s="8"/>
      <c r="E34" s="70"/>
      <c r="F34" s="70" t="str">
        <f t="array" ref="F34">IF(E34="","",IFERROR(_xlfn.XLOOKUP(E34,SyncCodex!N:N,SyncCodex!O:O),""))</f>
        <v/>
      </c>
      <c r="G34" s="71"/>
      <c r="H34" s="71" t="str">
        <f t="shared" si="1"/>
        <v/>
      </c>
      <c r="I34" s="8" t="b">
        <v>0</v>
      </c>
      <c r="J34" s="72"/>
      <c r="K34" s="72"/>
    </row>
    <row r="35">
      <c r="A35" s="69"/>
      <c r="B35" s="8"/>
      <c r="E35" s="70"/>
      <c r="F35" s="70" t="str">
        <f t="array" ref="F35">IF(E35="","",IFERROR(_xlfn.XLOOKUP(E35,SyncCodex!N:N,SyncCodex!O:O),""))</f>
        <v/>
      </c>
      <c r="G35" s="71"/>
      <c r="H35" s="71" t="str">
        <f t="shared" si="1"/>
        <v/>
      </c>
      <c r="I35" s="8" t="b">
        <v>0</v>
      </c>
      <c r="J35" s="72"/>
      <c r="K35" s="72"/>
    </row>
    <row r="36">
      <c r="A36" s="69"/>
      <c r="B36" s="8"/>
      <c r="E36" s="70"/>
      <c r="F36" s="70" t="str">
        <f t="array" ref="F36">IF(E36="","",IFERROR(_xlfn.XLOOKUP(E36,SyncCodex!N:N,SyncCodex!O:O),""))</f>
        <v/>
      </c>
      <c r="G36" s="71"/>
      <c r="H36" s="71" t="str">
        <f t="shared" si="1"/>
        <v/>
      </c>
      <c r="I36" s="8" t="b">
        <v>0</v>
      </c>
      <c r="J36" s="72"/>
      <c r="K36" s="72"/>
    </row>
    <row r="37">
      <c r="A37" s="69"/>
      <c r="B37" s="8"/>
      <c r="E37" s="70"/>
      <c r="F37" s="70" t="str">
        <f t="array" ref="F37">IF(E37="","",IFERROR(_xlfn.XLOOKUP(E37,SyncCodex!N:N,SyncCodex!O:O),""))</f>
        <v/>
      </c>
      <c r="G37" s="71"/>
      <c r="H37" s="71" t="str">
        <f t="shared" si="1"/>
        <v/>
      </c>
      <c r="I37" s="8" t="b">
        <v>0</v>
      </c>
      <c r="J37" s="72"/>
      <c r="K37" s="72"/>
    </row>
    <row r="38">
      <c r="A38" s="69"/>
      <c r="B38" s="8"/>
      <c r="E38" s="70"/>
      <c r="F38" s="70" t="str">
        <f t="array" ref="F38">IF(E38="","",IFERROR(_xlfn.XLOOKUP(E38,SyncCodex!N:N,SyncCodex!O:O),""))</f>
        <v/>
      </c>
      <c r="G38" s="71"/>
      <c r="H38" s="71" t="str">
        <f t="shared" si="1"/>
        <v/>
      </c>
      <c r="I38" s="8" t="b">
        <v>0</v>
      </c>
      <c r="J38" s="72"/>
      <c r="K38" s="72"/>
    </row>
    <row r="39">
      <c r="A39" s="69"/>
      <c r="B39" s="8"/>
      <c r="E39" s="70"/>
      <c r="F39" s="70" t="str">
        <f t="array" ref="F39">IF(E39="","",IFERROR(_xlfn.XLOOKUP(E39,SyncCodex!N:N,SyncCodex!O:O),""))</f>
        <v/>
      </c>
      <c r="G39" s="71"/>
      <c r="H39" s="71" t="str">
        <f t="shared" si="1"/>
        <v/>
      </c>
      <c r="I39" s="8" t="b">
        <v>0</v>
      </c>
      <c r="J39" s="72"/>
      <c r="K39" s="72"/>
    </row>
    <row r="40">
      <c r="A40" s="69"/>
      <c r="B40" s="8"/>
      <c r="E40" s="70"/>
      <c r="F40" s="70" t="str">
        <f t="array" ref="F40">IF(E40="","",IFERROR(_xlfn.XLOOKUP(E40,SyncCodex!N:N,SyncCodex!O:O),""))</f>
        <v/>
      </c>
      <c r="G40" s="71"/>
      <c r="H40" s="71" t="str">
        <f t="shared" si="1"/>
        <v/>
      </c>
      <c r="I40" s="8" t="b">
        <v>0</v>
      </c>
      <c r="J40" s="72"/>
      <c r="K40" s="72"/>
    </row>
    <row r="41">
      <c r="A41" s="69"/>
      <c r="B41" s="8"/>
      <c r="E41" s="70"/>
      <c r="F41" s="70" t="str">
        <f t="array" ref="F41">IF(E41="","",IFERROR(_xlfn.XLOOKUP(E41,SyncCodex!N:N,SyncCodex!O:O),""))</f>
        <v/>
      </c>
      <c r="G41" s="71"/>
      <c r="H41" s="71" t="str">
        <f t="shared" si="1"/>
        <v/>
      </c>
      <c r="I41" s="8" t="b">
        <v>0</v>
      </c>
      <c r="J41" s="72"/>
      <c r="K41" s="72"/>
    </row>
    <row r="42">
      <c r="A42" s="69"/>
      <c r="B42" s="8"/>
      <c r="E42" s="70"/>
      <c r="F42" s="70" t="str">
        <f t="array" ref="F42">IF(E42="","",IFERROR(_xlfn.XLOOKUP(E42,SyncCodex!N:N,SyncCodex!O:O),""))</f>
        <v/>
      </c>
      <c r="G42" s="71"/>
      <c r="H42" s="71" t="str">
        <f t="shared" si="1"/>
        <v/>
      </c>
      <c r="I42" s="8" t="b">
        <v>0</v>
      </c>
      <c r="J42" s="72"/>
      <c r="K42" s="72"/>
    </row>
    <row r="43">
      <c r="A43" s="69"/>
      <c r="B43" s="8"/>
      <c r="E43" s="70"/>
      <c r="F43" s="70" t="str">
        <f t="array" ref="F43">IF(E43="","",IFERROR(_xlfn.XLOOKUP(E43,SyncCodex!N:N,SyncCodex!O:O),""))</f>
        <v/>
      </c>
      <c r="G43" s="71"/>
      <c r="H43" s="71" t="str">
        <f t="shared" si="1"/>
        <v/>
      </c>
      <c r="I43" s="8" t="b">
        <v>0</v>
      </c>
      <c r="J43" s="72"/>
      <c r="K43" s="72"/>
    </row>
    <row r="44">
      <c r="A44" s="69"/>
      <c r="B44" s="8"/>
      <c r="E44" s="70"/>
      <c r="F44" s="70" t="str">
        <f t="array" ref="F44">IF(E44="","",IFERROR(_xlfn.XLOOKUP(E44,SyncCodex!N:N,SyncCodex!O:O),""))</f>
        <v/>
      </c>
      <c r="G44" s="71"/>
      <c r="H44" s="71" t="str">
        <f t="shared" si="1"/>
        <v/>
      </c>
      <c r="I44" s="8" t="b">
        <v>0</v>
      </c>
      <c r="J44" s="72"/>
      <c r="K44" s="72"/>
    </row>
    <row r="45">
      <c r="A45" s="69"/>
      <c r="B45" s="8"/>
      <c r="E45" s="70"/>
      <c r="F45" s="70" t="str">
        <f t="array" ref="F45">IF(E45="","",IFERROR(_xlfn.XLOOKUP(E45,SyncCodex!N:N,SyncCodex!O:O),""))</f>
        <v/>
      </c>
      <c r="G45" s="71"/>
      <c r="H45" s="71" t="str">
        <f t="shared" si="1"/>
        <v/>
      </c>
      <c r="I45" s="8" t="b">
        <v>0</v>
      </c>
      <c r="J45" s="72"/>
      <c r="K45" s="72"/>
    </row>
    <row r="46">
      <c r="A46" s="69"/>
      <c r="B46" s="8"/>
      <c r="E46" s="70"/>
      <c r="F46" s="70" t="str">
        <f t="array" ref="F46">IF(E46="","",IFERROR(_xlfn.XLOOKUP(E46,SyncCodex!N:N,SyncCodex!O:O),""))</f>
        <v/>
      </c>
      <c r="G46" s="71"/>
      <c r="H46" s="71" t="str">
        <f t="shared" si="1"/>
        <v/>
      </c>
      <c r="I46" s="8" t="b">
        <v>0</v>
      </c>
      <c r="J46" s="72"/>
      <c r="K46" s="72"/>
    </row>
    <row r="47">
      <c r="A47" s="69"/>
      <c r="B47" s="8"/>
      <c r="E47" s="70"/>
      <c r="F47" s="70" t="str">
        <f t="array" ref="F47">IF(E47="","",IFERROR(_xlfn.XLOOKUP(E47,SyncCodex!N:N,SyncCodex!O:O),""))</f>
        <v/>
      </c>
      <c r="G47" s="71"/>
      <c r="H47" s="71" t="str">
        <f t="shared" si="1"/>
        <v/>
      </c>
      <c r="I47" s="8" t="b">
        <v>0</v>
      </c>
      <c r="J47" s="72"/>
      <c r="K47" s="72"/>
    </row>
    <row r="48">
      <c r="A48" s="69"/>
      <c r="B48" s="8"/>
      <c r="E48" s="70"/>
      <c r="F48" s="70" t="str">
        <f t="array" ref="F48">IF(E48="","",IFERROR(_xlfn.XLOOKUP(E48,SyncCodex!N:N,SyncCodex!O:O),""))</f>
        <v/>
      </c>
      <c r="G48" s="71"/>
      <c r="H48" s="71" t="str">
        <f t="shared" si="1"/>
        <v/>
      </c>
      <c r="I48" s="8" t="b">
        <v>0</v>
      </c>
      <c r="J48" s="72"/>
      <c r="K48" s="72"/>
    </row>
    <row r="49">
      <c r="A49" s="69"/>
      <c r="B49" s="8"/>
      <c r="E49" s="70"/>
      <c r="F49" s="70" t="str">
        <f t="array" ref="F49">IF(E49="","",IFERROR(_xlfn.XLOOKUP(E49,SyncCodex!N:N,SyncCodex!O:O),""))</f>
        <v/>
      </c>
      <c r="G49" s="71"/>
      <c r="H49" s="71" t="str">
        <f t="shared" si="1"/>
        <v/>
      </c>
      <c r="I49" s="8" t="b">
        <v>0</v>
      </c>
      <c r="J49" s="72"/>
      <c r="K49" s="72"/>
    </row>
    <row r="50">
      <c r="A50" s="69"/>
      <c r="B50" s="8"/>
      <c r="E50" s="70"/>
      <c r="F50" s="70" t="str">
        <f t="array" ref="F50">IF(E50="","",IFERROR(_xlfn.XLOOKUP(E50,SyncCodex!N:N,SyncCodex!O:O),""))</f>
        <v/>
      </c>
      <c r="G50" s="71"/>
      <c r="H50" s="71" t="str">
        <f t="shared" si="1"/>
        <v/>
      </c>
      <c r="I50" s="8" t="b">
        <v>0</v>
      </c>
      <c r="J50" s="72"/>
      <c r="K50" s="72"/>
    </row>
    <row r="51">
      <c r="A51" s="69"/>
      <c r="B51" s="8"/>
      <c r="E51" s="70"/>
      <c r="F51" s="70" t="str">
        <f t="array" ref="F51">IF(E51="","",IFERROR(_xlfn.XLOOKUP(E51,SyncCodex!N:N,SyncCodex!O:O),""))</f>
        <v/>
      </c>
      <c r="G51" s="71"/>
      <c r="H51" s="71" t="str">
        <f t="shared" si="1"/>
        <v/>
      </c>
      <c r="I51" s="8" t="b">
        <v>0</v>
      </c>
      <c r="J51" s="72"/>
      <c r="K51" s="72"/>
    </row>
    <row r="52">
      <c r="A52" s="69"/>
      <c r="B52" s="8"/>
      <c r="E52" s="70"/>
      <c r="F52" s="70" t="str">
        <f t="array" ref="F52">IF(E52="","",IFERROR(_xlfn.XLOOKUP(E52,SyncCodex!N:N,SyncCodex!O:O),""))</f>
        <v/>
      </c>
      <c r="G52" s="71"/>
      <c r="H52" s="71" t="str">
        <f t="shared" si="1"/>
        <v/>
      </c>
      <c r="I52" s="8" t="b">
        <v>0</v>
      </c>
      <c r="J52" s="72"/>
      <c r="K52" s="72"/>
    </row>
    <row r="53">
      <c r="A53" s="69"/>
      <c r="B53" s="8"/>
      <c r="E53" s="70"/>
      <c r="F53" s="70" t="str">
        <f t="array" ref="F53">IF(E53="","",IFERROR(_xlfn.XLOOKUP(E53,SyncCodex!N:N,SyncCodex!O:O),""))</f>
        <v/>
      </c>
      <c r="G53" s="71"/>
      <c r="H53" s="71" t="str">
        <f t="shared" si="1"/>
        <v/>
      </c>
      <c r="I53" s="8" t="b">
        <v>0</v>
      </c>
      <c r="J53" s="72"/>
      <c r="K53" s="72"/>
    </row>
    <row r="54">
      <c r="A54" s="69"/>
      <c r="B54" s="8"/>
      <c r="E54" s="70"/>
      <c r="F54" s="70" t="str">
        <f t="array" ref="F54">IF(E54="","",IFERROR(_xlfn.XLOOKUP(E54,SyncCodex!N:N,SyncCodex!O:O),""))</f>
        <v/>
      </c>
      <c r="G54" s="71"/>
      <c r="H54" s="71" t="str">
        <f t="shared" si="1"/>
        <v/>
      </c>
      <c r="I54" s="8" t="b">
        <v>0</v>
      </c>
      <c r="J54" s="72"/>
      <c r="K54" s="72"/>
    </row>
    <row r="55">
      <c r="A55" s="69"/>
      <c r="B55" s="8"/>
      <c r="E55" s="70"/>
      <c r="F55" s="70" t="str">
        <f t="array" ref="F55">IF(E55="","",IFERROR(_xlfn.XLOOKUP(E55,SyncCodex!N:N,SyncCodex!O:O),""))</f>
        <v/>
      </c>
      <c r="G55" s="71"/>
      <c r="H55" s="71" t="str">
        <f t="shared" si="1"/>
        <v/>
      </c>
      <c r="I55" s="8" t="b">
        <v>0</v>
      </c>
      <c r="J55" s="72"/>
      <c r="K55" s="72"/>
    </row>
    <row r="56">
      <c r="A56" s="69"/>
      <c r="B56" s="8"/>
      <c r="E56" s="70"/>
      <c r="F56" s="70" t="str">
        <f t="array" ref="F56">IF(E56="","",IFERROR(_xlfn.XLOOKUP(E56,SyncCodex!N:N,SyncCodex!O:O),""))</f>
        <v/>
      </c>
      <c r="G56" s="71"/>
      <c r="H56" s="71" t="str">
        <f t="shared" si="1"/>
        <v/>
      </c>
      <c r="I56" s="8" t="b">
        <v>0</v>
      </c>
      <c r="J56" s="72"/>
      <c r="K56" s="72"/>
    </row>
    <row r="57">
      <c r="A57" s="69"/>
      <c r="B57" s="8"/>
      <c r="E57" s="70"/>
      <c r="F57" s="70" t="str">
        <f t="array" ref="F57">IF(E57="","",IFERROR(_xlfn.XLOOKUP(E57,SyncCodex!N:N,SyncCodex!O:O),""))</f>
        <v/>
      </c>
      <c r="G57" s="71"/>
      <c r="H57" s="71" t="str">
        <f t="shared" si="1"/>
        <v/>
      </c>
      <c r="I57" s="8" t="b">
        <v>0</v>
      </c>
      <c r="J57" s="72"/>
      <c r="K57" s="72"/>
    </row>
    <row r="58">
      <c r="A58" s="69"/>
      <c r="B58" s="8"/>
      <c r="E58" s="70"/>
      <c r="F58" s="70" t="str">
        <f t="array" ref="F58">IF(E58="","",IFERROR(_xlfn.XLOOKUP(E58,SyncCodex!N:N,SyncCodex!O:O),""))</f>
        <v/>
      </c>
      <c r="G58" s="71"/>
      <c r="H58" s="71" t="str">
        <f t="shared" si="1"/>
        <v/>
      </c>
      <c r="I58" s="8" t="b">
        <v>0</v>
      </c>
      <c r="J58" s="72"/>
      <c r="K58" s="72"/>
    </row>
    <row r="59">
      <c r="A59" s="69"/>
      <c r="B59" s="8"/>
      <c r="E59" s="70"/>
      <c r="F59" s="70" t="str">
        <f t="array" ref="F59">IF(E59="","",IFERROR(_xlfn.XLOOKUP(E59,SyncCodex!N:N,SyncCodex!O:O),""))</f>
        <v/>
      </c>
      <c r="G59" s="71"/>
      <c r="H59" s="71" t="str">
        <f t="shared" si="1"/>
        <v/>
      </c>
      <c r="I59" s="8" t="b">
        <v>0</v>
      </c>
      <c r="J59" s="72"/>
      <c r="K59" s="72"/>
    </row>
    <row r="60">
      <c r="A60" s="69"/>
      <c r="B60" s="8"/>
      <c r="E60" s="70"/>
      <c r="F60" s="70" t="str">
        <f t="array" ref="F60">IF(E60="","",IFERROR(_xlfn.XLOOKUP(E60,SyncCodex!N:N,SyncCodex!O:O),""))</f>
        <v/>
      </c>
      <c r="G60" s="71"/>
      <c r="H60" s="71" t="str">
        <f t="shared" si="1"/>
        <v/>
      </c>
      <c r="I60" s="8" t="b">
        <v>0</v>
      </c>
      <c r="J60" s="72"/>
      <c r="K60" s="72"/>
    </row>
    <row r="61">
      <c r="A61" s="69"/>
      <c r="B61" s="8"/>
      <c r="E61" s="70"/>
      <c r="F61" s="70" t="str">
        <f t="array" ref="F61">IF(E61="","",IFERROR(_xlfn.XLOOKUP(E61,SyncCodex!N:N,SyncCodex!O:O),""))</f>
        <v/>
      </c>
      <c r="G61" s="71"/>
      <c r="H61" s="71" t="str">
        <f t="shared" si="1"/>
        <v/>
      </c>
      <c r="I61" s="8" t="b">
        <v>0</v>
      </c>
      <c r="J61" s="72"/>
      <c r="K61" s="72"/>
    </row>
    <row r="62">
      <c r="A62" s="69"/>
      <c r="B62" s="8"/>
      <c r="E62" s="70"/>
      <c r="F62" s="70" t="str">
        <f t="array" ref="F62">IF(E62="","",IFERROR(_xlfn.XLOOKUP(E62,SyncCodex!N:N,SyncCodex!O:O),""))</f>
        <v/>
      </c>
      <c r="G62" s="71"/>
      <c r="H62" s="71" t="str">
        <f t="shared" si="1"/>
        <v/>
      </c>
      <c r="I62" s="8" t="b">
        <v>0</v>
      </c>
      <c r="J62" s="72"/>
      <c r="K62" s="72"/>
    </row>
    <row r="63">
      <c r="A63" s="69"/>
      <c r="B63" s="8"/>
      <c r="E63" s="70"/>
      <c r="F63" s="70" t="str">
        <f t="array" ref="F63">IF(E63="","",IFERROR(_xlfn.XLOOKUP(E63,SyncCodex!N:N,SyncCodex!O:O),""))</f>
        <v/>
      </c>
      <c r="G63" s="71"/>
      <c r="H63" s="71" t="str">
        <f t="shared" si="1"/>
        <v/>
      </c>
      <c r="I63" s="8" t="b">
        <v>0</v>
      </c>
      <c r="J63" s="72"/>
      <c r="K63" s="72"/>
    </row>
    <row r="64">
      <c r="A64" s="69"/>
      <c r="B64" s="8"/>
      <c r="E64" s="70"/>
      <c r="F64" s="70" t="str">
        <f t="array" ref="F64">IF(E64="","",IFERROR(_xlfn.XLOOKUP(E64,SyncCodex!N:N,SyncCodex!O:O),""))</f>
        <v/>
      </c>
      <c r="G64" s="71"/>
      <c r="H64" s="71" t="str">
        <f t="shared" si="1"/>
        <v/>
      </c>
      <c r="I64" s="8" t="b">
        <v>0</v>
      </c>
      <c r="J64" s="72"/>
      <c r="K64" s="72"/>
    </row>
    <row r="65">
      <c r="A65" s="69"/>
      <c r="B65" s="8"/>
      <c r="E65" s="70"/>
      <c r="F65" s="70" t="str">
        <f t="array" ref="F65">IF(E65="","",IFERROR(_xlfn.XLOOKUP(E65,SyncCodex!N:N,SyncCodex!O:O),""))</f>
        <v/>
      </c>
      <c r="G65" s="71"/>
      <c r="H65" s="71" t="str">
        <f t="shared" si="1"/>
        <v/>
      </c>
      <c r="I65" s="8" t="b">
        <v>0</v>
      </c>
      <c r="J65" s="72"/>
      <c r="K65" s="72"/>
    </row>
    <row r="66">
      <c r="A66" s="69"/>
      <c r="B66" s="8"/>
      <c r="E66" s="70"/>
      <c r="F66" s="70" t="str">
        <f t="array" ref="F66">IF(E66="","",IFERROR(_xlfn.XLOOKUP(E66,SyncCodex!N:N,SyncCodex!O:O),""))</f>
        <v/>
      </c>
      <c r="G66" s="71"/>
      <c r="H66" s="71" t="str">
        <f t="shared" si="1"/>
        <v/>
      </c>
      <c r="I66" s="8" t="b">
        <v>0</v>
      </c>
      <c r="J66" s="72"/>
      <c r="K66" s="72"/>
    </row>
    <row r="67">
      <c r="A67" s="69"/>
      <c r="B67" s="8"/>
      <c r="E67" s="70"/>
      <c r="F67" s="70" t="str">
        <f t="array" ref="F67">IF(E67="","",IFERROR(_xlfn.XLOOKUP(E67,SyncCodex!N:N,SyncCodex!O:O),""))</f>
        <v/>
      </c>
      <c r="G67" s="71"/>
      <c r="H67" s="71" t="str">
        <f t="shared" si="1"/>
        <v/>
      </c>
      <c r="I67" s="8" t="b">
        <v>0</v>
      </c>
      <c r="J67" s="72"/>
      <c r="K67" s="72"/>
    </row>
    <row r="68">
      <c r="A68" s="69"/>
      <c r="B68" s="8"/>
      <c r="E68" s="70"/>
      <c r="F68" s="70" t="str">
        <f t="array" ref="F68">IF(E68="","",IFERROR(_xlfn.XLOOKUP(E68,SyncCodex!N:N,SyncCodex!O:O),""))</f>
        <v/>
      </c>
      <c r="G68" s="71"/>
      <c r="H68" s="71" t="str">
        <f t="shared" si="1"/>
        <v/>
      </c>
      <c r="I68" s="8" t="b">
        <v>0</v>
      </c>
      <c r="J68" s="72"/>
      <c r="K68" s="72"/>
    </row>
    <row r="69">
      <c r="A69" s="69"/>
      <c r="B69" s="8"/>
      <c r="E69" s="70"/>
      <c r="F69" s="70" t="str">
        <f t="array" ref="F69">IF(E69="","",IFERROR(_xlfn.XLOOKUP(E69,SyncCodex!N:N,SyncCodex!O:O),""))</f>
        <v/>
      </c>
      <c r="G69" s="71"/>
      <c r="H69" s="71" t="str">
        <f t="shared" si="1"/>
        <v/>
      </c>
      <c r="I69" s="8" t="b">
        <v>0</v>
      </c>
      <c r="J69" s="72"/>
      <c r="K69" s="72"/>
    </row>
    <row r="70">
      <c r="A70" s="69"/>
      <c r="B70" s="8"/>
      <c r="E70" s="70"/>
      <c r="F70" s="70" t="str">
        <f t="array" ref="F70">IF(E70="","",IFERROR(_xlfn.XLOOKUP(E70,SyncCodex!N:N,SyncCodex!O:O),""))</f>
        <v/>
      </c>
      <c r="G70" s="71"/>
      <c r="H70" s="71" t="str">
        <f t="shared" si="1"/>
        <v/>
      </c>
      <c r="I70" s="8" t="b">
        <v>0</v>
      </c>
      <c r="J70" s="72"/>
      <c r="K70" s="72"/>
    </row>
    <row r="71">
      <c r="A71" s="69"/>
      <c r="B71" s="8"/>
      <c r="E71" s="70"/>
      <c r="F71" s="70" t="str">
        <f t="array" ref="F71">IF(E71="","",IFERROR(_xlfn.XLOOKUP(E71,SyncCodex!N:N,SyncCodex!O:O),""))</f>
        <v/>
      </c>
      <c r="G71" s="71"/>
      <c r="H71" s="71" t="str">
        <f t="shared" si="1"/>
        <v/>
      </c>
      <c r="I71" s="8" t="b">
        <v>0</v>
      </c>
      <c r="J71" s="72"/>
      <c r="K71" s="72"/>
    </row>
    <row r="72">
      <c r="A72" s="69"/>
      <c r="B72" s="8"/>
      <c r="E72" s="70"/>
      <c r="F72" s="70" t="str">
        <f t="array" ref="F72">IF(E72="","",IFERROR(_xlfn.XLOOKUP(E72,SyncCodex!N:N,SyncCodex!O:O),""))</f>
        <v/>
      </c>
      <c r="G72" s="71"/>
      <c r="H72" s="71" t="str">
        <f t="shared" si="1"/>
        <v/>
      </c>
      <c r="I72" s="8" t="b">
        <v>0</v>
      </c>
      <c r="J72" s="72"/>
      <c r="K72" s="72"/>
    </row>
    <row r="73">
      <c r="A73" s="69"/>
      <c r="B73" s="8"/>
      <c r="E73" s="70"/>
      <c r="F73" s="70" t="str">
        <f t="array" ref="F73">IF(E73="","",IFERROR(_xlfn.XLOOKUP(E73,SyncCodex!N:N,SyncCodex!O:O),""))</f>
        <v/>
      </c>
      <c r="G73" s="71"/>
      <c r="H73" s="71" t="str">
        <f t="shared" si="1"/>
        <v/>
      </c>
      <c r="I73" s="8" t="b">
        <v>0</v>
      </c>
      <c r="J73" s="72"/>
      <c r="K73" s="72"/>
    </row>
    <row r="74">
      <c r="A74" s="69"/>
      <c r="B74" s="8"/>
      <c r="E74" s="70"/>
      <c r="F74" s="70" t="str">
        <f t="array" ref="F74">IF(E74="","",IFERROR(_xlfn.XLOOKUP(E74,SyncCodex!N:N,SyncCodex!O:O),""))</f>
        <v/>
      </c>
      <c r="G74" s="71"/>
      <c r="H74" s="71" t="str">
        <f t="shared" si="1"/>
        <v/>
      </c>
      <c r="I74" s="8" t="b">
        <v>0</v>
      </c>
      <c r="J74" s="72"/>
      <c r="K74" s="72"/>
    </row>
    <row r="75">
      <c r="A75" s="69"/>
      <c r="B75" s="8"/>
      <c r="E75" s="70"/>
      <c r="F75" s="70" t="str">
        <f t="array" ref="F75">IF(E75="","",IFERROR(_xlfn.XLOOKUP(E75,SyncCodex!N:N,SyncCodex!O:O),""))</f>
        <v/>
      </c>
      <c r="G75" s="71"/>
      <c r="H75" s="71" t="str">
        <f t="shared" si="1"/>
        <v/>
      </c>
      <c r="I75" s="8" t="b">
        <v>0</v>
      </c>
      <c r="J75" s="72"/>
      <c r="K75" s="72"/>
    </row>
    <row r="76">
      <c r="A76" s="69"/>
      <c r="B76" s="8"/>
      <c r="E76" s="70"/>
      <c r="F76" s="70" t="str">
        <f t="array" ref="F76">IF(E76="","",IFERROR(_xlfn.XLOOKUP(E76,SyncCodex!N:N,SyncCodex!O:O),""))</f>
        <v/>
      </c>
      <c r="G76" s="71"/>
      <c r="H76" s="71" t="str">
        <f t="shared" si="1"/>
        <v/>
      </c>
      <c r="I76" s="8" t="b">
        <v>0</v>
      </c>
      <c r="J76" s="72"/>
      <c r="K76" s="72"/>
    </row>
    <row r="77">
      <c r="A77" s="69"/>
      <c r="B77" s="8"/>
      <c r="E77" s="70"/>
      <c r="F77" s="70" t="str">
        <f t="array" ref="F77">IF(E77="","",IFERROR(_xlfn.XLOOKUP(E77,SyncCodex!N:N,SyncCodex!O:O),""))</f>
        <v/>
      </c>
      <c r="G77" s="71"/>
      <c r="H77" s="71" t="str">
        <f t="shared" si="1"/>
        <v/>
      </c>
      <c r="I77" s="8" t="b">
        <v>0</v>
      </c>
      <c r="J77" s="72"/>
      <c r="K77" s="72"/>
    </row>
    <row r="78">
      <c r="A78" s="69"/>
      <c r="B78" s="8"/>
      <c r="E78" s="70"/>
      <c r="F78" s="70" t="str">
        <f t="array" ref="F78">IF(E78="","",IFERROR(_xlfn.XLOOKUP(E78,SyncCodex!N:N,SyncCodex!O:O),""))</f>
        <v/>
      </c>
      <c r="G78" s="71"/>
      <c r="H78" s="71" t="str">
        <f t="shared" si="1"/>
        <v/>
      </c>
      <c r="I78" s="8" t="b">
        <v>0</v>
      </c>
      <c r="J78" s="72"/>
      <c r="K78" s="72"/>
    </row>
    <row r="79">
      <c r="A79" s="69"/>
      <c r="B79" s="8"/>
      <c r="E79" s="70"/>
      <c r="F79" s="70" t="str">
        <f t="array" ref="F79">IF(E79="","",IFERROR(_xlfn.XLOOKUP(E79,SyncCodex!N:N,SyncCodex!O:O),""))</f>
        <v/>
      </c>
      <c r="G79" s="71"/>
      <c r="H79" s="71" t="str">
        <f t="shared" si="1"/>
        <v/>
      </c>
      <c r="I79" s="8" t="b">
        <v>0</v>
      </c>
      <c r="J79" s="72"/>
      <c r="K79" s="72"/>
    </row>
    <row r="80">
      <c r="A80" s="69"/>
      <c r="B80" s="8"/>
      <c r="E80" s="70"/>
      <c r="F80" s="70" t="str">
        <f t="array" ref="F80">IF(E80="","",IFERROR(_xlfn.XLOOKUP(E80,SyncCodex!N:N,SyncCodex!O:O),""))</f>
        <v/>
      </c>
      <c r="G80" s="71"/>
      <c r="H80" s="71" t="str">
        <f t="shared" si="1"/>
        <v/>
      </c>
      <c r="I80" s="8" t="b">
        <v>0</v>
      </c>
      <c r="J80" s="72"/>
      <c r="K80" s="72"/>
    </row>
    <row r="81">
      <c r="A81" s="69"/>
      <c r="B81" s="8"/>
      <c r="E81" s="70"/>
      <c r="F81" s="70" t="str">
        <f t="array" ref="F81">IF(E81="","",IFERROR(_xlfn.XLOOKUP(E81,SyncCodex!N:N,SyncCodex!O:O),""))</f>
        <v/>
      </c>
      <c r="G81" s="71"/>
      <c r="H81" s="71" t="str">
        <f t="shared" si="1"/>
        <v/>
      </c>
      <c r="I81" s="8" t="b">
        <v>0</v>
      </c>
      <c r="J81" s="72"/>
      <c r="K81" s="72"/>
    </row>
    <row r="82">
      <c r="A82" s="69"/>
      <c r="B82" s="8"/>
      <c r="E82" s="70"/>
      <c r="F82" s="70" t="str">
        <f t="array" ref="F82">IF(E82="","",IFERROR(_xlfn.XLOOKUP(E82,SyncCodex!N:N,SyncCodex!O:O),""))</f>
        <v/>
      </c>
      <c r="G82" s="71"/>
      <c r="H82" s="71" t="str">
        <f t="shared" si="1"/>
        <v/>
      </c>
      <c r="I82" s="8" t="b">
        <v>0</v>
      </c>
      <c r="J82" s="72"/>
      <c r="K82" s="72"/>
    </row>
    <row r="83">
      <c r="A83" s="69"/>
      <c r="B83" s="8"/>
      <c r="E83" s="70"/>
      <c r="F83" s="70" t="str">
        <f t="array" ref="F83">IF(E83="","",IFERROR(_xlfn.XLOOKUP(E83,SyncCodex!N:N,SyncCodex!O:O),""))</f>
        <v/>
      </c>
      <c r="G83" s="71"/>
      <c r="H83" s="71" t="str">
        <f t="shared" si="1"/>
        <v/>
      </c>
      <c r="I83" s="8" t="b">
        <v>0</v>
      </c>
      <c r="J83" s="72"/>
      <c r="K83" s="72"/>
    </row>
    <row r="84">
      <c r="A84" s="69"/>
      <c r="B84" s="8"/>
      <c r="E84" s="70"/>
      <c r="F84" s="70" t="str">
        <f t="array" ref="F84">IF(E84="","",IFERROR(_xlfn.XLOOKUP(E84,SyncCodex!N:N,SyncCodex!O:O),""))</f>
        <v/>
      </c>
      <c r="G84" s="71"/>
      <c r="H84" s="71" t="str">
        <f t="shared" si="1"/>
        <v/>
      </c>
      <c r="I84" s="8" t="b">
        <v>0</v>
      </c>
      <c r="J84" s="72"/>
      <c r="K84" s="72"/>
    </row>
    <row r="85">
      <c r="A85" s="69"/>
      <c r="B85" s="8"/>
      <c r="E85" s="70"/>
      <c r="F85" s="70" t="str">
        <f t="array" ref="F85">IF(E85="","",IFERROR(_xlfn.XLOOKUP(E85,SyncCodex!N:N,SyncCodex!O:O),""))</f>
        <v/>
      </c>
      <c r="G85" s="71"/>
      <c r="H85" s="71" t="str">
        <f t="shared" si="1"/>
        <v/>
      </c>
      <c r="I85" s="8" t="b">
        <v>0</v>
      </c>
      <c r="J85" s="72"/>
      <c r="K85" s="72"/>
    </row>
    <row r="86">
      <c r="A86" s="69"/>
      <c r="B86" s="8"/>
      <c r="E86" s="70"/>
      <c r="F86" s="70" t="str">
        <f t="array" ref="F86">IF(E86="","",IFERROR(_xlfn.XLOOKUP(E86,SyncCodex!N:N,SyncCodex!O:O),""))</f>
        <v/>
      </c>
      <c r="G86" s="71"/>
      <c r="H86" s="71" t="str">
        <f t="shared" si="1"/>
        <v/>
      </c>
      <c r="I86" s="8" t="b">
        <v>0</v>
      </c>
      <c r="J86" s="72"/>
      <c r="K86" s="72"/>
    </row>
    <row r="87">
      <c r="A87" s="69"/>
      <c r="B87" s="8"/>
      <c r="E87" s="70"/>
      <c r="F87" s="70" t="str">
        <f t="array" ref="F87">IF(E87="","",IFERROR(_xlfn.XLOOKUP(E87,SyncCodex!N:N,SyncCodex!O:O),""))</f>
        <v/>
      </c>
      <c r="G87" s="71"/>
      <c r="H87" s="71" t="str">
        <f t="shared" si="1"/>
        <v/>
      </c>
      <c r="I87" s="8" t="b">
        <v>0</v>
      </c>
      <c r="J87" s="72"/>
      <c r="K87" s="72"/>
    </row>
    <row r="88">
      <c r="A88" s="69"/>
      <c r="B88" s="8"/>
      <c r="E88" s="70"/>
      <c r="F88" s="70" t="str">
        <f t="array" ref="F88">IF(E88="","",IFERROR(_xlfn.XLOOKUP(E88,SyncCodex!N:N,SyncCodex!O:O),""))</f>
        <v/>
      </c>
      <c r="G88" s="71"/>
      <c r="H88" s="71" t="str">
        <f t="shared" si="1"/>
        <v/>
      </c>
      <c r="I88" s="8" t="b">
        <v>0</v>
      </c>
      <c r="J88" s="72"/>
      <c r="K88" s="72"/>
    </row>
    <row r="89">
      <c r="A89" s="69"/>
      <c r="B89" s="8"/>
      <c r="E89" s="70"/>
      <c r="F89" s="70" t="str">
        <f t="array" ref="F89">IF(E89="","",IFERROR(_xlfn.XLOOKUP(E89,SyncCodex!N:N,SyncCodex!O:O),""))</f>
        <v/>
      </c>
      <c r="G89" s="71"/>
      <c r="H89" s="71" t="str">
        <f t="shared" si="1"/>
        <v/>
      </c>
      <c r="I89" s="8" t="b">
        <v>0</v>
      </c>
      <c r="J89" s="72"/>
      <c r="K89" s="72"/>
    </row>
    <row r="90">
      <c r="A90" s="69"/>
      <c r="B90" s="8"/>
      <c r="E90" s="70"/>
      <c r="F90" s="70" t="str">
        <f t="array" ref="F90">IF(E90="","",IFERROR(_xlfn.XLOOKUP(E90,SyncCodex!N:N,SyncCodex!O:O),""))</f>
        <v/>
      </c>
      <c r="G90" s="71"/>
      <c r="H90" s="71" t="str">
        <f t="shared" si="1"/>
        <v/>
      </c>
      <c r="I90" s="8" t="b">
        <v>0</v>
      </c>
      <c r="J90" s="72"/>
      <c r="K90" s="72"/>
    </row>
    <row r="91">
      <c r="A91" s="69"/>
      <c r="B91" s="8"/>
      <c r="E91" s="70"/>
      <c r="F91" s="70" t="str">
        <f t="array" ref="F91">IF(E91="","",IFERROR(_xlfn.XLOOKUP(E91,SyncCodex!N:N,SyncCodex!O:O),""))</f>
        <v/>
      </c>
      <c r="G91" s="71"/>
      <c r="H91" s="71" t="str">
        <f t="shared" si="1"/>
        <v/>
      </c>
      <c r="I91" s="8" t="b">
        <v>0</v>
      </c>
      <c r="J91" s="72"/>
      <c r="K91" s="72"/>
    </row>
    <row r="92">
      <c r="A92" s="69"/>
      <c r="B92" s="8"/>
      <c r="E92" s="70"/>
      <c r="F92" s="70" t="str">
        <f t="array" ref="F92">IF(E92="","",IFERROR(_xlfn.XLOOKUP(E92,SyncCodex!N:N,SyncCodex!O:O),""))</f>
        <v/>
      </c>
      <c r="G92" s="71"/>
      <c r="H92" s="71" t="str">
        <f t="shared" si="1"/>
        <v/>
      </c>
      <c r="I92" s="8" t="b">
        <v>0</v>
      </c>
      <c r="J92" s="72"/>
      <c r="K92" s="72"/>
    </row>
    <row r="93">
      <c r="A93" s="69"/>
      <c r="B93" s="8"/>
      <c r="E93" s="70"/>
      <c r="F93" s="70" t="str">
        <f t="array" ref="F93">IF(E93="","",IFERROR(_xlfn.XLOOKUP(E93,SyncCodex!N:N,SyncCodex!O:O),""))</f>
        <v/>
      </c>
      <c r="G93" s="71"/>
      <c r="H93" s="71" t="str">
        <f t="shared" si="1"/>
        <v/>
      </c>
      <c r="I93" s="8" t="b">
        <v>0</v>
      </c>
      <c r="J93" s="72"/>
      <c r="K93" s="72"/>
    </row>
    <row r="94">
      <c r="A94" s="69"/>
      <c r="B94" s="8"/>
      <c r="E94" s="70"/>
      <c r="F94" s="70" t="str">
        <f t="array" ref="F94">IF(E94="","",IFERROR(_xlfn.XLOOKUP(E94,SyncCodex!N:N,SyncCodex!O:O),""))</f>
        <v/>
      </c>
      <c r="G94" s="71"/>
      <c r="H94" s="71" t="str">
        <f t="shared" si="1"/>
        <v/>
      </c>
      <c r="I94" s="8" t="b">
        <v>0</v>
      </c>
      <c r="J94" s="72"/>
      <c r="K94" s="72"/>
    </row>
    <row r="95">
      <c r="A95" s="69"/>
      <c r="B95" s="8"/>
      <c r="E95" s="70"/>
      <c r="F95" s="70" t="str">
        <f t="array" ref="F95">IF(E95="","",IFERROR(_xlfn.XLOOKUP(E95,SyncCodex!N:N,SyncCodex!O:O),""))</f>
        <v/>
      </c>
      <c r="G95" s="71"/>
      <c r="H95" s="71" t="str">
        <f t="shared" si="1"/>
        <v/>
      </c>
      <c r="I95" s="8" t="b">
        <v>0</v>
      </c>
      <c r="J95" s="72"/>
      <c r="K95" s="72"/>
    </row>
    <row r="96">
      <c r="A96" s="69"/>
      <c r="B96" s="8"/>
      <c r="E96" s="70"/>
      <c r="F96" s="70" t="str">
        <f t="array" ref="F96">IF(E96="","",IFERROR(_xlfn.XLOOKUP(E96,SyncCodex!N:N,SyncCodex!O:O),""))</f>
        <v/>
      </c>
      <c r="G96" s="71"/>
      <c r="H96" s="71" t="str">
        <f t="shared" si="1"/>
        <v/>
      </c>
      <c r="I96" s="8" t="b">
        <v>0</v>
      </c>
      <c r="J96" s="72"/>
      <c r="K96" s="72"/>
    </row>
    <row r="97">
      <c r="A97" s="69"/>
      <c r="B97" s="8"/>
      <c r="E97" s="70"/>
      <c r="F97" s="70" t="str">
        <f t="array" ref="F97">IF(E97="","",IFERROR(_xlfn.XLOOKUP(E97,SyncCodex!N:N,SyncCodex!O:O),""))</f>
        <v/>
      </c>
      <c r="G97" s="71"/>
      <c r="H97" s="71" t="str">
        <f t="shared" si="1"/>
        <v/>
      </c>
      <c r="I97" s="8" t="b">
        <v>0</v>
      </c>
      <c r="J97" s="72"/>
      <c r="K97" s="72"/>
    </row>
    <row r="98">
      <c r="A98" s="69"/>
      <c r="B98" s="8"/>
      <c r="E98" s="70"/>
      <c r="F98" s="70" t="str">
        <f t="array" ref="F98">IF(E98="","",IFERROR(_xlfn.XLOOKUP(E98,SyncCodex!N:N,SyncCodex!O:O),""))</f>
        <v/>
      </c>
      <c r="G98" s="71"/>
      <c r="H98" s="71" t="str">
        <f t="shared" si="1"/>
        <v/>
      </c>
      <c r="I98" s="8" t="b">
        <v>0</v>
      </c>
      <c r="J98" s="72"/>
      <c r="K98" s="72"/>
    </row>
    <row r="99">
      <c r="A99" s="69"/>
      <c r="B99" s="8"/>
      <c r="E99" s="70"/>
      <c r="F99" s="70" t="str">
        <f t="array" ref="F99">IF(E99="","",IFERROR(_xlfn.XLOOKUP(E99,SyncCodex!N:N,SyncCodex!O:O),""))</f>
        <v/>
      </c>
      <c r="G99" s="71"/>
      <c r="H99" s="71" t="str">
        <f t="shared" si="1"/>
        <v/>
      </c>
      <c r="I99" s="8" t="b">
        <v>0</v>
      </c>
      <c r="J99" s="72"/>
      <c r="K99" s="72"/>
    </row>
    <row r="100">
      <c r="A100" s="69"/>
      <c r="B100" s="8"/>
      <c r="E100" s="70"/>
      <c r="F100" s="70" t="str">
        <f t="array" ref="F100">IF(E100="","",IFERROR(_xlfn.XLOOKUP(E100,SyncCodex!N:N,SyncCodex!O:O),""))</f>
        <v/>
      </c>
      <c r="G100" s="71"/>
      <c r="H100" s="71" t="str">
        <f t="shared" si="1"/>
        <v/>
      </c>
      <c r="I100" s="8" t="b">
        <v>0</v>
      </c>
      <c r="J100" s="72"/>
      <c r="K100" s="72"/>
    </row>
    <row r="101">
      <c r="A101" s="69"/>
      <c r="B101" s="8"/>
      <c r="E101" s="70"/>
      <c r="F101" s="70" t="str">
        <f t="array" ref="F101">IF(E101="","",IFERROR(_xlfn.XLOOKUP(E101,SyncCodex!N:N,SyncCodex!O:O),""))</f>
        <v/>
      </c>
      <c r="G101" s="71"/>
      <c r="H101" s="71" t="str">
        <f t="shared" si="1"/>
        <v/>
      </c>
      <c r="I101" s="8" t="b">
        <v>0</v>
      </c>
      <c r="J101" s="72"/>
      <c r="K101" s="72"/>
    </row>
    <row r="102">
      <c r="A102" s="69"/>
      <c r="B102" s="8"/>
      <c r="E102" s="70"/>
      <c r="F102" s="70" t="str">
        <f t="array" ref="F102">IF(E102="","",IFERROR(_xlfn.XLOOKUP(E102,SyncCodex!N:N,SyncCodex!O:O),""))</f>
        <v/>
      </c>
      <c r="G102" s="71"/>
      <c r="H102" s="71" t="str">
        <f t="shared" si="1"/>
        <v/>
      </c>
      <c r="I102" s="8" t="b">
        <v>0</v>
      </c>
      <c r="J102" s="72"/>
      <c r="K102" s="72"/>
    </row>
    <row r="103">
      <c r="A103" s="69"/>
      <c r="B103" s="8"/>
      <c r="E103" s="70"/>
      <c r="F103" s="70" t="str">
        <f t="array" ref="F103">IF(E103="","",IFERROR(_xlfn.XLOOKUP(E103,SyncCodex!N:N,SyncCodex!O:O),""))</f>
        <v/>
      </c>
      <c r="G103" s="71"/>
      <c r="H103" s="71" t="str">
        <f t="shared" si="1"/>
        <v/>
      </c>
      <c r="I103" s="8" t="b">
        <v>0</v>
      </c>
      <c r="J103" s="72"/>
      <c r="K103" s="72"/>
    </row>
    <row r="104">
      <c r="A104" s="69"/>
      <c r="B104" s="8"/>
      <c r="E104" s="70"/>
      <c r="F104" s="70" t="str">
        <f t="array" ref="F104">IF(E104="","",IFERROR(_xlfn.XLOOKUP(E104,SyncCodex!N:N,SyncCodex!O:O),""))</f>
        <v/>
      </c>
      <c r="G104" s="71"/>
      <c r="H104" s="71" t="str">
        <f t="shared" si="1"/>
        <v/>
      </c>
      <c r="I104" s="8" t="b">
        <v>0</v>
      </c>
      <c r="J104" s="72"/>
      <c r="K104" s="72"/>
    </row>
    <row r="105">
      <c r="A105" s="69"/>
      <c r="B105" s="8"/>
      <c r="E105" s="70"/>
      <c r="F105" s="70" t="str">
        <f t="array" ref="F105">IF(E105="","",IFERROR(_xlfn.XLOOKUP(E105,SyncCodex!N:N,SyncCodex!O:O),""))</f>
        <v/>
      </c>
      <c r="G105" s="71"/>
      <c r="H105" s="71" t="str">
        <f t="shared" si="1"/>
        <v/>
      </c>
      <c r="I105" s="8" t="b">
        <v>0</v>
      </c>
      <c r="J105" s="72"/>
      <c r="K105" s="72"/>
    </row>
    <row r="106">
      <c r="A106" s="69"/>
      <c r="B106" s="8"/>
      <c r="E106" s="70"/>
      <c r="F106" s="70" t="str">
        <f t="array" ref="F106">IF(E106="","",IFERROR(_xlfn.XLOOKUP(E106,SyncCodex!N:N,SyncCodex!O:O),""))</f>
        <v/>
      </c>
      <c r="G106" s="71"/>
      <c r="H106" s="71" t="str">
        <f t="shared" si="1"/>
        <v/>
      </c>
      <c r="I106" s="8" t="b">
        <v>0</v>
      </c>
      <c r="J106" s="72"/>
      <c r="K106" s="72"/>
    </row>
    <row r="107">
      <c r="A107" s="69"/>
      <c r="B107" s="8"/>
      <c r="E107" s="70"/>
      <c r="F107" s="70" t="str">
        <f t="array" ref="F107">IF(E107="","",IFERROR(_xlfn.XLOOKUP(E107,SyncCodex!N:N,SyncCodex!O:O),""))</f>
        <v/>
      </c>
      <c r="G107" s="71"/>
      <c r="H107" s="71" t="str">
        <f t="shared" si="1"/>
        <v/>
      </c>
      <c r="I107" s="8" t="b">
        <v>0</v>
      </c>
      <c r="J107" s="72"/>
      <c r="K107" s="72"/>
    </row>
    <row r="108">
      <c r="A108" s="69"/>
      <c r="B108" s="8"/>
      <c r="E108" s="70"/>
      <c r="F108" s="70" t="str">
        <f t="array" ref="F108">IF(E108="","",IFERROR(_xlfn.XLOOKUP(E108,SyncCodex!N:N,SyncCodex!O:O),""))</f>
        <v/>
      </c>
      <c r="G108" s="71"/>
      <c r="H108" s="71" t="str">
        <f t="shared" si="1"/>
        <v/>
      </c>
      <c r="I108" s="8" t="b">
        <v>0</v>
      </c>
      <c r="J108" s="72"/>
      <c r="K108" s="72"/>
    </row>
    <row r="109">
      <c r="A109" s="69"/>
      <c r="B109" s="8"/>
      <c r="E109" s="70"/>
      <c r="F109" s="70" t="str">
        <f t="array" ref="F109">IF(E109="","",IFERROR(_xlfn.XLOOKUP(E109,SyncCodex!N:N,SyncCodex!O:O),""))</f>
        <v/>
      </c>
      <c r="G109" s="71"/>
      <c r="H109" s="71" t="str">
        <f t="shared" si="1"/>
        <v/>
      </c>
      <c r="I109" s="8" t="b">
        <v>0</v>
      </c>
      <c r="J109" s="72"/>
      <c r="K109" s="72"/>
    </row>
    <row r="110">
      <c r="A110" s="69"/>
      <c r="B110" s="8"/>
      <c r="E110" s="70"/>
      <c r="F110" s="70" t="str">
        <f t="array" ref="F110">IF(E110="","",IFERROR(_xlfn.XLOOKUP(E110,SyncCodex!N:N,SyncCodex!O:O),""))</f>
        <v/>
      </c>
      <c r="G110" s="71"/>
      <c r="H110" s="71" t="str">
        <f t="shared" si="1"/>
        <v/>
      </c>
      <c r="I110" s="8" t="b">
        <v>0</v>
      </c>
      <c r="J110" s="72"/>
      <c r="K110" s="72"/>
    </row>
    <row r="111">
      <c r="A111" s="69"/>
      <c r="B111" s="8"/>
      <c r="E111" s="70"/>
      <c r="F111" s="70" t="str">
        <f t="array" ref="F111">IF(E111="","",IFERROR(_xlfn.XLOOKUP(E111,SyncCodex!N:N,SyncCodex!O:O),""))</f>
        <v/>
      </c>
      <c r="G111" s="71"/>
      <c r="H111" s="71" t="str">
        <f t="shared" si="1"/>
        <v/>
      </c>
      <c r="I111" s="8" t="b">
        <v>0</v>
      </c>
      <c r="J111" s="72"/>
      <c r="K111" s="72"/>
    </row>
    <row r="112">
      <c r="A112" s="69"/>
      <c r="B112" s="8"/>
      <c r="E112" s="70"/>
      <c r="F112" s="70" t="str">
        <f t="array" ref="F112">IF(E112="","",IFERROR(_xlfn.XLOOKUP(E112,SyncCodex!N:N,SyncCodex!O:O),""))</f>
        <v/>
      </c>
      <c r="G112" s="71"/>
      <c r="H112" s="71" t="str">
        <f t="shared" si="1"/>
        <v/>
      </c>
      <c r="I112" s="8" t="b">
        <v>0</v>
      </c>
      <c r="J112" s="72"/>
      <c r="K112" s="72"/>
    </row>
    <row r="113">
      <c r="A113" s="69"/>
      <c r="B113" s="8"/>
      <c r="E113" s="70"/>
      <c r="F113" s="70" t="str">
        <f t="array" ref="F113">IF(E113="","",IFERROR(_xlfn.XLOOKUP(E113,SyncCodex!N:N,SyncCodex!O:O),""))</f>
        <v/>
      </c>
      <c r="G113" s="71"/>
      <c r="H113" s="71" t="str">
        <f t="shared" si="1"/>
        <v/>
      </c>
      <c r="I113" s="8" t="b">
        <v>0</v>
      </c>
      <c r="J113" s="72"/>
      <c r="K113" s="72"/>
    </row>
    <row r="114">
      <c r="A114" s="69"/>
      <c r="B114" s="8"/>
      <c r="E114" s="70"/>
      <c r="F114" s="70" t="str">
        <f t="array" ref="F114">IF(E114="","",IFERROR(_xlfn.XLOOKUP(E114,SyncCodex!N:N,SyncCodex!O:O),""))</f>
        <v/>
      </c>
      <c r="G114" s="71"/>
      <c r="H114" s="71" t="str">
        <f t="shared" si="1"/>
        <v/>
      </c>
      <c r="I114" s="8" t="b">
        <v>0</v>
      </c>
      <c r="J114" s="72"/>
      <c r="K114" s="72"/>
    </row>
    <row r="115">
      <c r="A115" s="69"/>
      <c r="B115" s="8"/>
      <c r="E115" s="70"/>
      <c r="F115" s="70" t="str">
        <f t="array" ref="F115">IF(E115="","",IFERROR(_xlfn.XLOOKUP(E115,SyncCodex!N:N,SyncCodex!O:O),""))</f>
        <v/>
      </c>
      <c r="G115" s="71"/>
      <c r="H115" s="71" t="str">
        <f t="shared" si="1"/>
        <v/>
      </c>
      <c r="I115" s="8" t="b">
        <v>0</v>
      </c>
      <c r="J115" s="72"/>
      <c r="K115" s="72"/>
    </row>
    <row r="116">
      <c r="A116" s="69"/>
      <c r="B116" s="8"/>
      <c r="E116" s="70"/>
      <c r="F116" s="70" t="str">
        <f t="array" ref="F116">IF(E116="","",IFERROR(_xlfn.XLOOKUP(E116,SyncCodex!N:N,SyncCodex!O:O),""))</f>
        <v/>
      </c>
      <c r="G116" s="71"/>
      <c r="H116" s="71" t="str">
        <f t="shared" si="1"/>
        <v/>
      </c>
      <c r="I116" s="8" t="b">
        <v>0</v>
      </c>
      <c r="J116" s="72"/>
      <c r="K116" s="72"/>
    </row>
    <row r="117">
      <c r="A117" s="69"/>
      <c r="B117" s="8"/>
      <c r="E117" s="70"/>
      <c r="F117" s="70" t="str">
        <f t="array" ref="F117">IF(E117="","",IFERROR(_xlfn.XLOOKUP(E117,SyncCodex!N:N,SyncCodex!O:O),""))</f>
        <v/>
      </c>
      <c r="G117" s="71"/>
      <c r="H117" s="71" t="str">
        <f t="shared" si="1"/>
        <v/>
      </c>
      <c r="I117" s="8" t="b">
        <v>0</v>
      </c>
      <c r="J117" s="72"/>
      <c r="K117" s="72"/>
    </row>
    <row r="118">
      <c r="A118" s="69"/>
      <c r="B118" s="8"/>
      <c r="E118" s="70"/>
      <c r="F118" s="70" t="str">
        <f t="array" ref="F118">IF(E118="","",IFERROR(_xlfn.XLOOKUP(E118,SyncCodex!N:N,SyncCodex!O:O),""))</f>
        <v/>
      </c>
      <c r="G118" s="71"/>
      <c r="H118" s="71" t="str">
        <f t="shared" si="1"/>
        <v/>
      </c>
      <c r="I118" s="8" t="b">
        <v>0</v>
      </c>
      <c r="J118" s="72"/>
      <c r="K118" s="72"/>
    </row>
    <row r="119">
      <c r="A119" s="69"/>
      <c r="B119" s="8"/>
      <c r="E119" s="70"/>
      <c r="F119" s="70" t="str">
        <f t="array" ref="F119">IF(E119="","",IFERROR(_xlfn.XLOOKUP(E119,SyncCodex!N:N,SyncCodex!O:O),""))</f>
        <v/>
      </c>
      <c r="G119" s="71"/>
      <c r="H119" s="71" t="str">
        <f t="shared" si="1"/>
        <v/>
      </c>
      <c r="I119" s="8" t="b">
        <v>0</v>
      </c>
      <c r="J119" s="72"/>
      <c r="K119" s="72"/>
    </row>
    <row r="120">
      <c r="A120" s="69"/>
      <c r="B120" s="8"/>
      <c r="E120" s="70"/>
      <c r="F120" s="70" t="str">
        <f t="array" ref="F120">IF(E120="","",IFERROR(_xlfn.XLOOKUP(E120,SyncCodex!N:N,SyncCodex!O:O),""))</f>
        <v/>
      </c>
      <c r="G120" s="71"/>
      <c r="H120" s="71" t="str">
        <f t="shared" si="1"/>
        <v/>
      </c>
      <c r="I120" s="8" t="b">
        <v>0</v>
      </c>
      <c r="J120" s="72"/>
      <c r="K120" s="72"/>
    </row>
    <row r="121">
      <c r="A121" s="69"/>
      <c r="B121" s="8"/>
      <c r="E121" s="70"/>
      <c r="F121" s="70" t="str">
        <f t="array" ref="F121">IF(E121="","",IFERROR(_xlfn.XLOOKUP(E121,SyncCodex!N:N,SyncCodex!O:O),""))</f>
        <v/>
      </c>
      <c r="G121" s="71"/>
      <c r="H121" s="71" t="str">
        <f t="shared" si="1"/>
        <v/>
      </c>
      <c r="I121" s="8" t="b">
        <v>0</v>
      </c>
      <c r="J121" s="72"/>
      <c r="K121" s="72"/>
    </row>
    <row r="122">
      <c r="A122" s="69"/>
      <c r="B122" s="8"/>
      <c r="E122" s="70"/>
      <c r="F122" s="70" t="str">
        <f t="array" ref="F122">IF(E122="","",IFERROR(_xlfn.XLOOKUP(E122,SyncCodex!N:N,SyncCodex!O:O),""))</f>
        <v/>
      </c>
      <c r="G122" s="71"/>
      <c r="H122" s="71" t="str">
        <f t="shared" si="1"/>
        <v/>
      </c>
      <c r="I122" s="8" t="b">
        <v>0</v>
      </c>
      <c r="J122" s="72"/>
      <c r="K122" s="72"/>
    </row>
    <row r="123">
      <c r="A123" s="69"/>
      <c r="B123" s="8"/>
      <c r="E123" s="70"/>
      <c r="F123" s="70" t="str">
        <f t="array" ref="F123">IF(E123="","",IFERROR(_xlfn.XLOOKUP(E123,SyncCodex!N:N,SyncCodex!O:O),""))</f>
        <v/>
      </c>
      <c r="G123" s="71"/>
      <c r="H123" s="71" t="str">
        <f t="shared" si="1"/>
        <v/>
      </c>
      <c r="I123" s="8" t="b">
        <v>0</v>
      </c>
      <c r="J123" s="72"/>
      <c r="K123" s="72"/>
    </row>
    <row r="124">
      <c r="A124" s="69"/>
      <c r="B124" s="8"/>
      <c r="E124" s="70"/>
      <c r="F124" s="70" t="str">
        <f t="array" ref="F124">IF(E124="","",IFERROR(_xlfn.XLOOKUP(E124,SyncCodex!N:N,SyncCodex!O:O),""))</f>
        <v/>
      </c>
      <c r="G124" s="71"/>
      <c r="H124" s="71" t="str">
        <f t="shared" si="1"/>
        <v/>
      </c>
      <c r="I124" s="8" t="b">
        <v>0</v>
      </c>
      <c r="J124" s="72"/>
      <c r="K124" s="72"/>
    </row>
    <row r="125">
      <c r="A125" s="69"/>
      <c r="B125" s="8"/>
      <c r="E125" s="70"/>
      <c r="F125" s="70" t="str">
        <f t="array" ref="F125">IF(E125="","",IFERROR(_xlfn.XLOOKUP(E125,SyncCodex!N:N,SyncCodex!O:O),""))</f>
        <v/>
      </c>
      <c r="G125" s="71"/>
      <c r="H125" s="71" t="str">
        <f t="shared" si="1"/>
        <v/>
      </c>
      <c r="I125" s="8" t="b">
        <v>0</v>
      </c>
      <c r="J125" s="72"/>
      <c r="K125" s="72"/>
    </row>
    <row r="126">
      <c r="A126" s="69"/>
      <c r="B126" s="8"/>
      <c r="E126" s="70"/>
      <c r="F126" s="70" t="str">
        <f t="array" ref="F126">IF(E126="","",IFERROR(_xlfn.XLOOKUP(E126,SyncCodex!N:N,SyncCodex!O:O),""))</f>
        <v/>
      </c>
      <c r="G126" s="71"/>
      <c r="H126" s="71" t="str">
        <f t="shared" si="1"/>
        <v/>
      </c>
      <c r="I126" s="8" t="b">
        <v>0</v>
      </c>
      <c r="J126" s="72"/>
      <c r="K126" s="72"/>
    </row>
    <row r="127">
      <c r="A127" s="69"/>
      <c r="B127" s="8"/>
      <c r="E127" s="70"/>
      <c r="F127" s="70" t="str">
        <f t="array" ref="F127">IF(E127="","",IFERROR(_xlfn.XLOOKUP(E127,SyncCodex!N:N,SyncCodex!O:O),""))</f>
        <v/>
      </c>
      <c r="G127" s="71"/>
      <c r="H127" s="71" t="str">
        <f t="shared" si="1"/>
        <v/>
      </c>
      <c r="I127" s="8" t="b">
        <v>0</v>
      </c>
      <c r="J127" s="72"/>
      <c r="K127" s="72"/>
    </row>
    <row r="128">
      <c r="A128" s="69"/>
      <c r="B128" s="8"/>
      <c r="E128" s="70"/>
      <c r="F128" s="70" t="str">
        <f t="array" ref="F128">IF(E128="","",IFERROR(_xlfn.XLOOKUP(E128,SyncCodex!N:N,SyncCodex!O:O),""))</f>
        <v/>
      </c>
      <c r="G128" s="71"/>
      <c r="H128" s="71" t="str">
        <f t="shared" si="1"/>
        <v/>
      </c>
      <c r="I128" s="8" t="b">
        <v>0</v>
      </c>
      <c r="J128" s="72"/>
      <c r="K128" s="72"/>
    </row>
    <row r="129">
      <c r="A129" s="69"/>
      <c r="B129" s="8"/>
      <c r="E129" s="70"/>
      <c r="F129" s="70" t="str">
        <f t="array" ref="F129">IF(E129="","",IFERROR(_xlfn.XLOOKUP(E129,SyncCodex!N:N,SyncCodex!O:O),""))</f>
        <v/>
      </c>
      <c r="G129" s="71"/>
      <c r="H129" s="71" t="str">
        <f t="shared" si="1"/>
        <v/>
      </c>
      <c r="I129" s="8" t="b">
        <v>0</v>
      </c>
      <c r="J129" s="72"/>
      <c r="K129" s="72"/>
    </row>
    <row r="130">
      <c r="A130" s="69"/>
      <c r="B130" s="8"/>
      <c r="E130" s="70"/>
      <c r="F130" s="70" t="str">
        <f t="array" ref="F130">IF(E130="","",IFERROR(_xlfn.XLOOKUP(E130,SyncCodex!N:N,SyncCodex!O:O),""))</f>
        <v/>
      </c>
      <c r="G130" s="71"/>
      <c r="H130" s="71" t="str">
        <f t="shared" si="1"/>
        <v/>
      </c>
      <c r="I130" s="8" t="b">
        <v>0</v>
      </c>
      <c r="J130" s="72"/>
      <c r="K130" s="72"/>
    </row>
    <row r="131">
      <c r="A131" s="69"/>
      <c r="B131" s="8"/>
      <c r="E131" s="70"/>
      <c r="F131" s="70" t="str">
        <f t="array" ref="F131">IF(E131="","",IFERROR(_xlfn.XLOOKUP(E131,SyncCodex!N:N,SyncCodex!O:O),""))</f>
        <v/>
      </c>
      <c r="G131" s="71"/>
      <c r="H131" s="71" t="str">
        <f t="shared" si="1"/>
        <v/>
      </c>
      <c r="I131" s="8" t="b">
        <v>0</v>
      </c>
      <c r="J131" s="72"/>
      <c r="K131" s="72"/>
    </row>
    <row r="132">
      <c r="A132" s="69"/>
      <c r="B132" s="8"/>
      <c r="E132" s="70"/>
      <c r="F132" s="70" t="str">
        <f t="array" ref="F132">IF(E132="","",IFERROR(_xlfn.XLOOKUP(E132,SyncCodex!N:N,SyncCodex!O:O),""))</f>
        <v/>
      </c>
      <c r="G132" s="71"/>
      <c r="H132" s="71" t="str">
        <f t="shared" si="1"/>
        <v/>
      </c>
      <c r="I132" s="8" t="b">
        <v>0</v>
      </c>
      <c r="J132" s="72"/>
      <c r="K132" s="72"/>
    </row>
    <row r="133">
      <c r="A133" s="69"/>
      <c r="B133" s="8"/>
      <c r="E133" s="70"/>
      <c r="F133" s="70" t="str">
        <f t="array" ref="F133">IF(E133="","",IFERROR(_xlfn.XLOOKUP(E133,SyncCodex!N:N,SyncCodex!O:O),""))</f>
        <v/>
      </c>
      <c r="G133" s="71"/>
      <c r="H133" s="71" t="str">
        <f t="shared" si="1"/>
        <v/>
      </c>
      <c r="I133" s="8" t="b">
        <v>0</v>
      </c>
      <c r="J133" s="72"/>
      <c r="K133" s="72"/>
    </row>
    <row r="134">
      <c r="A134" s="69"/>
      <c r="B134" s="8"/>
      <c r="E134" s="70"/>
      <c r="F134" s="70" t="str">
        <f t="array" ref="F134">IF(E134="","",IFERROR(_xlfn.XLOOKUP(E134,SyncCodex!N:N,SyncCodex!O:O),""))</f>
        <v/>
      </c>
      <c r="G134" s="71"/>
      <c r="H134" s="71" t="str">
        <f t="shared" si="1"/>
        <v/>
      </c>
      <c r="I134" s="8" t="b">
        <v>0</v>
      </c>
      <c r="J134" s="72"/>
      <c r="K134" s="72"/>
    </row>
    <row r="135">
      <c r="A135" s="69"/>
      <c r="B135" s="8"/>
      <c r="E135" s="70"/>
      <c r="F135" s="70" t="str">
        <f t="array" ref="F135">IF(E135="","",IFERROR(_xlfn.XLOOKUP(E135,SyncCodex!N:N,SyncCodex!O:O),""))</f>
        <v/>
      </c>
      <c r="G135" s="71"/>
      <c r="H135" s="71" t="str">
        <f t="shared" si="1"/>
        <v/>
      </c>
      <c r="I135" s="8" t="b">
        <v>0</v>
      </c>
      <c r="J135" s="72"/>
      <c r="K135" s="72"/>
    </row>
    <row r="136">
      <c r="A136" s="69"/>
      <c r="B136" s="8"/>
      <c r="E136" s="70"/>
      <c r="F136" s="70" t="str">
        <f t="array" ref="F136">IF(E136="","",IFERROR(_xlfn.XLOOKUP(E136,SyncCodex!N:N,SyncCodex!O:O),""))</f>
        <v/>
      </c>
      <c r="G136" s="71"/>
      <c r="H136" s="71" t="str">
        <f t="shared" si="1"/>
        <v/>
      </c>
      <c r="I136" s="8" t="b">
        <v>0</v>
      </c>
      <c r="J136" s="72"/>
      <c r="K136" s="72"/>
    </row>
    <row r="137">
      <c r="A137" s="69"/>
      <c r="B137" s="8"/>
      <c r="E137" s="70"/>
      <c r="F137" s="70" t="str">
        <f t="array" ref="F137">IF(E137="","",IFERROR(_xlfn.XLOOKUP(E137,SyncCodex!N:N,SyncCodex!O:O),""))</f>
        <v/>
      </c>
      <c r="G137" s="71"/>
      <c r="H137" s="71" t="str">
        <f t="shared" si="1"/>
        <v/>
      </c>
      <c r="I137" s="8" t="b">
        <v>0</v>
      </c>
      <c r="J137" s="72"/>
      <c r="K137" s="72"/>
    </row>
    <row r="138">
      <c r="A138" s="69"/>
      <c r="B138" s="8"/>
      <c r="E138" s="70"/>
      <c r="F138" s="70" t="str">
        <f t="array" ref="F138">IF(E138="","",IFERROR(_xlfn.XLOOKUP(E138,SyncCodex!N:N,SyncCodex!O:O),""))</f>
        <v/>
      </c>
      <c r="G138" s="71"/>
      <c r="H138" s="71" t="str">
        <f t="shared" si="1"/>
        <v/>
      </c>
      <c r="I138" s="8" t="b">
        <v>0</v>
      </c>
      <c r="J138" s="72"/>
      <c r="K138" s="72"/>
    </row>
    <row r="139">
      <c r="A139" s="69"/>
      <c r="B139" s="8"/>
      <c r="E139" s="70"/>
      <c r="F139" s="70" t="str">
        <f t="array" ref="F139">IF(E139="","",IFERROR(_xlfn.XLOOKUP(E139,SyncCodex!N:N,SyncCodex!O:O),""))</f>
        <v/>
      </c>
      <c r="G139" s="71"/>
      <c r="H139" s="71" t="str">
        <f t="shared" si="1"/>
        <v/>
      </c>
      <c r="I139" s="8" t="b">
        <v>0</v>
      </c>
      <c r="J139" s="72"/>
      <c r="K139" s="72"/>
    </row>
    <row r="140">
      <c r="A140" s="69"/>
      <c r="B140" s="8"/>
      <c r="E140" s="70"/>
      <c r="F140" s="70" t="str">
        <f t="array" ref="F140">IF(E140="","",IFERROR(_xlfn.XLOOKUP(E140,SyncCodex!N:N,SyncCodex!O:O),""))</f>
        <v/>
      </c>
      <c r="G140" s="71"/>
      <c r="H140" s="71" t="str">
        <f t="shared" si="1"/>
        <v/>
      </c>
      <c r="I140" s="8" t="b">
        <v>0</v>
      </c>
      <c r="J140" s="72"/>
      <c r="K140" s="72"/>
    </row>
    <row r="141">
      <c r="A141" s="69"/>
      <c r="B141" s="8"/>
      <c r="E141" s="70"/>
      <c r="F141" s="70" t="str">
        <f t="array" ref="F141">IF(E141="","",IFERROR(_xlfn.XLOOKUP(E141,SyncCodex!N:N,SyncCodex!O:O),""))</f>
        <v/>
      </c>
      <c r="G141" s="71"/>
      <c r="H141" s="71" t="str">
        <f t="shared" si="1"/>
        <v/>
      </c>
      <c r="I141" s="8" t="b">
        <v>0</v>
      </c>
      <c r="J141" s="72"/>
      <c r="K141" s="72"/>
    </row>
    <row r="142">
      <c r="A142" s="69"/>
      <c r="B142" s="8"/>
      <c r="E142" s="70"/>
      <c r="F142" s="70" t="str">
        <f t="array" ref="F142">IF(E142="","",IFERROR(_xlfn.XLOOKUP(E142,SyncCodex!N:N,SyncCodex!O:O),""))</f>
        <v/>
      </c>
      <c r="G142" s="71"/>
      <c r="H142" s="71" t="str">
        <f t="shared" si="1"/>
        <v/>
      </c>
      <c r="I142" s="8" t="b">
        <v>0</v>
      </c>
      <c r="J142" s="72"/>
      <c r="K142" s="72"/>
    </row>
    <row r="143">
      <c r="A143" s="69"/>
      <c r="B143" s="8"/>
      <c r="E143" s="70"/>
      <c r="F143" s="70" t="str">
        <f t="array" ref="F143">IF(E143="","",IFERROR(_xlfn.XLOOKUP(E143,SyncCodex!N:N,SyncCodex!O:O),""))</f>
        <v/>
      </c>
      <c r="G143" s="71"/>
      <c r="H143" s="71" t="str">
        <f t="shared" si="1"/>
        <v/>
      </c>
      <c r="I143" s="8" t="b">
        <v>0</v>
      </c>
      <c r="J143" s="72"/>
      <c r="K143" s="72"/>
    </row>
    <row r="144">
      <c r="A144" s="69"/>
      <c r="B144" s="8"/>
      <c r="E144" s="70"/>
      <c r="F144" s="70" t="str">
        <f t="array" ref="F144">IF(E144="","",IFERROR(_xlfn.XLOOKUP(E144,SyncCodex!N:N,SyncCodex!O:O),""))</f>
        <v/>
      </c>
      <c r="G144" s="71"/>
      <c r="H144" s="71" t="str">
        <f t="shared" si="1"/>
        <v/>
      </c>
      <c r="I144" s="8" t="b">
        <v>0</v>
      </c>
      <c r="J144" s="72"/>
      <c r="K144" s="72"/>
    </row>
    <row r="145">
      <c r="A145" s="69"/>
      <c r="B145" s="8"/>
      <c r="E145" s="70"/>
      <c r="F145" s="70" t="str">
        <f t="array" ref="F145">IF(E145="","",IFERROR(_xlfn.XLOOKUP(E145,SyncCodex!N:N,SyncCodex!O:O),""))</f>
        <v/>
      </c>
      <c r="G145" s="71"/>
      <c r="H145" s="71" t="str">
        <f t="shared" si="1"/>
        <v/>
      </c>
      <c r="I145" s="8" t="b">
        <v>0</v>
      </c>
      <c r="J145" s="72"/>
      <c r="K145" s="72"/>
    </row>
    <row r="146">
      <c r="A146" s="69"/>
      <c r="B146" s="8"/>
      <c r="E146" s="70"/>
      <c r="F146" s="70" t="str">
        <f t="array" ref="F146">IF(E146="","",IFERROR(_xlfn.XLOOKUP(E146,SyncCodex!N:N,SyncCodex!O:O),""))</f>
        <v/>
      </c>
      <c r="G146" s="71"/>
      <c r="H146" s="71" t="str">
        <f t="shared" si="1"/>
        <v/>
      </c>
      <c r="I146" s="8" t="b">
        <v>0</v>
      </c>
      <c r="J146" s="72"/>
      <c r="K146" s="72"/>
    </row>
    <row r="147">
      <c r="A147" s="69"/>
      <c r="B147" s="8"/>
      <c r="E147" s="70"/>
      <c r="F147" s="70" t="str">
        <f t="array" ref="F147">IF(E147="","",IFERROR(_xlfn.XLOOKUP(E147,SyncCodex!N:N,SyncCodex!O:O),""))</f>
        <v/>
      </c>
      <c r="G147" s="71"/>
      <c r="H147" s="71" t="str">
        <f t="shared" si="1"/>
        <v/>
      </c>
      <c r="I147" s="8" t="b">
        <v>0</v>
      </c>
      <c r="J147" s="72"/>
      <c r="K147" s="72"/>
    </row>
    <row r="148">
      <c r="A148" s="69"/>
      <c r="B148" s="8"/>
      <c r="E148" s="70"/>
      <c r="F148" s="70" t="str">
        <f t="array" ref="F148">IF(E148="","",IFERROR(_xlfn.XLOOKUP(E148,SyncCodex!N:N,SyncCodex!O:O),""))</f>
        <v/>
      </c>
      <c r="G148" s="71"/>
      <c r="H148" s="71" t="str">
        <f t="shared" si="1"/>
        <v/>
      </c>
      <c r="I148" s="8" t="b">
        <v>0</v>
      </c>
      <c r="J148" s="72"/>
      <c r="K148" s="72"/>
    </row>
    <row r="149">
      <c r="A149" s="69"/>
      <c r="B149" s="8"/>
      <c r="E149" s="70"/>
      <c r="F149" s="70" t="str">
        <f t="array" ref="F149">IF(E149="","",IFERROR(_xlfn.XLOOKUP(E149,SyncCodex!N:N,SyncCodex!O:O),""))</f>
        <v/>
      </c>
      <c r="G149" s="71"/>
      <c r="H149" s="71" t="str">
        <f t="shared" si="1"/>
        <v/>
      </c>
      <c r="I149" s="8" t="b">
        <v>0</v>
      </c>
      <c r="J149" s="72"/>
      <c r="K149" s="72"/>
    </row>
    <row r="150">
      <c r="A150" s="69"/>
      <c r="B150" s="8"/>
      <c r="E150" s="70"/>
      <c r="F150" s="70" t="str">
        <f t="array" ref="F150">IF(E150="","",IFERROR(_xlfn.XLOOKUP(E150,SyncCodex!N:N,SyncCodex!O:O),""))</f>
        <v/>
      </c>
      <c r="G150" s="71"/>
      <c r="H150" s="71" t="str">
        <f t="shared" si="1"/>
        <v/>
      </c>
      <c r="I150" s="8" t="b">
        <v>0</v>
      </c>
      <c r="J150" s="72"/>
      <c r="K150" s="72"/>
    </row>
    <row r="151">
      <c r="A151" s="69"/>
      <c r="B151" s="8"/>
      <c r="E151" s="70"/>
      <c r="F151" s="70" t="str">
        <f t="array" ref="F151">IF(E151="","",IFERROR(_xlfn.XLOOKUP(E151,SyncCodex!N:N,SyncCodex!O:O),""))</f>
        <v/>
      </c>
      <c r="G151" s="71"/>
      <c r="H151" s="71" t="str">
        <f t="shared" si="1"/>
        <v/>
      </c>
      <c r="I151" s="8" t="b">
        <v>0</v>
      </c>
      <c r="J151" s="72"/>
      <c r="K151" s="72"/>
    </row>
    <row r="152">
      <c r="A152" s="69"/>
      <c r="B152" s="8"/>
      <c r="E152" s="70"/>
      <c r="F152" s="70" t="str">
        <f t="array" ref="F152">IF(E152="","",IFERROR(_xlfn.XLOOKUP(E152,SyncCodex!N:N,SyncCodex!O:O),""))</f>
        <v/>
      </c>
      <c r="G152" s="71"/>
      <c r="H152" s="71" t="str">
        <f t="shared" si="1"/>
        <v/>
      </c>
      <c r="I152" s="8" t="b">
        <v>0</v>
      </c>
      <c r="J152" s="72"/>
      <c r="K152" s="72"/>
    </row>
    <row r="153">
      <c r="A153" s="69"/>
      <c r="B153" s="8"/>
      <c r="E153" s="70"/>
      <c r="F153" s="70" t="str">
        <f t="array" ref="F153">IF(E153="","",IFERROR(_xlfn.XLOOKUP(E153,SyncCodex!N:N,SyncCodex!O:O),""))</f>
        <v/>
      </c>
      <c r="G153" s="71"/>
      <c r="H153" s="71" t="str">
        <f t="shared" si="1"/>
        <v/>
      </c>
      <c r="I153" s="8" t="b">
        <v>0</v>
      </c>
      <c r="J153" s="72"/>
      <c r="K153" s="72"/>
    </row>
    <row r="154">
      <c r="A154" s="69"/>
      <c r="B154" s="8"/>
      <c r="E154" s="70"/>
      <c r="F154" s="70" t="str">
        <f t="array" ref="F154">IF(E154="","",IFERROR(_xlfn.XLOOKUP(E154,SyncCodex!N:N,SyncCodex!O:O),""))</f>
        <v/>
      </c>
      <c r="G154" s="71"/>
      <c r="H154" s="71" t="str">
        <f t="shared" si="1"/>
        <v/>
      </c>
      <c r="I154" s="8" t="b">
        <v>0</v>
      </c>
      <c r="J154" s="72"/>
      <c r="K154" s="72"/>
    </row>
    <row r="155">
      <c r="A155" s="69"/>
      <c r="B155" s="8"/>
      <c r="E155" s="70"/>
      <c r="F155" s="70" t="str">
        <f t="array" ref="F155">IF(E155="","",IFERROR(_xlfn.XLOOKUP(E155,SyncCodex!N:N,SyncCodex!O:O),""))</f>
        <v/>
      </c>
      <c r="G155" s="71"/>
      <c r="H155" s="71" t="str">
        <f t="shared" si="1"/>
        <v/>
      </c>
      <c r="I155" s="8" t="b">
        <v>0</v>
      </c>
      <c r="J155" s="72"/>
      <c r="K155" s="72"/>
    </row>
    <row r="156">
      <c r="A156" s="69"/>
      <c r="B156" s="8"/>
      <c r="E156" s="70"/>
      <c r="F156" s="70" t="str">
        <f t="array" ref="F156">IF(E156="","",IFERROR(_xlfn.XLOOKUP(E156,SyncCodex!N:N,SyncCodex!O:O),""))</f>
        <v/>
      </c>
      <c r="G156" s="71"/>
      <c r="H156" s="71" t="str">
        <f t="shared" si="1"/>
        <v/>
      </c>
      <c r="I156" s="8" t="b">
        <v>0</v>
      </c>
      <c r="J156" s="72"/>
      <c r="K156" s="72"/>
    </row>
    <row r="157">
      <c r="A157" s="69"/>
      <c r="B157" s="8"/>
      <c r="E157" s="70"/>
      <c r="F157" s="70" t="str">
        <f t="array" ref="F157">IF(E157="","",IFERROR(_xlfn.XLOOKUP(E157,SyncCodex!N:N,SyncCodex!O:O),""))</f>
        <v/>
      </c>
      <c r="G157" s="71"/>
      <c r="H157" s="71" t="str">
        <f t="shared" si="1"/>
        <v/>
      </c>
      <c r="I157" s="8" t="b">
        <v>0</v>
      </c>
      <c r="J157" s="72"/>
      <c r="K157" s="72"/>
    </row>
    <row r="158">
      <c r="A158" s="69"/>
      <c r="B158" s="8"/>
      <c r="E158" s="70"/>
      <c r="F158" s="70" t="str">
        <f t="array" ref="F158">IF(E158="","",IFERROR(_xlfn.XLOOKUP(E158,SyncCodex!N:N,SyncCodex!O:O),""))</f>
        <v/>
      </c>
      <c r="G158" s="71"/>
      <c r="H158" s="71" t="str">
        <f t="shared" si="1"/>
        <v/>
      </c>
      <c r="I158" s="8" t="b">
        <v>0</v>
      </c>
      <c r="J158" s="72"/>
      <c r="K158" s="72"/>
    </row>
    <row r="159">
      <c r="A159" s="69"/>
      <c r="B159" s="8"/>
      <c r="E159" s="70"/>
      <c r="F159" s="70" t="str">
        <f t="array" ref="F159">IF(E159="","",IFERROR(_xlfn.XLOOKUP(E159,SyncCodex!N:N,SyncCodex!O:O),""))</f>
        <v/>
      </c>
      <c r="G159" s="71"/>
      <c r="H159" s="71" t="str">
        <f t="shared" si="1"/>
        <v/>
      </c>
      <c r="I159" s="8" t="b">
        <v>0</v>
      </c>
      <c r="J159" s="72"/>
      <c r="K159" s="72"/>
    </row>
    <row r="160">
      <c r="A160" s="69"/>
      <c r="B160" s="8"/>
      <c r="E160" s="70"/>
      <c r="F160" s="70" t="str">
        <f t="array" ref="F160">IF(E160="","",IFERROR(_xlfn.XLOOKUP(E160,SyncCodex!N:N,SyncCodex!O:O),""))</f>
        <v/>
      </c>
      <c r="G160" s="71"/>
      <c r="H160" s="71" t="str">
        <f t="shared" si="1"/>
        <v/>
      </c>
      <c r="I160" s="8" t="b">
        <v>0</v>
      </c>
      <c r="J160" s="72"/>
      <c r="K160" s="72"/>
    </row>
    <row r="161">
      <c r="A161" s="69"/>
      <c r="B161" s="8"/>
      <c r="E161" s="70"/>
      <c r="F161" s="70" t="str">
        <f t="array" ref="F161">IF(E161="","",IFERROR(_xlfn.XLOOKUP(E161,SyncCodex!N:N,SyncCodex!O:O),""))</f>
        <v/>
      </c>
      <c r="G161" s="71"/>
      <c r="H161" s="71" t="str">
        <f t="shared" si="1"/>
        <v/>
      </c>
      <c r="I161" s="8" t="b">
        <v>0</v>
      </c>
      <c r="J161" s="72"/>
      <c r="K161" s="72"/>
    </row>
    <row r="162">
      <c r="A162" s="69"/>
      <c r="B162" s="8"/>
      <c r="E162" s="70"/>
      <c r="F162" s="70" t="str">
        <f t="array" ref="F162">IF(E162="","",IFERROR(_xlfn.XLOOKUP(E162,SyncCodex!N:N,SyncCodex!O:O),""))</f>
        <v/>
      </c>
      <c r="G162" s="71"/>
      <c r="H162" s="71" t="str">
        <f t="shared" si="1"/>
        <v/>
      </c>
      <c r="I162" s="8" t="b">
        <v>0</v>
      </c>
      <c r="J162" s="72"/>
      <c r="K162" s="72"/>
    </row>
    <row r="163">
      <c r="A163" s="69"/>
      <c r="B163" s="8"/>
      <c r="E163" s="70"/>
      <c r="F163" s="70" t="str">
        <f t="array" ref="F163">IF(E163="","",IFERROR(_xlfn.XLOOKUP(E163,SyncCodex!N:N,SyncCodex!O:O),""))</f>
        <v/>
      </c>
      <c r="G163" s="71"/>
      <c r="H163" s="71" t="str">
        <f t="shared" si="1"/>
        <v/>
      </c>
      <c r="I163" s="8" t="b">
        <v>0</v>
      </c>
      <c r="J163" s="72"/>
      <c r="K163" s="72"/>
    </row>
    <row r="164">
      <c r="A164" s="69"/>
      <c r="B164" s="8"/>
      <c r="E164" s="70"/>
      <c r="F164" s="70" t="str">
        <f t="array" ref="F164">IF(E164="","",IFERROR(_xlfn.XLOOKUP(E164,SyncCodex!N:N,SyncCodex!O:O),""))</f>
        <v/>
      </c>
      <c r="G164" s="71"/>
      <c r="H164" s="71" t="str">
        <f t="shared" si="1"/>
        <v/>
      </c>
      <c r="I164" s="8" t="b">
        <v>0</v>
      </c>
      <c r="J164" s="72"/>
      <c r="K164" s="72"/>
    </row>
    <row r="165">
      <c r="A165" s="69"/>
      <c r="B165" s="8"/>
      <c r="E165" s="70"/>
      <c r="F165" s="70" t="str">
        <f t="array" ref="F165">IF(E165="","",IFERROR(_xlfn.XLOOKUP(E165,SyncCodex!N:N,SyncCodex!O:O),""))</f>
        <v/>
      </c>
      <c r="G165" s="71"/>
      <c r="H165" s="71" t="str">
        <f t="shared" si="1"/>
        <v/>
      </c>
      <c r="I165" s="8" t="b">
        <v>0</v>
      </c>
      <c r="J165" s="72"/>
      <c r="K165" s="72"/>
    </row>
    <row r="166">
      <c r="A166" s="69"/>
      <c r="B166" s="8"/>
      <c r="E166" s="70"/>
      <c r="F166" s="70" t="str">
        <f t="array" ref="F166">IF(E166="","",IFERROR(_xlfn.XLOOKUP(E166,SyncCodex!N:N,SyncCodex!O:O),""))</f>
        <v/>
      </c>
      <c r="G166" s="71"/>
      <c r="H166" s="71" t="str">
        <f t="shared" si="1"/>
        <v/>
      </c>
      <c r="I166" s="8" t="b">
        <v>0</v>
      </c>
      <c r="J166" s="72"/>
      <c r="K166" s="72"/>
    </row>
    <row r="167">
      <c r="A167" s="69"/>
      <c r="B167" s="8"/>
      <c r="E167" s="70"/>
      <c r="F167" s="70" t="str">
        <f t="array" ref="F167">IF(E167="","",IFERROR(_xlfn.XLOOKUP(E167,SyncCodex!N:N,SyncCodex!O:O),""))</f>
        <v/>
      </c>
      <c r="G167" s="71"/>
      <c r="H167" s="71" t="str">
        <f t="shared" si="1"/>
        <v/>
      </c>
      <c r="I167" s="8" t="b">
        <v>0</v>
      </c>
      <c r="J167" s="72"/>
      <c r="K167" s="72"/>
    </row>
    <row r="168">
      <c r="A168" s="69"/>
      <c r="B168" s="8"/>
      <c r="E168" s="70"/>
      <c r="F168" s="70" t="str">
        <f t="array" ref="F168">IF(E168="","",IFERROR(_xlfn.XLOOKUP(E168,SyncCodex!N:N,SyncCodex!O:O),""))</f>
        <v/>
      </c>
      <c r="G168" s="71"/>
      <c r="H168" s="71" t="str">
        <f t="shared" si="1"/>
        <v/>
      </c>
      <c r="I168" s="8" t="b">
        <v>0</v>
      </c>
      <c r="J168" s="72"/>
      <c r="K168" s="72"/>
    </row>
    <row r="169">
      <c r="A169" s="69"/>
      <c r="B169" s="8"/>
      <c r="E169" s="70"/>
      <c r="F169" s="70" t="str">
        <f t="array" ref="F169">IF(E169="","",IFERROR(_xlfn.XLOOKUP(E169,SyncCodex!N:N,SyncCodex!O:O),""))</f>
        <v/>
      </c>
      <c r="G169" s="71"/>
      <c r="H169" s="71" t="str">
        <f t="shared" si="1"/>
        <v/>
      </c>
      <c r="I169" s="8" t="b">
        <v>0</v>
      </c>
      <c r="J169" s="72"/>
      <c r="K169" s="72"/>
    </row>
    <row r="170">
      <c r="A170" s="69"/>
      <c r="B170" s="8"/>
      <c r="E170" s="70"/>
      <c r="F170" s="70" t="str">
        <f t="array" ref="F170">IF(E170="","",IFERROR(_xlfn.XLOOKUP(E170,SyncCodex!N:N,SyncCodex!O:O),""))</f>
        <v/>
      </c>
      <c r="G170" s="71"/>
      <c r="H170" s="71" t="str">
        <f t="shared" si="1"/>
        <v/>
      </c>
      <c r="I170" s="8" t="b">
        <v>0</v>
      </c>
      <c r="J170" s="72"/>
      <c r="K170" s="72"/>
    </row>
    <row r="171">
      <c r="A171" s="69"/>
      <c r="B171" s="8"/>
      <c r="E171" s="70"/>
      <c r="F171" s="70" t="str">
        <f t="array" ref="F171">IF(E171="","",IFERROR(_xlfn.XLOOKUP(E171,SyncCodex!N:N,SyncCodex!O:O),""))</f>
        <v/>
      </c>
      <c r="G171" s="71"/>
      <c r="H171" s="71" t="str">
        <f t="shared" si="1"/>
        <v/>
      </c>
      <c r="I171" s="8" t="b">
        <v>0</v>
      </c>
      <c r="J171" s="72"/>
      <c r="K171" s="72"/>
    </row>
    <row r="172">
      <c r="A172" s="69"/>
      <c r="B172" s="8"/>
      <c r="E172" s="70"/>
      <c r="F172" s="70" t="str">
        <f t="array" ref="F172">IF(E172="","",IFERROR(_xlfn.XLOOKUP(E172,SyncCodex!N:N,SyncCodex!O:O),""))</f>
        <v/>
      </c>
      <c r="G172" s="71"/>
      <c r="H172" s="71" t="str">
        <f t="shared" si="1"/>
        <v/>
      </c>
      <c r="I172" s="8" t="b">
        <v>0</v>
      </c>
      <c r="J172" s="72"/>
      <c r="K172" s="72"/>
    </row>
    <row r="173">
      <c r="A173" s="69"/>
      <c r="B173" s="8"/>
      <c r="E173" s="70"/>
      <c r="F173" s="70" t="str">
        <f t="array" ref="F173">IF(E173="","",IFERROR(_xlfn.XLOOKUP(E173,SyncCodex!N:N,SyncCodex!O:O),""))</f>
        <v/>
      </c>
      <c r="G173" s="71"/>
      <c r="H173" s="71" t="str">
        <f t="shared" si="1"/>
        <v/>
      </c>
      <c r="I173" s="8" t="b">
        <v>0</v>
      </c>
      <c r="J173" s="72"/>
      <c r="K173" s="72"/>
    </row>
    <row r="174">
      <c r="A174" s="69"/>
      <c r="B174" s="8"/>
      <c r="E174" s="70"/>
      <c r="F174" s="70" t="str">
        <f t="array" ref="F174">IF(E174="","",IFERROR(_xlfn.XLOOKUP(E174,SyncCodex!N:N,SyncCodex!O:O),""))</f>
        <v/>
      </c>
      <c r="G174" s="71"/>
      <c r="H174" s="71" t="str">
        <f t="shared" si="1"/>
        <v/>
      </c>
      <c r="I174" s="8" t="b">
        <v>0</v>
      </c>
      <c r="J174" s="72"/>
      <c r="K174" s="72"/>
    </row>
    <row r="175">
      <c r="A175" s="69"/>
      <c r="B175" s="8"/>
      <c r="E175" s="70"/>
      <c r="F175" s="70" t="str">
        <f t="array" ref="F175">IF(E175="","",IFERROR(_xlfn.XLOOKUP(E175,SyncCodex!N:N,SyncCodex!O:O),""))</f>
        <v/>
      </c>
      <c r="G175" s="71"/>
      <c r="H175" s="71" t="str">
        <f t="shared" si="1"/>
        <v/>
      </c>
      <c r="I175" s="8" t="b">
        <v>0</v>
      </c>
      <c r="J175" s="72"/>
      <c r="K175" s="72"/>
    </row>
    <row r="176">
      <c r="A176" s="69"/>
      <c r="B176" s="8"/>
      <c r="E176" s="70"/>
      <c r="F176" s="70" t="str">
        <f t="array" ref="F176">IF(E176="","",IFERROR(_xlfn.XLOOKUP(E176,SyncCodex!N:N,SyncCodex!O:O),""))</f>
        <v/>
      </c>
      <c r="G176" s="71"/>
      <c r="H176" s="71" t="str">
        <f t="shared" si="1"/>
        <v/>
      </c>
      <c r="I176" s="8" t="b">
        <v>0</v>
      </c>
      <c r="J176" s="72"/>
      <c r="K176" s="72"/>
    </row>
    <row r="177">
      <c r="A177" s="69"/>
      <c r="B177" s="8"/>
      <c r="E177" s="70"/>
      <c r="F177" s="70" t="str">
        <f t="array" ref="F177">IF(E177="","",IFERROR(_xlfn.XLOOKUP(E177,SyncCodex!N:N,SyncCodex!O:O),""))</f>
        <v/>
      </c>
      <c r="G177" s="71"/>
      <c r="H177" s="71" t="str">
        <f t="shared" si="1"/>
        <v/>
      </c>
      <c r="I177" s="8" t="b">
        <v>0</v>
      </c>
      <c r="J177" s="72"/>
      <c r="K177" s="72"/>
    </row>
    <row r="178">
      <c r="A178" s="69"/>
      <c r="B178" s="8"/>
      <c r="E178" s="70"/>
      <c r="F178" s="70" t="str">
        <f t="array" ref="F178">IF(E178="","",IFERROR(_xlfn.XLOOKUP(E178,SyncCodex!N:N,SyncCodex!O:O),""))</f>
        <v/>
      </c>
      <c r="G178" s="71"/>
      <c r="H178" s="71" t="str">
        <f t="shared" si="1"/>
        <v/>
      </c>
      <c r="I178" s="8" t="b">
        <v>0</v>
      </c>
      <c r="J178" s="72"/>
      <c r="K178" s="72"/>
    </row>
    <row r="179">
      <c r="A179" s="69"/>
      <c r="B179" s="8"/>
      <c r="E179" s="70"/>
      <c r="F179" s="70" t="str">
        <f t="array" ref="F179">IF(E179="","",IFERROR(_xlfn.XLOOKUP(E179,SyncCodex!N:N,SyncCodex!O:O),""))</f>
        <v/>
      </c>
      <c r="G179" s="71"/>
      <c r="H179" s="71" t="str">
        <f t="shared" si="1"/>
        <v/>
      </c>
      <c r="I179" s="8" t="b">
        <v>0</v>
      </c>
      <c r="J179" s="72"/>
      <c r="K179" s="72"/>
    </row>
    <row r="180">
      <c r="A180" s="69"/>
      <c r="B180" s="8"/>
      <c r="E180" s="70"/>
      <c r="F180" s="70" t="str">
        <f t="array" ref="F180">IF(E180="","",IFERROR(_xlfn.XLOOKUP(E180,SyncCodex!N:N,SyncCodex!O:O),""))</f>
        <v/>
      </c>
      <c r="G180" s="71"/>
      <c r="H180" s="71" t="str">
        <f t="shared" si="1"/>
        <v/>
      </c>
      <c r="I180" s="8" t="b">
        <v>0</v>
      </c>
      <c r="J180" s="72"/>
      <c r="K180" s="72"/>
    </row>
    <row r="181">
      <c r="A181" s="69"/>
      <c r="B181" s="8"/>
      <c r="E181" s="70"/>
      <c r="F181" s="70" t="str">
        <f t="array" ref="F181">IF(E181="","",IFERROR(_xlfn.XLOOKUP(E181,SyncCodex!N:N,SyncCodex!O:O),""))</f>
        <v/>
      </c>
      <c r="G181" s="71"/>
      <c r="H181" s="71" t="str">
        <f t="shared" si="1"/>
        <v/>
      </c>
      <c r="I181" s="8" t="b">
        <v>0</v>
      </c>
      <c r="J181" s="72"/>
      <c r="K181" s="72"/>
    </row>
    <row r="182">
      <c r="A182" s="69"/>
      <c r="B182" s="8"/>
      <c r="E182" s="70"/>
      <c r="F182" s="70" t="str">
        <f t="array" ref="F182">IF(E182="","",IFERROR(_xlfn.XLOOKUP(E182,SyncCodex!N:N,SyncCodex!O:O),""))</f>
        <v/>
      </c>
      <c r="G182" s="71"/>
      <c r="H182" s="71" t="str">
        <f t="shared" si="1"/>
        <v/>
      </c>
      <c r="I182" s="8" t="b">
        <v>0</v>
      </c>
      <c r="J182" s="72"/>
      <c r="K182" s="72"/>
    </row>
    <row r="183">
      <c r="A183" s="69"/>
      <c r="B183" s="8"/>
      <c r="E183" s="70"/>
      <c r="F183" s="70" t="str">
        <f t="array" ref="F183">IF(E183="","",IFERROR(_xlfn.XLOOKUP(E183,SyncCodex!N:N,SyncCodex!O:O),""))</f>
        <v/>
      </c>
      <c r="G183" s="71"/>
      <c r="H183" s="71" t="str">
        <f t="shared" si="1"/>
        <v/>
      </c>
      <c r="I183" s="8" t="b">
        <v>0</v>
      </c>
      <c r="J183" s="72"/>
      <c r="K183" s="72"/>
    </row>
    <row r="184">
      <c r="A184" s="69"/>
      <c r="B184" s="8"/>
      <c r="E184" s="70"/>
      <c r="F184" s="70" t="str">
        <f t="array" ref="F184">IF(E184="","",IFERROR(_xlfn.XLOOKUP(E184,SyncCodex!N:N,SyncCodex!O:O),""))</f>
        <v/>
      </c>
      <c r="G184" s="71"/>
      <c r="H184" s="71" t="str">
        <f t="shared" si="1"/>
        <v/>
      </c>
      <c r="I184" s="8" t="b">
        <v>0</v>
      </c>
      <c r="J184" s="72"/>
      <c r="K184" s="72"/>
    </row>
    <row r="185">
      <c r="A185" s="69"/>
      <c r="B185" s="8"/>
      <c r="E185" s="70"/>
      <c r="F185" s="70" t="str">
        <f t="array" ref="F185">IF(E185="","",IFERROR(_xlfn.XLOOKUP(E185,SyncCodex!N:N,SyncCodex!O:O),""))</f>
        <v/>
      </c>
      <c r="G185" s="71"/>
      <c r="H185" s="71" t="str">
        <f t="shared" si="1"/>
        <v/>
      </c>
      <c r="I185" s="8" t="b">
        <v>0</v>
      </c>
      <c r="J185" s="72"/>
      <c r="K185" s="72"/>
    </row>
    <row r="186">
      <c r="A186" s="69"/>
      <c r="B186" s="8"/>
      <c r="E186" s="70"/>
      <c r="F186" s="70" t="str">
        <f t="array" ref="F186">IF(E186="","",IFERROR(_xlfn.XLOOKUP(E186,SyncCodex!N:N,SyncCodex!O:O),""))</f>
        <v/>
      </c>
      <c r="G186" s="71"/>
      <c r="H186" s="71" t="str">
        <f t="shared" si="1"/>
        <v/>
      </c>
      <c r="I186" s="8" t="b">
        <v>0</v>
      </c>
      <c r="J186" s="72"/>
      <c r="K186" s="72"/>
    </row>
    <row r="187">
      <c r="A187" s="69"/>
      <c r="B187" s="8"/>
      <c r="E187" s="70"/>
      <c r="F187" s="70" t="str">
        <f t="array" ref="F187">IF(E187="","",IFERROR(_xlfn.XLOOKUP(E187,SyncCodex!N:N,SyncCodex!O:O),""))</f>
        <v/>
      </c>
      <c r="G187" s="71"/>
      <c r="H187" s="71" t="str">
        <f t="shared" si="1"/>
        <v/>
      </c>
      <c r="I187" s="8" t="b">
        <v>0</v>
      </c>
      <c r="J187" s="72"/>
      <c r="K187" s="72"/>
    </row>
    <row r="188">
      <c r="A188" s="69"/>
      <c r="B188" s="8"/>
      <c r="E188" s="70"/>
      <c r="F188" s="70" t="str">
        <f t="array" ref="F188">IF(E188="","",IFERROR(_xlfn.XLOOKUP(E188,SyncCodex!N:N,SyncCodex!O:O),""))</f>
        <v/>
      </c>
      <c r="G188" s="71"/>
      <c r="H188" s="71" t="str">
        <f t="shared" si="1"/>
        <v/>
      </c>
      <c r="I188" s="8" t="b">
        <v>0</v>
      </c>
      <c r="J188" s="72"/>
      <c r="K188" s="72"/>
    </row>
    <row r="189">
      <c r="A189" s="69"/>
      <c r="B189" s="8"/>
      <c r="E189" s="70"/>
      <c r="F189" s="70" t="str">
        <f t="array" ref="F189">IF(E189="","",IFERROR(_xlfn.XLOOKUP(E189,SyncCodex!N:N,SyncCodex!O:O),""))</f>
        <v/>
      </c>
      <c r="G189" s="71"/>
      <c r="H189" s="71" t="str">
        <f t="shared" si="1"/>
        <v/>
      </c>
      <c r="I189" s="8" t="b">
        <v>0</v>
      </c>
      <c r="J189" s="72"/>
      <c r="K189" s="72"/>
    </row>
    <row r="190">
      <c r="A190" s="69"/>
      <c r="B190" s="8"/>
      <c r="E190" s="70"/>
      <c r="F190" s="70" t="str">
        <f t="array" ref="F190">IF(E190="","",IFERROR(_xlfn.XLOOKUP(E190,SyncCodex!N:N,SyncCodex!O:O),""))</f>
        <v/>
      </c>
      <c r="G190" s="71"/>
      <c r="H190" s="71" t="str">
        <f t="shared" si="1"/>
        <v/>
      </c>
      <c r="I190" s="8" t="b">
        <v>0</v>
      </c>
      <c r="J190" s="72"/>
      <c r="K190" s="72"/>
    </row>
    <row r="191">
      <c r="A191" s="69"/>
      <c r="B191" s="8"/>
      <c r="E191" s="70"/>
      <c r="F191" s="70" t="str">
        <f t="array" ref="F191">IF(E191="","",IFERROR(_xlfn.XLOOKUP(E191,SyncCodex!N:N,SyncCodex!O:O),""))</f>
        <v/>
      </c>
      <c r="G191" s="71"/>
      <c r="H191" s="71" t="str">
        <f t="shared" si="1"/>
        <v/>
      </c>
      <c r="I191" s="8" t="b">
        <v>0</v>
      </c>
      <c r="J191" s="72"/>
      <c r="K191" s="72"/>
    </row>
    <row r="192">
      <c r="A192" s="69"/>
      <c r="B192" s="8"/>
      <c r="E192" s="70"/>
      <c r="F192" s="70" t="str">
        <f t="array" ref="F192">IF(E192="","",IFERROR(_xlfn.XLOOKUP(E192,SyncCodex!N:N,SyncCodex!O:O),""))</f>
        <v/>
      </c>
      <c r="G192" s="71"/>
      <c r="H192" s="71" t="str">
        <f t="shared" si="1"/>
        <v/>
      </c>
      <c r="I192" s="8" t="b">
        <v>0</v>
      </c>
      <c r="J192" s="72"/>
      <c r="K192" s="72"/>
    </row>
    <row r="193">
      <c r="A193" s="69"/>
      <c r="B193" s="8"/>
      <c r="E193" s="70"/>
      <c r="F193" s="70" t="str">
        <f t="array" ref="F193">IF(E193="","",IFERROR(_xlfn.XLOOKUP(E193,SyncCodex!N:N,SyncCodex!O:O),""))</f>
        <v/>
      </c>
      <c r="G193" s="71"/>
      <c r="H193" s="71" t="str">
        <f t="shared" si="1"/>
        <v/>
      </c>
      <c r="I193" s="8" t="b">
        <v>0</v>
      </c>
      <c r="J193" s="72"/>
      <c r="K193" s="72"/>
    </row>
    <row r="194">
      <c r="A194" s="69"/>
      <c r="B194" s="8"/>
      <c r="E194" s="70"/>
      <c r="F194" s="70" t="str">
        <f t="array" ref="F194">IF(E194="","",IFERROR(_xlfn.XLOOKUP(E194,SyncCodex!N:N,SyncCodex!O:O),""))</f>
        <v/>
      </c>
      <c r="G194" s="71"/>
      <c r="H194" s="71" t="str">
        <f t="shared" si="1"/>
        <v/>
      </c>
      <c r="I194" s="8" t="b">
        <v>0</v>
      </c>
      <c r="J194" s="72"/>
      <c r="K194" s="72"/>
    </row>
    <row r="195">
      <c r="A195" s="69"/>
      <c r="B195" s="8"/>
      <c r="E195" s="70"/>
      <c r="F195" s="70" t="str">
        <f t="array" ref="F195">IF(E195="","",IFERROR(_xlfn.XLOOKUP(E195,SyncCodex!N:N,SyncCodex!O:O),""))</f>
        <v/>
      </c>
      <c r="G195" s="71"/>
      <c r="H195" s="71" t="str">
        <f t="shared" si="1"/>
        <v/>
      </c>
      <c r="I195" s="8" t="b">
        <v>0</v>
      </c>
      <c r="J195" s="72"/>
      <c r="K195" s="72"/>
    </row>
    <row r="196">
      <c r="A196" s="69"/>
      <c r="B196" s="8"/>
      <c r="E196" s="70"/>
      <c r="F196" s="70" t="str">
        <f t="array" ref="F196">IF(E196="","",IFERROR(_xlfn.XLOOKUP(E196,SyncCodex!N:N,SyncCodex!O:O),""))</f>
        <v/>
      </c>
      <c r="G196" s="71"/>
      <c r="H196" s="71" t="str">
        <f t="shared" si="1"/>
        <v/>
      </c>
      <c r="I196" s="8" t="b">
        <v>0</v>
      </c>
      <c r="J196" s="72"/>
      <c r="K196" s="72"/>
    </row>
    <row r="197">
      <c r="A197" s="69"/>
      <c r="B197" s="8"/>
      <c r="E197" s="70"/>
      <c r="F197" s="70" t="str">
        <f t="array" ref="F197">IF(E197="","",IFERROR(_xlfn.XLOOKUP(E197,SyncCodex!N:N,SyncCodex!O:O),""))</f>
        <v/>
      </c>
      <c r="G197" s="71"/>
      <c r="H197" s="71" t="str">
        <f t="shared" si="1"/>
        <v/>
      </c>
      <c r="I197" s="8" t="b">
        <v>0</v>
      </c>
      <c r="J197" s="72"/>
      <c r="K197" s="72"/>
    </row>
    <row r="198">
      <c r="A198" s="69"/>
      <c r="B198" s="8"/>
      <c r="E198" s="70"/>
      <c r="F198" s="70" t="str">
        <f t="array" ref="F198">IF(E198="","",IFERROR(_xlfn.XLOOKUP(E198,SyncCodex!N:N,SyncCodex!O:O),""))</f>
        <v/>
      </c>
      <c r="G198" s="71"/>
      <c r="H198" s="71" t="str">
        <f t="shared" si="1"/>
        <v/>
      </c>
      <c r="I198" s="8" t="b">
        <v>0</v>
      </c>
      <c r="J198" s="72"/>
      <c r="K198" s="72"/>
    </row>
    <row r="199">
      <c r="A199" s="69"/>
      <c r="B199" s="8"/>
      <c r="E199" s="70"/>
      <c r="F199" s="70" t="str">
        <f t="array" ref="F199">IF(E199="","",IFERROR(_xlfn.XLOOKUP(E199,SyncCodex!N:N,SyncCodex!O:O),""))</f>
        <v/>
      </c>
      <c r="G199" s="71"/>
      <c r="H199" s="71" t="str">
        <f t="shared" si="1"/>
        <v/>
      </c>
      <c r="I199" s="8" t="b">
        <v>0</v>
      </c>
      <c r="J199" s="72"/>
      <c r="K199" s="72"/>
    </row>
    <row r="200">
      <c r="A200" s="69"/>
      <c r="B200" s="8"/>
      <c r="E200" s="70"/>
      <c r="F200" s="70" t="str">
        <f t="array" ref="F200">IF(E200="","",IFERROR(_xlfn.XLOOKUP(E200,SyncCodex!N:N,SyncCodex!O:O),""))</f>
        <v/>
      </c>
      <c r="G200" s="71"/>
      <c r="H200" s="71" t="str">
        <f t="shared" si="1"/>
        <v/>
      </c>
      <c r="I200" s="8" t="b">
        <v>0</v>
      </c>
      <c r="J200" s="72"/>
      <c r="K200" s="72"/>
    </row>
    <row r="201">
      <c r="A201" s="69"/>
      <c r="B201" s="8"/>
      <c r="E201" s="70"/>
      <c r="F201" s="70" t="str">
        <f t="array" ref="F201">IF(E201="","",IFERROR(_xlfn.XLOOKUP(E201,SyncCodex!N:N,SyncCodex!O:O),""))</f>
        <v/>
      </c>
      <c r="G201" s="71"/>
      <c r="H201" s="71" t="str">
        <f t="shared" si="1"/>
        <v/>
      </c>
      <c r="I201" s="8" t="b">
        <v>0</v>
      </c>
      <c r="J201" s="72"/>
      <c r="K201" s="72"/>
    </row>
    <row r="202">
      <c r="A202" s="69"/>
      <c r="B202" s="8"/>
      <c r="E202" s="70"/>
      <c r="F202" s="70" t="str">
        <f t="array" ref="F202">IF(E202="","",IFERROR(_xlfn.XLOOKUP(E202,SyncCodex!N:N,SyncCodex!O:O),""))</f>
        <v/>
      </c>
      <c r="G202" s="71"/>
      <c r="H202" s="71" t="str">
        <f t="shared" si="1"/>
        <v/>
      </c>
      <c r="I202" s="8" t="b">
        <v>0</v>
      </c>
      <c r="J202" s="72"/>
      <c r="K202" s="72"/>
    </row>
    <row r="203">
      <c r="A203" s="69"/>
      <c r="B203" s="8"/>
      <c r="E203" s="70"/>
      <c r="F203" s="70" t="str">
        <f t="array" ref="F203">IF(E203="","",IFERROR(_xlfn.XLOOKUP(E203,SyncCodex!N:N,SyncCodex!O:O),""))</f>
        <v/>
      </c>
      <c r="G203" s="71"/>
      <c r="H203" s="71" t="str">
        <f t="shared" si="1"/>
        <v/>
      </c>
      <c r="I203" s="8" t="b">
        <v>0</v>
      </c>
      <c r="J203" s="72"/>
      <c r="K203" s="72"/>
    </row>
    <row r="204">
      <c r="A204" s="69"/>
      <c r="B204" s="8"/>
      <c r="E204" s="70"/>
      <c r="F204" s="70" t="str">
        <f t="array" ref="F204">IF(E204="","",IFERROR(_xlfn.XLOOKUP(E204,SyncCodex!N:N,SyncCodex!O:O),""))</f>
        <v/>
      </c>
      <c r="G204" s="71"/>
      <c r="H204" s="71" t="str">
        <f t="shared" si="1"/>
        <v/>
      </c>
      <c r="I204" s="8" t="b">
        <v>0</v>
      </c>
      <c r="J204" s="72"/>
      <c r="K204" s="72"/>
    </row>
    <row r="205">
      <c r="A205" s="69"/>
      <c r="B205" s="8"/>
      <c r="E205" s="70"/>
      <c r="F205" s="70" t="str">
        <f t="array" ref="F205">IF(E205="","",IFERROR(_xlfn.XLOOKUP(E205,SyncCodex!N:N,SyncCodex!O:O),""))</f>
        <v/>
      </c>
      <c r="G205" s="71"/>
      <c r="H205" s="71" t="str">
        <f t="shared" si="1"/>
        <v/>
      </c>
      <c r="I205" s="8" t="b">
        <v>0</v>
      </c>
      <c r="J205" s="72"/>
      <c r="K205" s="72"/>
    </row>
    <row r="206">
      <c r="A206" s="69"/>
      <c r="B206" s="8"/>
      <c r="E206" s="70"/>
      <c r="F206" s="70" t="str">
        <f t="array" ref="F206">IF(E206="","",IFERROR(_xlfn.XLOOKUP(E206,SyncCodex!N:N,SyncCodex!O:O),""))</f>
        <v/>
      </c>
      <c r="G206" s="71"/>
      <c r="H206" s="71" t="str">
        <f t="shared" si="1"/>
        <v/>
      </c>
      <c r="I206" s="8" t="b">
        <v>0</v>
      </c>
      <c r="J206" s="72"/>
      <c r="K206" s="72"/>
    </row>
    <row r="207">
      <c r="A207" s="69"/>
      <c r="B207" s="8"/>
      <c r="E207" s="70"/>
      <c r="F207" s="70" t="str">
        <f t="array" ref="F207">IF(E207="","",IFERROR(_xlfn.XLOOKUP(E207,SyncCodex!N:N,SyncCodex!O:O),""))</f>
        <v/>
      </c>
      <c r="G207" s="71"/>
      <c r="H207" s="71" t="str">
        <f t="shared" si="1"/>
        <v/>
      </c>
      <c r="I207" s="8" t="b">
        <v>0</v>
      </c>
      <c r="J207" s="72"/>
      <c r="K207" s="72"/>
    </row>
    <row r="208">
      <c r="A208" s="69"/>
      <c r="B208" s="8"/>
      <c r="E208" s="70"/>
      <c r="F208" s="70" t="str">
        <f t="array" ref="F208">IF(E208="","",IFERROR(_xlfn.XLOOKUP(E208,SyncCodex!N:N,SyncCodex!O:O),""))</f>
        <v/>
      </c>
      <c r="G208" s="71"/>
      <c r="H208" s="71" t="str">
        <f t="shared" si="1"/>
        <v/>
      </c>
      <c r="I208" s="8" t="b">
        <v>0</v>
      </c>
      <c r="J208" s="72"/>
      <c r="K208" s="72"/>
    </row>
    <row r="209">
      <c r="A209" s="69"/>
      <c r="B209" s="8"/>
      <c r="E209" s="70"/>
      <c r="F209" s="70" t="str">
        <f t="array" ref="F209">IF(E209="","",IFERROR(_xlfn.XLOOKUP(E209,SyncCodex!N:N,SyncCodex!O:O),""))</f>
        <v/>
      </c>
      <c r="G209" s="71"/>
      <c r="H209" s="71" t="str">
        <f t="shared" si="1"/>
        <v/>
      </c>
      <c r="I209" s="8" t="b">
        <v>0</v>
      </c>
      <c r="J209" s="72"/>
      <c r="K209" s="72"/>
    </row>
    <row r="210">
      <c r="A210" s="69"/>
      <c r="B210" s="8"/>
      <c r="E210" s="70"/>
      <c r="F210" s="70" t="str">
        <f t="array" ref="F210">IF(E210="","",IFERROR(_xlfn.XLOOKUP(E210,SyncCodex!N:N,SyncCodex!O:O),""))</f>
        <v/>
      </c>
      <c r="G210" s="71"/>
      <c r="H210" s="71" t="str">
        <f t="shared" si="1"/>
        <v/>
      </c>
      <c r="I210" s="8" t="b">
        <v>0</v>
      </c>
      <c r="J210" s="72"/>
      <c r="K210" s="72"/>
    </row>
    <row r="211">
      <c r="A211" s="69"/>
      <c r="B211" s="8"/>
      <c r="E211" s="70"/>
      <c r="F211" s="70" t="str">
        <f t="array" ref="F211">IF(E211="","",IFERROR(_xlfn.XLOOKUP(E211,SyncCodex!N:N,SyncCodex!O:O),""))</f>
        <v/>
      </c>
      <c r="G211" s="71"/>
      <c r="H211" s="71" t="str">
        <f t="shared" si="1"/>
        <v/>
      </c>
      <c r="I211" s="8" t="b">
        <v>0</v>
      </c>
      <c r="J211" s="72"/>
      <c r="K211" s="72"/>
    </row>
    <row r="212">
      <c r="A212" s="69"/>
      <c r="B212" s="8"/>
      <c r="E212" s="70"/>
      <c r="F212" s="70" t="str">
        <f t="array" ref="F212">IF(E212="","",IFERROR(_xlfn.XLOOKUP(E212,SyncCodex!N:N,SyncCodex!O:O),""))</f>
        <v/>
      </c>
      <c r="G212" s="71"/>
      <c r="H212" s="71" t="str">
        <f t="shared" si="1"/>
        <v/>
      </c>
      <c r="I212" s="8" t="b">
        <v>0</v>
      </c>
      <c r="J212" s="72"/>
      <c r="K212" s="72"/>
    </row>
    <row r="213">
      <c r="A213" s="69"/>
      <c r="B213" s="8"/>
      <c r="E213" s="70"/>
      <c r="F213" s="70" t="str">
        <f t="array" ref="F213">IF(E213="","",IFERROR(_xlfn.XLOOKUP(E213,SyncCodex!N:N,SyncCodex!O:O),""))</f>
        <v/>
      </c>
      <c r="G213" s="71"/>
      <c r="H213" s="71" t="str">
        <f t="shared" si="1"/>
        <v/>
      </c>
      <c r="I213" s="8" t="b">
        <v>0</v>
      </c>
      <c r="J213" s="72"/>
      <c r="K213" s="72"/>
    </row>
    <row r="214">
      <c r="A214" s="69"/>
      <c r="B214" s="8"/>
      <c r="E214" s="70"/>
      <c r="F214" s="70" t="str">
        <f t="array" ref="F214">IF(E214="","",IFERROR(_xlfn.XLOOKUP(E214,SyncCodex!N:N,SyncCodex!O:O),""))</f>
        <v/>
      </c>
      <c r="G214" s="71"/>
      <c r="H214" s="71" t="str">
        <f t="shared" si="1"/>
        <v/>
      </c>
      <c r="I214" s="8" t="b">
        <v>0</v>
      </c>
      <c r="J214" s="72"/>
      <c r="K214" s="72"/>
    </row>
    <row r="215">
      <c r="A215" s="69"/>
      <c r="B215" s="8"/>
      <c r="E215" s="70"/>
      <c r="F215" s="70" t="str">
        <f t="array" ref="F215">IF(E215="","",IFERROR(_xlfn.XLOOKUP(E215,SyncCodex!N:N,SyncCodex!O:O),""))</f>
        <v/>
      </c>
      <c r="G215" s="71"/>
      <c r="H215" s="71" t="str">
        <f t="shared" si="1"/>
        <v/>
      </c>
      <c r="I215" s="8" t="b">
        <v>0</v>
      </c>
      <c r="J215" s="72"/>
      <c r="K215" s="72"/>
    </row>
    <row r="216">
      <c r="A216" s="69"/>
      <c r="B216" s="8"/>
      <c r="E216" s="70"/>
      <c r="F216" s="70" t="str">
        <f t="array" ref="F216">IF(E216="","",IFERROR(_xlfn.XLOOKUP(E216,SyncCodex!N:N,SyncCodex!O:O),""))</f>
        <v/>
      </c>
      <c r="G216" s="71"/>
      <c r="H216" s="71" t="str">
        <f t="shared" si="1"/>
        <v/>
      </c>
      <c r="I216" s="8" t="b">
        <v>0</v>
      </c>
      <c r="J216" s="72"/>
      <c r="K216" s="72"/>
    </row>
    <row r="217">
      <c r="A217" s="69"/>
      <c r="B217" s="8"/>
      <c r="E217" s="70"/>
      <c r="F217" s="70" t="str">
        <f t="array" ref="F217">IF(E217="","",IFERROR(_xlfn.XLOOKUP(E217,SyncCodex!N:N,SyncCodex!O:O),""))</f>
        <v/>
      </c>
      <c r="G217" s="71"/>
      <c r="H217" s="71" t="str">
        <f t="shared" si="1"/>
        <v/>
      </c>
      <c r="I217" s="8" t="b">
        <v>0</v>
      </c>
      <c r="J217" s="72"/>
      <c r="K217" s="72"/>
    </row>
    <row r="218">
      <c r="A218" s="69"/>
      <c r="B218" s="8"/>
      <c r="E218" s="70"/>
      <c r="F218" s="70" t="str">
        <f t="array" ref="F218">IF(E218="","",IFERROR(_xlfn.XLOOKUP(E218,SyncCodex!N:N,SyncCodex!O:O),""))</f>
        <v/>
      </c>
      <c r="G218" s="71"/>
      <c r="H218" s="71" t="str">
        <f t="shared" si="1"/>
        <v/>
      </c>
      <c r="I218" s="8" t="b">
        <v>0</v>
      </c>
      <c r="J218" s="72"/>
      <c r="K218" s="72"/>
    </row>
    <row r="219">
      <c r="A219" s="69"/>
      <c r="B219" s="8"/>
      <c r="E219" s="70"/>
      <c r="F219" s="70" t="str">
        <f t="array" ref="F219">IF(E219="","",IFERROR(_xlfn.XLOOKUP(E219,SyncCodex!N:N,SyncCodex!O:O),""))</f>
        <v/>
      </c>
      <c r="G219" s="71"/>
      <c r="H219" s="71" t="str">
        <f t="shared" si="1"/>
        <v/>
      </c>
      <c r="I219" s="8" t="b">
        <v>0</v>
      </c>
      <c r="J219" s="72"/>
      <c r="K219" s="72"/>
    </row>
    <row r="220">
      <c r="A220" s="69"/>
      <c r="B220" s="8"/>
      <c r="E220" s="70"/>
      <c r="F220" s="70" t="str">
        <f t="array" ref="F220">IF(E220="","",IFERROR(_xlfn.XLOOKUP(E220,SyncCodex!N:N,SyncCodex!O:O),""))</f>
        <v/>
      </c>
      <c r="G220" s="71"/>
      <c r="H220" s="71" t="str">
        <f t="shared" si="1"/>
        <v/>
      </c>
      <c r="I220" s="8" t="b">
        <v>0</v>
      </c>
      <c r="J220" s="72"/>
      <c r="K220" s="72"/>
    </row>
    <row r="221">
      <c r="A221" s="69"/>
      <c r="B221" s="8"/>
      <c r="E221" s="70"/>
      <c r="F221" s="70" t="str">
        <f t="array" ref="F221">IF(E221="","",IFERROR(_xlfn.XLOOKUP(E221,SyncCodex!N:N,SyncCodex!O:O),""))</f>
        <v/>
      </c>
      <c r="G221" s="71"/>
      <c r="H221" s="71" t="str">
        <f t="shared" si="1"/>
        <v/>
      </c>
      <c r="I221" s="8" t="b">
        <v>0</v>
      </c>
      <c r="J221" s="72"/>
      <c r="K221" s="72"/>
    </row>
    <row r="222">
      <c r="A222" s="69"/>
      <c r="B222" s="8"/>
      <c r="E222" s="70"/>
      <c r="F222" s="70" t="str">
        <f t="array" ref="F222">IF(E222="","",IFERROR(_xlfn.XLOOKUP(E222,SyncCodex!N:N,SyncCodex!O:O),""))</f>
        <v/>
      </c>
      <c r="G222" s="71"/>
      <c r="H222" s="71" t="str">
        <f t="shared" si="1"/>
        <v/>
      </c>
      <c r="I222" s="8" t="b">
        <v>0</v>
      </c>
      <c r="J222" s="72"/>
      <c r="K222" s="72"/>
    </row>
    <row r="223">
      <c r="A223" s="69"/>
      <c r="B223" s="8"/>
      <c r="E223" s="70"/>
      <c r="F223" s="70" t="str">
        <f t="array" ref="F223">IF(E223="","",IFERROR(_xlfn.XLOOKUP(E223,SyncCodex!N:N,SyncCodex!O:O),""))</f>
        <v/>
      </c>
      <c r="G223" s="71"/>
      <c r="H223" s="71" t="str">
        <f t="shared" si="1"/>
        <v/>
      </c>
      <c r="I223" s="8" t="b">
        <v>0</v>
      </c>
      <c r="J223" s="72"/>
      <c r="K223" s="72"/>
    </row>
    <row r="224">
      <c r="A224" s="69"/>
      <c r="B224" s="8"/>
      <c r="E224" s="70"/>
      <c r="F224" s="70" t="str">
        <f t="array" ref="F224">IF(E224="","",IFERROR(_xlfn.XLOOKUP(E224,SyncCodex!N:N,SyncCodex!O:O),""))</f>
        <v/>
      </c>
      <c r="G224" s="71"/>
      <c r="H224" s="71" t="str">
        <f t="shared" si="1"/>
        <v/>
      </c>
      <c r="I224" s="8" t="b">
        <v>0</v>
      </c>
      <c r="J224" s="72"/>
      <c r="K224" s="72"/>
    </row>
    <row r="225">
      <c r="A225" s="69"/>
      <c r="B225" s="8"/>
      <c r="E225" s="70"/>
      <c r="F225" s="70" t="str">
        <f t="array" ref="F225">IF(E225="","",IFERROR(_xlfn.XLOOKUP(E225,SyncCodex!N:N,SyncCodex!O:O),""))</f>
        <v/>
      </c>
      <c r="G225" s="71"/>
      <c r="H225" s="71" t="str">
        <f t="shared" si="1"/>
        <v/>
      </c>
      <c r="I225" s="8" t="b">
        <v>0</v>
      </c>
      <c r="J225" s="72"/>
      <c r="K225" s="72"/>
    </row>
    <row r="226">
      <c r="A226" s="69"/>
      <c r="B226" s="8"/>
      <c r="E226" s="70"/>
      <c r="F226" s="70" t="str">
        <f t="array" ref="F226">IF(E226="","",IFERROR(_xlfn.XLOOKUP(E226,SyncCodex!N:N,SyncCodex!O:O),""))</f>
        <v/>
      </c>
      <c r="G226" s="71"/>
      <c r="H226" s="71" t="str">
        <f t="shared" si="1"/>
        <v/>
      </c>
      <c r="I226" s="8" t="b">
        <v>0</v>
      </c>
      <c r="J226" s="72"/>
      <c r="K226" s="72"/>
    </row>
    <row r="227">
      <c r="A227" s="69"/>
      <c r="B227" s="8"/>
      <c r="E227" s="70"/>
      <c r="F227" s="70" t="str">
        <f t="array" ref="F227">IF(E227="","",IFERROR(_xlfn.XLOOKUP(E227,SyncCodex!N:N,SyncCodex!O:O),""))</f>
        <v/>
      </c>
      <c r="G227" s="71"/>
      <c r="H227" s="71" t="str">
        <f t="shared" si="1"/>
        <v/>
      </c>
      <c r="I227" s="8" t="b">
        <v>0</v>
      </c>
      <c r="J227" s="72"/>
      <c r="K227" s="72"/>
    </row>
    <row r="228">
      <c r="A228" s="69"/>
      <c r="B228" s="8"/>
      <c r="E228" s="70"/>
      <c r="F228" s="70" t="str">
        <f t="array" ref="F228">IF(E228="","",IFERROR(_xlfn.XLOOKUP(E228,SyncCodex!N:N,SyncCodex!O:O),""))</f>
        <v/>
      </c>
      <c r="G228" s="71"/>
      <c r="H228" s="71" t="str">
        <f t="shared" si="1"/>
        <v/>
      </c>
      <c r="I228" s="8" t="b">
        <v>0</v>
      </c>
      <c r="J228" s="72"/>
      <c r="K228" s="72"/>
    </row>
    <row r="229">
      <c r="A229" s="69"/>
      <c r="B229" s="8"/>
      <c r="E229" s="70"/>
      <c r="F229" s="70" t="str">
        <f t="array" ref="F229">IF(E229="","",IFERROR(_xlfn.XLOOKUP(E229,SyncCodex!N:N,SyncCodex!O:O),""))</f>
        <v/>
      </c>
      <c r="G229" s="71"/>
      <c r="H229" s="71" t="str">
        <f t="shared" si="1"/>
        <v/>
      </c>
      <c r="I229" s="8" t="b">
        <v>0</v>
      </c>
      <c r="J229" s="72"/>
      <c r="K229" s="72"/>
    </row>
    <row r="230">
      <c r="A230" s="69"/>
      <c r="B230" s="8"/>
      <c r="E230" s="70"/>
      <c r="F230" s="70" t="str">
        <f t="array" ref="F230">IF(E230="","",IFERROR(_xlfn.XLOOKUP(E230,SyncCodex!N:N,SyncCodex!O:O),""))</f>
        <v/>
      </c>
      <c r="G230" s="71"/>
      <c r="H230" s="71" t="str">
        <f t="shared" si="1"/>
        <v/>
      </c>
      <c r="I230" s="8" t="b">
        <v>0</v>
      </c>
      <c r="J230" s="72"/>
      <c r="K230" s="72"/>
    </row>
    <row r="231">
      <c r="A231" s="69"/>
      <c r="B231" s="8"/>
      <c r="E231" s="70"/>
      <c r="F231" s="70" t="str">
        <f t="array" ref="F231">IF(E231="","",IFERROR(_xlfn.XLOOKUP(E231,SyncCodex!N:N,SyncCodex!O:O),""))</f>
        <v/>
      </c>
      <c r="G231" s="71"/>
      <c r="H231" s="71" t="str">
        <f t="shared" si="1"/>
        <v/>
      </c>
      <c r="I231" s="8" t="b">
        <v>0</v>
      </c>
      <c r="J231" s="72"/>
      <c r="K231" s="72"/>
    </row>
    <row r="232">
      <c r="A232" s="69"/>
      <c r="B232" s="8"/>
      <c r="E232" s="70"/>
      <c r="F232" s="70" t="str">
        <f t="array" ref="F232">IF(E232="","",IFERROR(_xlfn.XLOOKUP(E232,SyncCodex!N:N,SyncCodex!O:O),""))</f>
        <v/>
      </c>
      <c r="G232" s="71"/>
      <c r="H232" s="71" t="str">
        <f t="shared" si="1"/>
        <v/>
      </c>
      <c r="I232" s="8" t="b">
        <v>0</v>
      </c>
      <c r="J232" s="72"/>
      <c r="K232" s="72"/>
    </row>
    <row r="233">
      <c r="A233" s="69"/>
      <c r="B233" s="8"/>
      <c r="E233" s="70"/>
      <c r="F233" s="70" t="str">
        <f t="array" ref="F233">IF(E233="","",IFERROR(_xlfn.XLOOKUP(E233,SyncCodex!N:N,SyncCodex!O:O),""))</f>
        <v/>
      </c>
      <c r="G233" s="71"/>
      <c r="H233" s="71" t="str">
        <f t="shared" si="1"/>
        <v/>
      </c>
      <c r="I233" s="8" t="b">
        <v>0</v>
      </c>
      <c r="J233" s="72"/>
      <c r="K233" s="72"/>
    </row>
    <row r="234">
      <c r="A234" s="69"/>
      <c r="B234" s="8"/>
      <c r="E234" s="70"/>
      <c r="F234" s="70" t="str">
        <f t="array" ref="F234">IF(E234="","",IFERROR(_xlfn.XLOOKUP(E234,SyncCodex!N:N,SyncCodex!O:O),""))</f>
        <v/>
      </c>
      <c r="G234" s="71"/>
      <c r="H234" s="71" t="str">
        <f t="shared" si="1"/>
        <v/>
      </c>
      <c r="I234" s="8" t="b">
        <v>0</v>
      </c>
      <c r="J234" s="72"/>
      <c r="K234" s="72"/>
    </row>
    <row r="235">
      <c r="A235" s="69"/>
      <c r="B235" s="8"/>
      <c r="E235" s="70"/>
      <c r="F235" s="70" t="str">
        <f t="array" ref="F235">IF(E235="","",IFERROR(_xlfn.XLOOKUP(E235,SyncCodex!N:N,SyncCodex!O:O),""))</f>
        <v/>
      </c>
      <c r="G235" s="71"/>
      <c r="H235" s="71" t="str">
        <f t="shared" si="1"/>
        <v/>
      </c>
      <c r="I235" s="8" t="b">
        <v>0</v>
      </c>
      <c r="J235" s="72"/>
      <c r="K235" s="72"/>
    </row>
    <row r="236">
      <c r="A236" s="69"/>
      <c r="B236" s="8"/>
      <c r="E236" s="70"/>
      <c r="F236" s="70" t="str">
        <f t="array" ref="F236">IF(E236="","",IFERROR(_xlfn.XLOOKUP(E236,SyncCodex!N:N,SyncCodex!O:O),""))</f>
        <v/>
      </c>
      <c r="G236" s="71"/>
      <c r="H236" s="71" t="str">
        <f t="shared" si="1"/>
        <v/>
      </c>
      <c r="I236" s="8" t="b">
        <v>0</v>
      </c>
      <c r="J236" s="72"/>
      <c r="K236" s="72"/>
    </row>
    <row r="237">
      <c r="A237" s="69"/>
      <c r="B237" s="8"/>
      <c r="E237" s="70"/>
      <c r="F237" s="70" t="str">
        <f t="array" ref="F237">IF(E237="","",IFERROR(_xlfn.XLOOKUP(E237,SyncCodex!N:N,SyncCodex!O:O),""))</f>
        <v/>
      </c>
      <c r="G237" s="71"/>
      <c r="H237" s="71" t="str">
        <f t="shared" si="1"/>
        <v/>
      </c>
      <c r="I237" s="8" t="b">
        <v>0</v>
      </c>
      <c r="J237" s="72"/>
      <c r="K237" s="72"/>
    </row>
    <row r="238">
      <c r="A238" s="69"/>
      <c r="B238" s="8"/>
      <c r="E238" s="70"/>
      <c r="F238" s="70" t="str">
        <f t="array" ref="F238">IF(E238="","",IFERROR(_xlfn.XLOOKUP(E238,SyncCodex!N:N,SyncCodex!O:O),""))</f>
        <v/>
      </c>
      <c r="G238" s="71"/>
      <c r="H238" s="71" t="str">
        <f t="shared" si="1"/>
        <v/>
      </c>
      <c r="I238" s="8" t="b">
        <v>0</v>
      </c>
      <c r="J238" s="72"/>
      <c r="K238" s="72"/>
    </row>
    <row r="239">
      <c r="A239" s="69"/>
      <c r="B239" s="8"/>
      <c r="E239" s="70"/>
      <c r="F239" s="70" t="str">
        <f t="array" ref="F239">IF(E239="","",IFERROR(_xlfn.XLOOKUP(E239,SyncCodex!N:N,SyncCodex!O:O),""))</f>
        <v/>
      </c>
      <c r="G239" s="71"/>
      <c r="H239" s="71" t="str">
        <f t="shared" si="1"/>
        <v/>
      </c>
      <c r="I239" s="8" t="b">
        <v>0</v>
      </c>
      <c r="J239" s="72"/>
      <c r="K239" s="72"/>
    </row>
    <row r="240">
      <c r="A240" s="69"/>
      <c r="B240" s="8"/>
      <c r="E240" s="70"/>
      <c r="F240" s="70" t="str">
        <f t="array" ref="F240">IF(E240="","",IFERROR(_xlfn.XLOOKUP(E240,SyncCodex!N:N,SyncCodex!O:O),""))</f>
        <v/>
      </c>
      <c r="G240" s="71"/>
      <c r="H240" s="71" t="str">
        <f t="shared" si="1"/>
        <v/>
      </c>
      <c r="I240" s="8" t="b">
        <v>0</v>
      </c>
      <c r="J240" s="72"/>
      <c r="K240" s="72"/>
    </row>
    <row r="241">
      <c r="A241" s="69"/>
      <c r="B241" s="8"/>
      <c r="E241" s="70"/>
      <c r="F241" s="70" t="str">
        <f t="array" ref="F241">IF(E241="","",IFERROR(_xlfn.XLOOKUP(E241,SyncCodex!N:N,SyncCodex!O:O),""))</f>
        <v/>
      </c>
      <c r="G241" s="71"/>
      <c r="H241" s="71" t="str">
        <f t="shared" si="1"/>
        <v/>
      </c>
      <c r="I241" s="8" t="b">
        <v>0</v>
      </c>
      <c r="J241" s="72"/>
      <c r="K241" s="72"/>
    </row>
    <row r="242">
      <c r="A242" s="69"/>
      <c r="B242" s="8"/>
      <c r="E242" s="70"/>
      <c r="F242" s="70" t="str">
        <f t="array" ref="F242">IF(E242="","",IFERROR(_xlfn.XLOOKUP(E242,SyncCodex!N:N,SyncCodex!O:O),""))</f>
        <v/>
      </c>
      <c r="G242" s="71"/>
      <c r="H242" s="71" t="str">
        <f t="shared" si="1"/>
        <v/>
      </c>
      <c r="I242" s="8" t="b">
        <v>0</v>
      </c>
      <c r="J242" s="72"/>
      <c r="K242" s="72"/>
    </row>
    <row r="243">
      <c r="A243" s="69"/>
      <c r="B243" s="8"/>
      <c r="E243" s="70"/>
      <c r="F243" s="70" t="str">
        <f t="array" ref="F243">IF(E243="","",IFERROR(_xlfn.XLOOKUP(E243,SyncCodex!N:N,SyncCodex!O:O),""))</f>
        <v/>
      </c>
      <c r="G243" s="71"/>
      <c r="H243" s="71" t="str">
        <f t="shared" si="1"/>
        <v/>
      </c>
      <c r="I243" s="8" t="b">
        <v>0</v>
      </c>
      <c r="J243" s="72"/>
      <c r="K243" s="72"/>
    </row>
    <row r="244">
      <c r="A244" s="69"/>
      <c r="B244" s="8"/>
      <c r="E244" s="70"/>
      <c r="F244" s="70" t="str">
        <f t="array" ref="F244">IF(E244="","",IFERROR(_xlfn.XLOOKUP(E244,SyncCodex!N:N,SyncCodex!O:O),""))</f>
        <v/>
      </c>
      <c r="G244" s="71"/>
      <c r="H244" s="71" t="str">
        <f t="shared" si="1"/>
        <v/>
      </c>
      <c r="I244" s="8" t="b">
        <v>0</v>
      </c>
      <c r="J244" s="72"/>
      <c r="K244" s="72"/>
    </row>
    <row r="245">
      <c r="A245" s="69"/>
      <c r="B245" s="8"/>
      <c r="E245" s="70"/>
      <c r="F245" s="70" t="str">
        <f t="array" ref="F245">IF(E245="","",IFERROR(_xlfn.XLOOKUP(E245,SyncCodex!N:N,SyncCodex!O:O),""))</f>
        <v/>
      </c>
      <c r="G245" s="71"/>
      <c r="H245" s="71" t="str">
        <f t="shared" si="1"/>
        <v/>
      </c>
      <c r="I245" s="8" t="b">
        <v>0</v>
      </c>
      <c r="J245" s="72"/>
      <c r="K245" s="72"/>
    </row>
    <row r="246">
      <c r="A246" s="69"/>
      <c r="B246" s="8"/>
      <c r="E246" s="70"/>
      <c r="F246" s="70" t="str">
        <f t="array" ref="F246">IF(E246="","",IFERROR(_xlfn.XLOOKUP(E246,SyncCodex!N:N,SyncCodex!O:O),""))</f>
        <v/>
      </c>
      <c r="G246" s="71"/>
      <c r="H246" s="71" t="str">
        <f t="shared" si="1"/>
        <v/>
      </c>
      <c r="I246" s="8" t="b">
        <v>0</v>
      </c>
      <c r="J246" s="72"/>
      <c r="K246" s="72"/>
    </row>
    <row r="247">
      <c r="A247" s="69"/>
      <c r="B247" s="8"/>
      <c r="E247" s="70"/>
      <c r="F247" s="70" t="str">
        <f t="array" ref="F247">IF(E247="","",IFERROR(_xlfn.XLOOKUP(E247,SyncCodex!N:N,SyncCodex!O:O),""))</f>
        <v/>
      </c>
      <c r="G247" s="71"/>
      <c r="H247" s="71" t="str">
        <f t="shared" si="1"/>
        <v/>
      </c>
      <c r="I247" s="8" t="b">
        <v>0</v>
      </c>
      <c r="J247" s="72"/>
      <c r="K247" s="72"/>
    </row>
    <row r="248">
      <c r="A248" s="69"/>
      <c r="B248" s="8"/>
      <c r="E248" s="70"/>
      <c r="F248" s="70" t="str">
        <f t="array" ref="F248">IF(E248="","",IFERROR(_xlfn.XLOOKUP(E248,SyncCodex!N:N,SyncCodex!O:O),""))</f>
        <v/>
      </c>
      <c r="G248" s="71"/>
      <c r="H248" s="71" t="str">
        <f t="shared" si="1"/>
        <v/>
      </c>
      <c r="I248" s="8" t="b">
        <v>0</v>
      </c>
      <c r="J248" s="72"/>
      <c r="K248" s="72"/>
    </row>
    <row r="249">
      <c r="A249" s="69"/>
      <c r="B249" s="8"/>
      <c r="E249" s="70"/>
      <c r="F249" s="70" t="str">
        <f t="array" ref="F249">IF(E249="","",IFERROR(_xlfn.XLOOKUP(E249,SyncCodex!N:N,SyncCodex!O:O),""))</f>
        <v/>
      </c>
      <c r="G249" s="71"/>
      <c r="H249" s="71" t="str">
        <f t="shared" si="1"/>
        <v/>
      </c>
      <c r="I249" s="8" t="b">
        <v>0</v>
      </c>
      <c r="J249" s="72"/>
      <c r="K249" s="72"/>
    </row>
    <row r="250">
      <c r="A250" s="69"/>
      <c r="B250" s="8"/>
      <c r="E250" s="70"/>
      <c r="F250" s="70" t="str">
        <f t="array" ref="F250">IF(E250="","",IFERROR(_xlfn.XLOOKUP(E250,SyncCodex!N:N,SyncCodex!O:O),""))</f>
        <v/>
      </c>
      <c r="G250" s="71"/>
      <c r="H250" s="71" t="str">
        <f t="shared" si="1"/>
        <v/>
      </c>
      <c r="I250" s="8" t="b">
        <v>0</v>
      </c>
      <c r="J250" s="72"/>
      <c r="K250" s="72"/>
    </row>
    <row r="251">
      <c r="A251" s="69"/>
      <c r="B251" s="8"/>
      <c r="E251" s="70"/>
      <c r="F251" s="70" t="str">
        <f t="array" ref="F251">IF(E251="","",IFERROR(_xlfn.XLOOKUP(E251,SyncCodex!N:N,SyncCodex!O:O),""))</f>
        <v/>
      </c>
      <c r="G251" s="71"/>
      <c r="H251" s="71" t="str">
        <f t="shared" si="1"/>
        <v/>
      </c>
      <c r="I251" s="8" t="b">
        <v>0</v>
      </c>
      <c r="J251" s="72"/>
      <c r="K251" s="72"/>
    </row>
    <row r="252">
      <c r="A252" s="69"/>
      <c r="B252" s="8"/>
      <c r="E252" s="70"/>
      <c r="F252" s="70" t="str">
        <f t="array" ref="F252">IF(E252="","",IFERROR(_xlfn.XLOOKUP(E252,SyncCodex!N:N,SyncCodex!O:O),""))</f>
        <v/>
      </c>
      <c r="G252" s="71"/>
      <c r="H252" s="71" t="str">
        <f t="shared" si="1"/>
        <v/>
      </c>
      <c r="I252" s="8" t="b">
        <v>0</v>
      </c>
      <c r="J252" s="72"/>
      <c r="K252" s="72"/>
    </row>
    <row r="253">
      <c r="A253" s="69"/>
      <c r="B253" s="8"/>
      <c r="E253" s="70"/>
      <c r="F253" s="70" t="str">
        <f t="array" ref="F253">IF(E253="","",IFERROR(_xlfn.XLOOKUP(E253,SyncCodex!N:N,SyncCodex!O:O),""))</f>
        <v/>
      </c>
      <c r="G253" s="71"/>
      <c r="H253" s="71" t="str">
        <f t="shared" si="1"/>
        <v/>
      </c>
      <c r="I253" s="8" t="b">
        <v>0</v>
      </c>
      <c r="J253" s="72"/>
      <c r="K253" s="72"/>
    </row>
    <row r="254">
      <c r="A254" s="69"/>
      <c r="B254" s="8"/>
      <c r="E254" s="70"/>
      <c r="F254" s="70" t="str">
        <f t="array" ref="F254">IF(E254="","",IFERROR(_xlfn.XLOOKUP(E254,SyncCodex!N:N,SyncCodex!O:O),""))</f>
        <v/>
      </c>
      <c r="G254" s="71"/>
      <c r="H254" s="71" t="str">
        <f t="shared" si="1"/>
        <v/>
      </c>
      <c r="I254" s="8" t="b">
        <v>0</v>
      </c>
      <c r="J254" s="72"/>
      <c r="K254" s="72"/>
    </row>
    <row r="255">
      <c r="A255" s="69"/>
      <c r="B255" s="8"/>
      <c r="E255" s="70"/>
      <c r="F255" s="70" t="str">
        <f t="array" ref="F255">IF(E255="","",IFERROR(_xlfn.XLOOKUP(E255,SyncCodex!N:N,SyncCodex!O:O),""))</f>
        <v/>
      </c>
      <c r="G255" s="71"/>
      <c r="H255" s="71" t="str">
        <f t="shared" si="1"/>
        <v/>
      </c>
      <c r="I255" s="8" t="b">
        <v>0</v>
      </c>
      <c r="J255" s="72"/>
      <c r="K255" s="72"/>
    </row>
    <row r="256">
      <c r="A256" s="69"/>
      <c r="B256" s="8"/>
      <c r="E256" s="70"/>
      <c r="F256" s="70" t="str">
        <f t="array" ref="F256">IF(E256="","",IFERROR(_xlfn.XLOOKUP(E256,SyncCodex!N:N,SyncCodex!O:O),""))</f>
        <v/>
      </c>
      <c r="G256" s="71"/>
      <c r="H256" s="71" t="str">
        <f t="shared" si="1"/>
        <v/>
      </c>
      <c r="I256" s="8" t="b">
        <v>0</v>
      </c>
      <c r="J256" s="72"/>
      <c r="K256" s="72"/>
    </row>
    <row r="257">
      <c r="A257" s="69"/>
      <c r="B257" s="8"/>
      <c r="E257" s="70"/>
      <c r="F257" s="70" t="str">
        <f t="array" ref="F257">IF(E257="","",IFERROR(_xlfn.XLOOKUP(E257,SyncCodex!N:N,SyncCodex!O:O),""))</f>
        <v/>
      </c>
      <c r="G257" s="71"/>
      <c r="H257" s="71" t="str">
        <f t="shared" si="1"/>
        <v/>
      </c>
      <c r="I257" s="8" t="b">
        <v>0</v>
      </c>
      <c r="J257" s="72"/>
      <c r="K257" s="72"/>
    </row>
    <row r="258">
      <c r="A258" s="69"/>
      <c r="B258" s="8"/>
      <c r="E258" s="70"/>
      <c r="F258" s="70" t="str">
        <f t="array" ref="F258">IF(E258="","",IFERROR(_xlfn.XLOOKUP(E258,SyncCodex!N:N,SyncCodex!O:O),""))</f>
        <v/>
      </c>
      <c r="G258" s="71"/>
      <c r="H258" s="71" t="str">
        <f t="shared" si="1"/>
        <v/>
      </c>
      <c r="I258" s="8" t="b">
        <v>0</v>
      </c>
      <c r="J258" s="72"/>
      <c r="K258" s="72"/>
    </row>
    <row r="259">
      <c r="A259" s="69"/>
      <c r="B259" s="8"/>
      <c r="E259" s="70"/>
      <c r="F259" s="70" t="str">
        <f t="array" ref="F259">IF(E259="","",IFERROR(_xlfn.XLOOKUP(E259,SyncCodex!N:N,SyncCodex!O:O),""))</f>
        <v/>
      </c>
      <c r="G259" s="71"/>
      <c r="H259" s="71" t="str">
        <f t="shared" si="1"/>
        <v/>
      </c>
      <c r="I259" s="8" t="b">
        <v>0</v>
      </c>
      <c r="J259" s="72"/>
      <c r="K259" s="72"/>
    </row>
    <row r="260">
      <c r="A260" s="69"/>
      <c r="B260" s="8"/>
      <c r="E260" s="70"/>
      <c r="F260" s="70" t="str">
        <f t="array" ref="F260">IF(E260="","",IFERROR(_xlfn.XLOOKUP(E260,SyncCodex!N:N,SyncCodex!O:O),""))</f>
        <v/>
      </c>
      <c r="G260" s="71"/>
      <c r="H260" s="71" t="str">
        <f t="shared" si="1"/>
        <v/>
      </c>
      <c r="I260" s="8" t="b">
        <v>0</v>
      </c>
      <c r="J260" s="72"/>
      <c r="K260" s="72"/>
    </row>
    <row r="261">
      <c r="A261" s="69"/>
      <c r="B261" s="8"/>
      <c r="E261" s="70"/>
      <c r="F261" s="70" t="str">
        <f t="array" ref="F261">IF(E261="","",IFERROR(_xlfn.XLOOKUP(E261,SyncCodex!N:N,SyncCodex!O:O),""))</f>
        <v/>
      </c>
      <c r="G261" s="71"/>
      <c r="H261" s="71" t="str">
        <f t="shared" si="1"/>
        <v/>
      </c>
      <c r="I261" s="8" t="b">
        <v>0</v>
      </c>
      <c r="J261" s="72"/>
      <c r="K261" s="72"/>
    </row>
    <row r="262">
      <c r="A262" s="69"/>
      <c r="B262" s="8"/>
      <c r="E262" s="70"/>
      <c r="F262" s="70" t="str">
        <f t="array" ref="F262">IF(E262="","",IFERROR(_xlfn.XLOOKUP(E262,SyncCodex!N:N,SyncCodex!O:O),""))</f>
        <v/>
      </c>
      <c r="G262" s="71"/>
      <c r="H262" s="71" t="str">
        <f t="shared" si="1"/>
        <v/>
      </c>
      <c r="I262" s="8" t="b">
        <v>0</v>
      </c>
      <c r="J262" s="72"/>
      <c r="K262" s="72"/>
    </row>
    <row r="263">
      <c r="A263" s="69"/>
      <c r="B263" s="8"/>
      <c r="E263" s="70"/>
      <c r="F263" s="70" t="str">
        <f t="array" ref="F263">IF(E263="","",IFERROR(_xlfn.XLOOKUP(E263,SyncCodex!N:N,SyncCodex!O:O),""))</f>
        <v/>
      </c>
      <c r="G263" s="71"/>
      <c r="H263" s="71" t="str">
        <f t="shared" si="1"/>
        <v/>
      </c>
      <c r="I263" s="8" t="b">
        <v>0</v>
      </c>
      <c r="J263" s="72"/>
      <c r="K263" s="72"/>
    </row>
    <row r="264">
      <c r="A264" s="69"/>
      <c r="B264" s="8"/>
      <c r="E264" s="70"/>
      <c r="F264" s="70" t="str">
        <f t="array" ref="F264">IF(E264="","",IFERROR(_xlfn.XLOOKUP(E264,SyncCodex!N:N,SyncCodex!O:O),""))</f>
        <v/>
      </c>
      <c r="G264" s="71"/>
      <c r="H264" s="71" t="str">
        <f t="shared" si="1"/>
        <v/>
      </c>
      <c r="I264" s="8" t="b">
        <v>0</v>
      </c>
      <c r="J264" s="72"/>
      <c r="K264" s="72"/>
    </row>
    <row r="265">
      <c r="A265" s="69"/>
      <c r="B265" s="8"/>
      <c r="E265" s="70"/>
      <c r="F265" s="70" t="str">
        <f t="array" ref="F265">IF(E265="","",IFERROR(_xlfn.XLOOKUP(E265,SyncCodex!N:N,SyncCodex!O:O),""))</f>
        <v/>
      </c>
      <c r="G265" s="71"/>
      <c r="H265" s="71" t="str">
        <f t="shared" si="1"/>
        <v/>
      </c>
      <c r="I265" s="8" t="b">
        <v>0</v>
      </c>
      <c r="J265" s="72"/>
      <c r="K265" s="72"/>
    </row>
    <row r="266">
      <c r="A266" s="69"/>
      <c r="B266" s="8"/>
      <c r="E266" s="70"/>
      <c r="F266" s="70" t="str">
        <f t="array" ref="F266">IF(E266="","",IFERROR(_xlfn.XLOOKUP(E266,SyncCodex!N:N,SyncCodex!O:O),""))</f>
        <v/>
      </c>
      <c r="G266" s="71"/>
      <c r="H266" s="71" t="str">
        <f t="shared" si="1"/>
        <v/>
      </c>
      <c r="I266" s="8" t="b">
        <v>0</v>
      </c>
      <c r="J266" s="72"/>
      <c r="K266" s="72"/>
    </row>
    <row r="267">
      <c r="A267" s="69"/>
      <c r="B267" s="8"/>
      <c r="E267" s="70"/>
      <c r="F267" s="70" t="str">
        <f t="array" ref="F267">IF(E267="","",IFERROR(_xlfn.XLOOKUP(E267,SyncCodex!N:N,SyncCodex!O:O),""))</f>
        <v/>
      </c>
      <c r="G267" s="71"/>
      <c r="H267" s="71" t="str">
        <f t="shared" si="1"/>
        <v/>
      </c>
      <c r="I267" s="8" t="b">
        <v>0</v>
      </c>
      <c r="J267" s="72"/>
      <c r="K267" s="72"/>
    </row>
    <row r="268">
      <c r="A268" s="69"/>
      <c r="B268" s="8"/>
      <c r="E268" s="70"/>
      <c r="F268" s="70" t="str">
        <f t="array" ref="F268">IF(E268="","",IFERROR(_xlfn.XLOOKUP(E268,SyncCodex!N:N,SyncCodex!O:O),""))</f>
        <v/>
      </c>
      <c r="G268" s="71"/>
      <c r="H268" s="71" t="str">
        <f t="shared" si="1"/>
        <v/>
      </c>
      <c r="I268" s="8" t="b">
        <v>0</v>
      </c>
      <c r="J268" s="72"/>
      <c r="K268" s="72"/>
    </row>
    <row r="269">
      <c r="A269" s="69"/>
      <c r="B269" s="8"/>
      <c r="E269" s="70"/>
      <c r="F269" s="70" t="str">
        <f t="array" ref="F269">IF(E269="","",IFERROR(_xlfn.XLOOKUP(E269,SyncCodex!N:N,SyncCodex!O:O),""))</f>
        <v/>
      </c>
      <c r="G269" s="71"/>
      <c r="H269" s="71" t="str">
        <f t="shared" si="1"/>
        <v/>
      </c>
      <c r="I269" s="8" t="b">
        <v>0</v>
      </c>
      <c r="J269" s="72"/>
      <c r="K269" s="72"/>
    </row>
    <row r="270">
      <c r="A270" s="69"/>
      <c r="B270" s="8"/>
      <c r="E270" s="70"/>
      <c r="F270" s="70" t="str">
        <f t="array" ref="F270">IF(E270="","",IFERROR(_xlfn.XLOOKUP(E270,SyncCodex!N:N,SyncCodex!O:O),""))</f>
        <v/>
      </c>
      <c r="G270" s="71"/>
      <c r="H270" s="71" t="str">
        <f t="shared" si="1"/>
        <v/>
      </c>
      <c r="I270" s="8" t="b">
        <v>0</v>
      </c>
      <c r="J270" s="72"/>
      <c r="K270" s="72"/>
    </row>
    <row r="271">
      <c r="A271" s="69"/>
      <c r="B271" s="8"/>
      <c r="E271" s="70"/>
      <c r="F271" s="70" t="str">
        <f t="array" ref="F271">IF(E271="","",IFERROR(_xlfn.XLOOKUP(E271,SyncCodex!N:N,SyncCodex!O:O),""))</f>
        <v/>
      </c>
      <c r="G271" s="71"/>
      <c r="H271" s="71" t="str">
        <f t="shared" si="1"/>
        <v/>
      </c>
      <c r="I271" s="8" t="b">
        <v>0</v>
      </c>
      <c r="J271" s="72"/>
      <c r="K271" s="72"/>
    </row>
    <row r="272">
      <c r="A272" s="69"/>
      <c r="B272" s="8"/>
      <c r="E272" s="70"/>
      <c r="F272" s="70" t="str">
        <f t="array" ref="F272">IF(E272="","",IFERROR(_xlfn.XLOOKUP(E272,SyncCodex!N:N,SyncCodex!O:O),""))</f>
        <v/>
      </c>
      <c r="G272" s="71"/>
      <c r="H272" s="71" t="str">
        <f t="shared" si="1"/>
        <v/>
      </c>
      <c r="I272" s="8" t="b">
        <v>0</v>
      </c>
      <c r="J272" s="72"/>
      <c r="K272" s="72"/>
    </row>
    <row r="273">
      <c r="A273" s="69"/>
      <c r="B273" s="8"/>
      <c r="E273" s="70"/>
      <c r="F273" s="70" t="str">
        <f t="array" ref="F273">IF(E273="","",IFERROR(_xlfn.XLOOKUP(E273,SyncCodex!N:N,SyncCodex!O:O),""))</f>
        <v/>
      </c>
      <c r="G273" s="71"/>
      <c r="H273" s="71" t="str">
        <f t="shared" si="1"/>
        <v/>
      </c>
      <c r="I273" s="8" t="b">
        <v>0</v>
      </c>
      <c r="J273" s="72"/>
      <c r="K273" s="72"/>
    </row>
    <row r="274">
      <c r="A274" s="69"/>
      <c r="B274" s="8"/>
      <c r="E274" s="70"/>
      <c r="F274" s="70" t="str">
        <f t="array" ref="F274">IF(E274="","",IFERROR(_xlfn.XLOOKUP(E274,SyncCodex!N:N,SyncCodex!O:O),""))</f>
        <v/>
      </c>
      <c r="G274" s="71"/>
      <c r="H274" s="71" t="str">
        <f t="shared" si="1"/>
        <v/>
      </c>
      <c r="I274" s="8" t="b">
        <v>0</v>
      </c>
      <c r="J274" s="72"/>
      <c r="K274" s="72"/>
    </row>
    <row r="275">
      <c r="A275" s="69"/>
      <c r="B275" s="8"/>
      <c r="E275" s="70"/>
      <c r="F275" s="70" t="str">
        <f t="array" ref="F275">IF(E275="","",IFERROR(_xlfn.XLOOKUP(E275,SyncCodex!N:N,SyncCodex!O:O),""))</f>
        <v/>
      </c>
      <c r="G275" s="71"/>
      <c r="H275" s="71" t="str">
        <f t="shared" si="1"/>
        <v/>
      </c>
      <c r="I275" s="8" t="b">
        <v>0</v>
      </c>
      <c r="J275" s="72"/>
      <c r="K275" s="72"/>
    </row>
    <row r="276">
      <c r="A276" s="69"/>
      <c r="B276" s="8"/>
      <c r="E276" s="70"/>
      <c r="F276" s="70" t="str">
        <f t="array" ref="F276">IF(E276="","",IFERROR(_xlfn.XLOOKUP(E276,SyncCodex!N:N,SyncCodex!O:O),""))</f>
        <v/>
      </c>
      <c r="G276" s="71"/>
      <c r="H276" s="71" t="str">
        <f t="shared" si="1"/>
        <v/>
      </c>
      <c r="I276" s="8" t="b">
        <v>0</v>
      </c>
      <c r="J276" s="72"/>
      <c r="K276" s="72"/>
    </row>
    <row r="277">
      <c r="A277" s="69"/>
      <c r="B277" s="8"/>
      <c r="E277" s="70"/>
      <c r="F277" s="70" t="str">
        <f t="array" ref="F277">IF(E277="","",IFERROR(_xlfn.XLOOKUP(E277,SyncCodex!N:N,SyncCodex!O:O),""))</f>
        <v/>
      </c>
      <c r="G277" s="71"/>
      <c r="H277" s="71" t="str">
        <f t="shared" si="1"/>
        <v/>
      </c>
      <c r="I277" s="8" t="b">
        <v>0</v>
      </c>
      <c r="J277" s="72"/>
      <c r="K277" s="72"/>
    </row>
    <row r="278">
      <c r="A278" s="69"/>
      <c r="B278" s="8"/>
      <c r="E278" s="70"/>
      <c r="F278" s="70" t="str">
        <f t="array" ref="F278">IF(E278="","",IFERROR(_xlfn.XLOOKUP(E278,SyncCodex!N:N,SyncCodex!O:O),""))</f>
        <v/>
      </c>
      <c r="G278" s="71"/>
      <c r="H278" s="71" t="str">
        <f t="shared" si="1"/>
        <v/>
      </c>
      <c r="I278" s="8" t="b">
        <v>0</v>
      </c>
      <c r="J278" s="72"/>
      <c r="K278" s="72"/>
    </row>
    <row r="279">
      <c r="A279" s="69"/>
      <c r="B279" s="8"/>
      <c r="E279" s="70"/>
      <c r="F279" s="70" t="str">
        <f t="array" ref="F279">IF(E279="","",IFERROR(_xlfn.XLOOKUP(E279,SyncCodex!N:N,SyncCodex!O:O),""))</f>
        <v/>
      </c>
      <c r="G279" s="71"/>
      <c r="H279" s="71" t="str">
        <f t="shared" si="1"/>
        <v/>
      </c>
      <c r="I279" s="8" t="b">
        <v>0</v>
      </c>
      <c r="J279" s="72"/>
      <c r="K279" s="72"/>
    </row>
    <row r="280">
      <c r="A280" s="69"/>
      <c r="B280" s="8"/>
      <c r="E280" s="70"/>
      <c r="F280" s="70" t="str">
        <f t="array" ref="F280">IF(E280="","",IFERROR(_xlfn.XLOOKUP(E280,SyncCodex!N:N,SyncCodex!O:O),""))</f>
        <v/>
      </c>
      <c r="G280" s="71"/>
      <c r="H280" s="71" t="str">
        <f t="shared" si="1"/>
        <v/>
      </c>
      <c r="I280" s="8" t="b">
        <v>0</v>
      </c>
      <c r="J280" s="72"/>
      <c r="K280" s="72"/>
    </row>
    <row r="281">
      <c r="A281" s="69"/>
      <c r="B281" s="8"/>
      <c r="E281" s="70"/>
      <c r="F281" s="70" t="str">
        <f t="array" ref="F281">IF(E281="","",IFERROR(_xlfn.XLOOKUP(E281,SyncCodex!N:N,SyncCodex!O:O),""))</f>
        <v/>
      </c>
      <c r="G281" s="71"/>
      <c r="H281" s="71" t="str">
        <f t="shared" si="1"/>
        <v/>
      </c>
      <c r="I281" s="8" t="b">
        <v>0</v>
      </c>
      <c r="J281" s="72"/>
      <c r="K281" s="72"/>
    </row>
    <row r="282">
      <c r="A282" s="69"/>
      <c r="B282" s="8"/>
      <c r="E282" s="70"/>
      <c r="F282" s="70" t="str">
        <f t="array" ref="F282">IF(E282="","",IFERROR(_xlfn.XLOOKUP(E282,SyncCodex!N:N,SyncCodex!O:O),""))</f>
        <v/>
      </c>
      <c r="G282" s="71"/>
      <c r="H282" s="71" t="str">
        <f t="shared" si="1"/>
        <v/>
      </c>
      <c r="I282" s="8" t="b">
        <v>0</v>
      </c>
      <c r="J282" s="72"/>
      <c r="K282" s="72"/>
    </row>
    <row r="283">
      <c r="A283" s="69"/>
      <c r="B283" s="8"/>
      <c r="E283" s="70"/>
      <c r="F283" s="70" t="str">
        <f t="array" ref="F283">IF(E283="","",IFERROR(_xlfn.XLOOKUP(E283,SyncCodex!N:N,SyncCodex!O:O),""))</f>
        <v/>
      </c>
      <c r="G283" s="71"/>
      <c r="H283" s="71" t="str">
        <f t="shared" si="1"/>
        <v/>
      </c>
      <c r="I283" s="8" t="b">
        <v>0</v>
      </c>
      <c r="J283" s="72"/>
      <c r="K283" s="72"/>
    </row>
    <row r="284">
      <c r="A284" s="69"/>
      <c r="B284" s="8"/>
      <c r="E284" s="70"/>
      <c r="F284" s="70" t="str">
        <f t="array" ref="F284">IF(E284="","",IFERROR(_xlfn.XLOOKUP(E284,SyncCodex!N:N,SyncCodex!O:O),""))</f>
        <v/>
      </c>
      <c r="G284" s="71"/>
      <c r="H284" s="71" t="str">
        <f t="shared" si="1"/>
        <v/>
      </c>
      <c r="I284" s="8" t="b">
        <v>0</v>
      </c>
      <c r="J284" s="72"/>
      <c r="K284" s="72"/>
    </row>
    <row r="285">
      <c r="A285" s="69"/>
      <c r="B285" s="8"/>
      <c r="E285" s="70"/>
      <c r="F285" s="70" t="str">
        <f t="array" ref="F285">IF(E285="","",IFERROR(_xlfn.XLOOKUP(E285,SyncCodex!N:N,SyncCodex!O:O),""))</f>
        <v/>
      </c>
      <c r="G285" s="71"/>
      <c r="H285" s="71" t="str">
        <f t="shared" si="1"/>
        <v/>
      </c>
      <c r="I285" s="8" t="b">
        <v>0</v>
      </c>
      <c r="J285" s="72"/>
      <c r="K285" s="72"/>
    </row>
    <row r="286">
      <c r="A286" s="69"/>
      <c r="B286" s="8"/>
      <c r="E286" s="70"/>
      <c r="F286" s="70" t="str">
        <f t="array" ref="F286">IF(E286="","",IFERROR(_xlfn.XLOOKUP(E286,SyncCodex!N:N,SyncCodex!O:O),""))</f>
        <v/>
      </c>
      <c r="G286" s="71"/>
      <c r="H286" s="71" t="str">
        <f t="shared" si="1"/>
        <v/>
      </c>
      <c r="I286" s="8" t="b">
        <v>0</v>
      </c>
      <c r="J286" s="72"/>
      <c r="K286" s="72"/>
    </row>
    <row r="287">
      <c r="A287" s="69"/>
      <c r="B287" s="8"/>
      <c r="E287" s="70"/>
      <c r="F287" s="70" t="str">
        <f t="array" ref="F287">IF(E287="","",IFERROR(_xlfn.XLOOKUP(E287,SyncCodex!N:N,SyncCodex!O:O),""))</f>
        <v/>
      </c>
      <c r="G287" s="71"/>
      <c r="H287" s="71" t="str">
        <f t="shared" si="1"/>
        <v/>
      </c>
      <c r="I287" s="8" t="b">
        <v>0</v>
      </c>
      <c r="J287" s="72"/>
      <c r="K287" s="72"/>
    </row>
    <row r="288">
      <c r="A288" s="69"/>
      <c r="B288" s="8"/>
      <c r="E288" s="70"/>
      <c r="F288" s="70" t="str">
        <f t="array" ref="F288">IF(E288="","",IFERROR(_xlfn.XLOOKUP(E288,SyncCodex!N:N,SyncCodex!O:O),""))</f>
        <v/>
      </c>
      <c r="G288" s="71"/>
      <c r="H288" s="71" t="str">
        <f t="shared" si="1"/>
        <v/>
      </c>
      <c r="I288" s="8" t="b">
        <v>0</v>
      </c>
      <c r="J288" s="72"/>
      <c r="K288" s="72"/>
    </row>
    <row r="289">
      <c r="A289" s="69"/>
      <c r="B289" s="8"/>
      <c r="E289" s="70"/>
      <c r="F289" s="70" t="str">
        <f t="array" ref="F289">IF(E289="","",IFERROR(_xlfn.XLOOKUP(E289,SyncCodex!N:N,SyncCodex!O:O),""))</f>
        <v/>
      </c>
      <c r="G289" s="71"/>
      <c r="H289" s="71" t="str">
        <f t="shared" si="1"/>
        <v/>
      </c>
      <c r="I289" s="8" t="b">
        <v>0</v>
      </c>
      <c r="J289" s="72"/>
      <c r="K289" s="72"/>
    </row>
    <row r="290">
      <c r="A290" s="69"/>
      <c r="B290" s="8"/>
      <c r="E290" s="70"/>
      <c r="F290" s="70" t="str">
        <f t="array" ref="F290">IF(E290="","",IFERROR(_xlfn.XLOOKUP(E290,SyncCodex!N:N,SyncCodex!O:O),""))</f>
        <v/>
      </c>
      <c r="G290" s="71"/>
      <c r="H290" s="71" t="str">
        <f t="shared" si="1"/>
        <v/>
      </c>
      <c r="I290" s="8" t="b">
        <v>0</v>
      </c>
      <c r="J290" s="72"/>
      <c r="K290" s="72"/>
    </row>
    <row r="291">
      <c r="A291" s="69"/>
      <c r="B291" s="8"/>
      <c r="E291" s="70"/>
      <c r="F291" s="70" t="str">
        <f t="array" ref="F291">IF(E291="","",IFERROR(_xlfn.XLOOKUP(E291,SyncCodex!N:N,SyncCodex!O:O),""))</f>
        <v/>
      </c>
      <c r="G291" s="71"/>
      <c r="H291" s="71" t="str">
        <f t="shared" si="1"/>
        <v/>
      </c>
      <c r="I291" s="8" t="b">
        <v>0</v>
      </c>
      <c r="J291" s="72"/>
      <c r="K291" s="72"/>
    </row>
    <row r="292">
      <c r="A292" s="69"/>
      <c r="B292" s="8"/>
      <c r="E292" s="70"/>
      <c r="F292" s="70" t="str">
        <f t="array" ref="F292">IF(E292="","",IFERROR(_xlfn.XLOOKUP(E292,SyncCodex!N:N,SyncCodex!O:O),""))</f>
        <v/>
      </c>
      <c r="G292" s="71"/>
      <c r="H292" s="71" t="str">
        <f t="shared" si="1"/>
        <v/>
      </c>
      <c r="I292" s="8" t="b">
        <v>0</v>
      </c>
      <c r="J292" s="72"/>
      <c r="K292" s="72"/>
    </row>
    <row r="293">
      <c r="A293" s="69"/>
      <c r="B293" s="8"/>
      <c r="E293" s="70"/>
      <c r="F293" s="70" t="str">
        <f t="array" ref="F293">IF(E293="","",IFERROR(_xlfn.XLOOKUP(E293,SyncCodex!N:N,SyncCodex!O:O),""))</f>
        <v/>
      </c>
      <c r="G293" s="71"/>
      <c r="H293" s="71" t="str">
        <f t="shared" si="1"/>
        <v/>
      </c>
      <c r="I293" s="8" t="b">
        <v>0</v>
      </c>
      <c r="J293" s="72"/>
      <c r="K293" s="72"/>
    </row>
    <row r="294">
      <c r="A294" s="69"/>
      <c r="B294" s="8"/>
      <c r="E294" s="70"/>
      <c r="F294" s="70" t="str">
        <f t="array" ref="F294">IF(E294="","",IFERROR(_xlfn.XLOOKUP(E294,SyncCodex!N:N,SyncCodex!O:O),""))</f>
        <v/>
      </c>
      <c r="G294" s="71"/>
      <c r="H294" s="71" t="str">
        <f t="shared" si="1"/>
        <v/>
      </c>
      <c r="I294" s="8" t="b">
        <v>0</v>
      </c>
      <c r="J294" s="72"/>
      <c r="K294" s="72"/>
    </row>
    <row r="295">
      <c r="A295" s="69"/>
      <c r="B295" s="8"/>
      <c r="E295" s="70"/>
      <c r="F295" s="70" t="str">
        <f t="array" ref="F295">IF(E295="","",IFERROR(_xlfn.XLOOKUP(E295,SyncCodex!N:N,SyncCodex!O:O),""))</f>
        <v/>
      </c>
      <c r="G295" s="71"/>
      <c r="H295" s="71" t="str">
        <f t="shared" si="1"/>
        <v/>
      </c>
      <c r="I295" s="8" t="b">
        <v>0</v>
      </c>
      <c r="J295" s="72"/>
      <c r="K295" s="72"/>
    </row>
    <row r="296">
      <c r="A296" s="69"/>
      <c r="B296" s="8"/>
      <c r="E296" s="70"/>
      <c r="F296" s="70" t="str">
        <f t="array" ref="F296">IF(E296="","",IFERROR(_xlfn.XLOOKUP(E296,SyncCodex!N:N,SyncCodex!O:O),""))</f>
        <v/>
      </c>
      <c r="G296" s="71"/>
      <c r="H296" s="71" t="str">
        <f t="shared" si="1"/>
        <v/>
      </c>
      <c r="I296" s="8" t="b">
        <v>0</v>
      </c>
      <c r="J296" s="72"/>
      <c r="K296" s="72"/>
    </row>
    <row r="297">
      <c r="A297" s="69"/>
      <c r="B297" s="8"/>
      <c r="E297" s="70"/>
      <c r="F297" s="70" t="str">
        <f t="array" ref="F297">IF(E297="","",IFERROR(_xlfn.XLOOKUP(E297,SyncCodex!N:N,SyncCodex!O:O),""))</f>
        <v/>
      </c>
      <c r="G297" s="71"/>
      <c r="H297" s="71" t="str">
        <f t="shared" si="1"/>
        <v/>
      </c>
      <c r="I297" s="8" t="b">
        <v>0</v>
      </c>
      <c r="J297" s="72"/>
      <c r="K297" s="72"/>
    </row>
    <row r="298">
      <c r="A298" s="69"/>
      <c r="B298" s="8"/>
      <c r="E298" s="70"/>
      <c r="F298" s="70" t="str">
        <f t="array" ref="F298">IF(E298="","",IFERROR(_xlfn.XLOOKUP(E298,SyncCodex!N:N,SyncCodex!O:O),""))</f>
        <v/>
      </c>
      <c r="G298" s="71"/>
      <c r="H298" s="71" t="str">
        <f t="shared" si="1"/>
        <v/>
      </c>
      <c r="I298" s="8" t="b">
        <v>0</v>
      </c>
      <c r="J298" s="72"/>
      <c r="K298" s="72"/>
    </row>
    <row r="299">
      <c r="A299" s="69"/>
      <c r="B299" s="8"/>
      <c r="E299" s="70"/>
      <c r="F299" s="70" t="str">
        <f t="array" ref="F299">IF(E299="","",IFERROR(_xlfn.XLOOKUP(E299,SyncCodex!N:N,SyncCodex!O:O),""))</f>
        <v/>
      </c>
      <c r="G299" s="71"/>
      <c r="H299" s="71" t="str">
        <f t="shared" si="1"/>
        <v/>
      </c>
      <c r="I299" s="8" t="b">
        <v>0</v>
      </c>
      <c r="J299" s="72"/>
      <c r="K299" s="72"/>
    </row>
    <row r="300">
      <c r="A300" s="69"/>
      <c r="B300" s="8"/>
      <c r="E300" s="70"/>
      <c r="F300" s="70" t="str">
        <f t="array" ref="F300">IF(E300="","",IFERROR(_xlfn.XLOOKUP(E300,SyncCodex!N:N,SyncCodex!O:O),""))</f>
        <v/>
      </c>
      <c r="G300" s="71"/>
      <c r="H300" s="71" t="str">
        <f t="shared" si="1"/>
        <v/>
      </c>
      <c r="I300" s="8" t="b">
        <v>0</v>
      </c>
      <c r="J300" s="72"/>
      <c r="K300" s="72"/>
    </row>
    <row r="301">
      <c r="A301" s="69"/>
      <c r="B301" s="8"/>
      <c r="E301" s="70"/>
      <c r="F301" s="70" t="str">
        <f t="array" ref="F301">IF(E301="","",IFERROR(_xlfn.XLOOKUP(E301,SyncCodex!N:N,SyncCodex!O:O),""))</f>
        <v/>
      </c>
      <c r="G301" s="71"/>
      <c r="H301" s="71" t="str">
        <f t="shared" si="1"/>
        <v/>
      </c>
      <c r="I301" s="8" t="b">
        <v>0</v>
      </c>
      <c r="J301" s="72"/>
      <c r="K301" s="72"/>
    </row>
    <row r="302">
      <c r="A302" s="69"/>
      <c r="B302" s="8"/>
      <c r="E302" s="70"/>
      <c r="F302" s="70" t="str">
        <f t="array" ref="F302">IF(E302="","",IFERROR(_xlfn.XLOOKUP(E302,SyncCodex!N:N,SyncCodex!O:O),""))</f>
        <v/>
      </c>
      <c r="G302" s="71"/>
      <c r="H302" s="71" t="str">
        <f t="shared" si="1"/>
        <v/>
      </c>
      <c r="I302" s="8" t="b">
        <v>0</v>
      </c>
      <c r="J302" s="72"/>
      <c r="K302" s="72"/>
    </row>
    <row r="303">
      <c r="A303" s="69"/>
      <c r="B303" s="8"/>
      <c r="E303" s="70"/>
      <c r="F303" s="70" t="str">
        <f t="array" ref="F303">IF(E303="","",IFERROR(_xlfn.XLOOKUP(E303,SyncCodex!N:N,SyncCodex!O:O),""))</f>
        <v/>
      </c>
      <c r="G303" s="71"/>
      <c r="H303" s="71" t="str">
        <f t="shared" si="1"/>
        <v/>
      </c>
      <c r="I303" s="8" t="b">
        <v>0</v>
      </c>
      <c r="J303" s="72"/>
      <c r="K303" s="72"/>
    </row>
    <row r="304">
      <c r="A304" s="69"/>
      <c r="B304" s="8"/>
      <c r="E304" s="70"/>
      <c r="F304" s="70" t="str">
        <f t="array" ref="F304">IF(E304="","",IFERROR(_xlfn.XLOOKUP(E304,SyncCodex!N:N,SyncCodex!O:O),""))</f>
        <v/>
      </c>
      <c r="G304" s="71"/>
      <c r="H304" s="71" t="str">
        <f t="shared" si="1"/>
        <v/>
      </c>
      <c r="I304" s="8" t="b">
        <v>0</v>
      </c>
      <c r="J304" s="72"/>
      <c r="K304" s="72"/>
    </row>
    <row r="305">
      <c r="A305" s="69"/>
      <c r="B305" s="8"/>
      <c r="E305" s="70"/>
      <c r="F305" s="70" t="str">
        <f t="array" ref="F305">IF(E305="","",IFERROR(_xlfn.XLOOKUP(E305,SyncCodex!N:N,SyncCodex!O:O),""))</f>
        <v/>
      </c>
      <c r="G305" s="71"/>
      <c r="H305" s="71" t="str">
        <f t="shared" si="1"/>
        <v/>
      </c>
      <c r="I305" s="8" t="b">
        <v>0</v>
      </c>
      <c r="J305" s="72"/>
      <c r="K305" s="72"/>
    </row>
    <row r="306">
      <c r="A306" s="69"/>
      <c r="B306" s="8"/>
      <c r="E306" s="70"/>
      <c r="F306" s="70" t="str">
        <f t="array" ref="F306">IF(E306="","",IFERROR(_xlfn.XLOOKUP(E306,SyncCodex!N:N,SyncCodex!O:O),""))</f>
        <v/>
      </c>
      <c r="G306" s="71"/>
      <c r="H306" s="71" t="str">
        <f t="shared" si="1"/>
        <v/>
      </c>
      <c r="I306" s="8" t="b">
        <v>0</v>
      </c>
      <c r="J306" s="72"/>
      <c r="K306" s="72"/>
    </row>
    <row r="307">
      <c r="A307" s="69"/>
      <c r="B307" s="8"/>
      <c r="E307" s="70"/>
      <c r="F307" s="70" t="str">
        <f t="array" ref="F307">IF(E307="","",IFERROR(_xlfn.XLOOKUP(E307,SyncCodex!N:N,SyncCodex!O:O),""))</f>
        <v/>
      </c>
      <c r="G307" s="71"/>
      <c r="H307" s="71" t="str">
        <f t="shared" si="1"/>
        <v/>
      </c>
      <c r="I307" s="8" t="b">
        <v>0</v>
      </c>
      <c r="J307" s="72"/>
      <c r="K307" s="72"/>
    </row>
    <row r="308">
      <c r="A308" s="69"/>
      <c r="B308" s="8"/>
      <c r="E308" s="70"/>
      <c r="F308" s="70" t="str">
        <f t="array" ref="F308">IF(E308="","",IFERROR(_xlfn.XLOOKUP(E308,SyncCodex!N:N,SyncCodex!O:O),""))</f>
        <v/>
      </c>
      <c r="G308" s="71"/>
      <c r="H308" s="71" t="str">
        <f t="shared" si="1"/>
        <v/>
      </c>
      <c r="I308" s="8" t="b">
        <v>0</v>
      </c>
      <c r="J308" s="72"/>
      <c r="K308" s="72"/>
    </row>
    <row r="309">
      <c r="A309" s="69"/>
      <c r="B309" s="8"/>
      <c r="E309" s="70"/>
      <c r="F309" s="70" t="str">
        <f t="array" ref="F309">IF(E309="","",IFERROR(_xlfn.XLOOKUP(E309,SyncCodex!N:N,SyncCodex!O:O),""))</f>
        <v/>
      </c>
      <c r="G309" s="71"/>
      <c r="H309" s="71" t="str">
        <f t="shared" si="1"/>
        <v/>
      </c>
      <c r="I309" s="8" t="b">
        <v>0</v>
      </c>
      <c r="J309" s="72"/>
      <c r="K309" s="72"/>
    </row>
    <row r="310">
      <c r="A310" s="69"/>
      <c r="B310" s="8"/>
      <c r="E310" s="70"/>
      <c r="F310" s="70" t="str">
        <f t="array" ref="F310">IF(E310="","",IFERROR(_xlfn.XLOOKUP(E310,SyncCodex!N:N,SyncCodex!O:O),""))</f>
        <v/>
      </c>
      <c r="G310" s="71"/>
      <c r="H310" s="71" t="str">
        <f t="shared" si="1"/>
        <v/>
      </c>
      <c r="I310" s="8" t="b">
        <v>0</v>
      </c>
      <c r="J310" s="72"/>
      <c r="K310" s="72"/>
    </row>
    <row r="311">
      <c r="A311" s="69"/>
      <c r="B311" s="8"/>
      <c r="E311" s="70"/>
      <c r="F311" s="70" t="str">
        <f t="array" ref="F311">IF(E311="","",IFERROR(_xlfn.XLOOKUP(E311,SyncCodex!N:N,SyncCodex!O:O),""))</f>
        <v/>
      </c>
      <c r="G311" s="71"/>
      <c r="H311" s="71" t="str">
        <f t="shared" si="1"/>
        <v/>
      </c>
      <c r="I311" s="8" t="b">
        <v>0</v>
      </c>
      <c r="J311" s="72"/>
      <c r="K311" s="72"/>
    </row>
    <row r="312">
      <c r="A312" s="69"/>
      <c r="B312" s="8"/>
      <c r="E312" s="70"/>
      <c r="F312" s="70" t="str">
        <f t="array" ref="F312">IF(E312="","",IFERROR(_xlfn.XLOOKUP(E312,SyncCodex!N:N,SyncCodex!O:O),""))</f>
        <v/>
      </c>
      <c r="G312" s="71"/>
      <c r="H312" s="71" t="str">
        <f t="shared" si="1"/>
        <v/>
      </c>
      <c r="I312" s="8" t="b">
        <v>0</v>
      </c>
      <c r="J312" s="72"/>
      <c r="K312" s="72"/>
    </row>
    <row r="313">
      <c r="A313" s="69"/>
      <c r="B313" s="8"/>
      <c r="E313" s="70"/>
      <c r="F313" s="70" t="str">
        <f t="array" ref="F313">IF(E313="","",IFERROR(_xlfn.XLOOKUP(E313,SyncCodex!N:N,SyncCodex!O:O),""))</f>
        <v/>
      </c>
      <c r="G313" s="71"/>
      <c r="H313" s="71" t="str">
        <f t="shared" si="1"/>
        <v/>
      </c>
      <c r="I313" s="8" t="b">
        <v>0</v>
      </c>
      <c r="J313" s="72"/>
      <c r="K313" s="72"/>
    </row>
    <row r="314">
      <c r="A314" s="69"/>
      <c r="B314" s="8"/>
      <c r="E314" s="70"/>
      <c r="F314" s="70" t="str">
        <f t="array" ref="F314">IF(E314="","",IFERROR(_xlfn.XLOOKUP(E314,SyncCodex!N:N,SyncCodex!O:O),""))</f>
        <v/>
      </c>
      <c r="G314" s="71"/>
      <c r="H314" s="71" t="str">
        <f t="shared" si="1"/>
        <v/>
      </c>
      <c r="I314" s="8" t="b">
        <v>0</v>
      </c>
      <c r="J314" s="72"/>
      <c r="K314" s="72"/>
    </row>
    <row r="315">
      <c r="A315" s="69"/>
      <c r="B315" s="8"/>
      <c r="E315" s="70"/>
      <c r="F315" s="70" t="str">
        <f t="array" ref="F315">IF(E315="","",IFERROR(_xlfn.XLOOKUP(E315,SyncCodex!N:N,SyncCodex!O:O),""))</f>
        <v/>
      </c>
      <c r="G315" s="71"/>
      <c r="H315" s="71" t="str">
        <f t="shared" si="1"/>
        <v/>
      </c>
      <c r="I315" s="8" t="b">
        <v>0</v>
      </c>
      <c r="J315" s="72"/>
      <c r="K315" s="72"/>
    </row>
    <row r="316">
      <c r="A316" s="69"/>
      <c r="B316" s="8"/>
      <c r="E316" s="70"/>
      <c r="F316" s="70" t="str">
        <f t="array" ref="F316">IF(E316="","",IFERROR(_xlfn.XLOOKUP(E316,SyncCodex!N:N,SyncCodex!O:O),""))</f>
        <v/>
      </c>
      <c r="G316" s="71"/>
      <c r="H316" s="71" t="str">
        <f t="shared" si="1"/>
        <v/>
      </c>
      <c r="I316" s="8" t="b">
        <v>0</v>
      </c>
      <c r="J316" s="72"/>
      <c r="K316" s="72"/>
    </row>
    <row r="317">
      <c r="A317" s="69"/>
      <c r="B317" s="8"/>
      <c r="E317" s="70"/>
      <c r="F317" s="70" t="str">
        <f t="array" ref="F317">IF(E317="","",IFERROR(_xlfn.XLOOKUP(E317,SyncCodex!N:N,SyncCodex!O:O),""))</f>
        <v/>
      </c>
      <c r="G317" s="71"/>
      <c r="H317" s="71" t="str">
        <f t="shared" si="1"/>
        <v/>
      </c>
      <c r="I317" s="8" t="b">
        <v>0</v>
      </c>
      <c r="J317" s="72"/>
      <c r="K317" s="72"/>
    </row>
    <row r="318">
      <c r="A318" s="69"/>
      <c r="B318" s="8"/>
      <c r="E318" s="70"/>
      <c r="F318" s="70" t="str">
        <f t="array" ref="F318">IF(E318="","",IFERROR(_xlfn.XLOOKUP(E318,SyncCodex!N:N,SyncCodex!O:O),""))</f>
        <v/>
      </c>
      <c r="G318" s="71"/>
      <c r="H318" s="71" t="str">
        <f t="shared" si="1"/>
        <v/>
      </c>
      <c r="I318" s="8" t="b">
        <v>0</v>
      </c>
      <c r="J318" s="72"/>
      <c r="K318" s="72"/>
    </row>
    <row r="319">
      <c r="A319" s="69"/>
      <c r="B319" s="8"/>
      <c r="E319" s="70"/>
      <c r="F319" s="70" t="str">
        <f t="array" ref="F319">IF(E319="","",IFERROR(_xlfn.XLOOKUP(E319,SyncCodex!N:N,SyncCodex!O:O),""))</f>
        <v/>
      </c>
      <c r="G319" s="71"/>
      <c r="H319" s="71" t="str">
        <f t="shared" si="1"/>
        <v/>
      </c>
      <c r="I319" s="8" t="b">
        <v>0</v>
      </c>
      <c r="J319" s="72"/>
      <c r="K319" s="72"/>
    </row>
    <row r="320">
      <c r="A320" s="69"/>
      <c r="B320" s="8"/>
      <c r="E320" s="70"/>
      <c r="F320" s="70" t="str">
        <f t="array" ref="F320">IF(E320="","",IFERROR(_xlfn.XLOOKUP(E320,SyncCodex!N:N,SyncCodex!O:O),""))</f>
        <v/>
      </c>
      <c r="G320" s="71"/>
      <c r="H320" s="71" t="str">
        <f t="shared" si="1"/>
        <v/>
      </c>
      <c r="I320" s="8" t="b">
        <v>0</v>
      </c>
      <c r="J320" s="72"/>
      <c r="K320" s="72"/>
    </row>
    <row r="321">
      <c r="A321" s="69"/>
      <c r="B321" s="8"/>
      <c r="E321" s="70"/>
      <c r="F321" s="70" t="str">
        <f t="array" ref="F321">IF(E321="","",IFERROR(_xlfn.XLOOKUP(E321,SyncCodex!N:N,SyncCodex!O:O),""))</f>
        <v/>
      </c>
      <c r="G321" s="71"/>
      <c r="H321" s="71" t="str">
        <f t="shared" si="1"/>
        <v/>
      </c>
      <c r="I321" s="8" t="b">
        <v>0</v>
      </c>
      <c r="J321" s="72"/>
      <c r="K321" s="72"/>
    </row>
    <row r="322">
      <c r="A322" s="69"/>
      <c r="B322" s="8"/>
      <c r="E322" s="70"/>
      <c r="F322" s="70" t="str">
        <f t="array" ref="F322">IF(E322="","",IFERROR(_xlfn.XLOOKUP(E322,SyncCodex!N:N,SyncCodex!O:O),""))</f>
        <v/>
      </c>
      <c r="G322" s="71"/>
      <c r="H322" s="71" t="str">
        <f t="shared" si="1"/>
        <v/>
      </c>
      <c r="I322" s="8" t="b">
        <v>0</v>
      </c>
      <c r="J322" s="72"/>
      <c r="K322" s="72"/>
    </row>
    <row r="323">
      <c r="A323" s="69"/>
      <c r="B323" s="8"/>
      <c r="E323" s="70"/>
      <c r="F323" s="70" t="str">
        <f t="array" ref="F323">IF(E323="","",IFERROR(_xlfn.XLOOKUP(E323,SyncCodex!N:N,SyncCodex!O:O),""))</f>
        <v/>
      </c>
      <c r="G323" s="71"/>
      <c r="H323" s="71" t="str">
        <f t="shared" si="1"/>
        <v/>
      </c>
      <c r="I323" s="8" t="b">
        <v>0</v>
      </c>
      <c r="J323" s="72"/>
      <c r="K323" s="72"/>
    </row>
    <row r="324">
      <c r="A324" s="69"/>
      <c r="B324" s="8"/>
      <c r="E324" s="70"/>
      <c r="F324" s="70" t="str">
        <f t="array" ref="F324">IF(E324="","",IFERROR(_xlfn.XLOOKUP(E324,SyncCodex!N:N,SyncCodex!O:O),""))</f>
        <v/>
      </c>
      <c r="G324" s="71"/>
      <c r="H324" s="71" t="str">
        <f t="shared" si="1"/>
        <v/>
      </c>
      <c r="I324" s="8" t="b">
        <v>0</v>
      </c>
      <c r="J324" s="72"/>
      <c r="K324" s="72"/>
    </row>
    <row r="325">
      <c r="A325" s="69"/>
      <c r="B325" s="8"/>
      <c r="E325" s="70"/>
      <c r="F325" s="70" t="str">
        <f t="array" ref="F325">IF(E325="","",IFERROR(_xlfn.XLOOKUP(E325,SyncCodex!N:N,SyncCodex!O:O),""))</f>
        <v/>
      </c>
      <c r="G325" s="71"/>
      <c r="H325" s="71" t="str">
        <f t="shared" si="1"/>
        <v/>
      </c>
      <c r="I325" s="8" t="b">
        <v>0</v>
      </c>
      <c r="J325" s="72"/>
      <c r="K325" s="72"/>
    </row>
    <row r="326">
      <c r="A326" s="69"/>
      <c r="B326" s="8"/>
      <c r="E326" s="70"/>
      <c r="F326" s="70" t="str">
        <f t="array" ref="F326">IF(E326="","",IFERROR(_xlfn.XLOOKUP(E326,SyncCodex!N:N,SyncCodex!O:O),""))</f>
        <v/>
      </c>
      <c r="G326" s="71"/>
      <c r="H326" s="71" t="str">
        <f t="shared" si="1"/>
        <v/>
      </c>
      <c r="I326" s="8" t="b">
        <v>0</v>
      </c>
      <c r="J326" s="72"/>
      <c r="K326" s="72"/>
    </row>
    <row r="327">
      <c r="A327" s="69"/>
      <c r="B327" s="8"/>
      <c r="E327" s="70"/>
      <c r="F327" s="70" t="str">
        <f t="array" ref="F327">IF(E327="","",IFERROR(_xlfn.XLOOKUP(E327,SyncCodex!N:N,SyncCodex!O:O),""))</f>
        <v/>
      </c>
      <c r="G327" s="71"/>
      <c r="H327" s="71" t="str">
        <f t="shared" si="1"/>
        <v/>
      </c>
      <c r="I327" s="8" t="b">
        <v>0</v>
      </c>
      <c r="J327" s="72"/>
      <c r="K327" s="72"/>
    </row>
    <row r="328">
      <c r="A328" s="69"/>
      <c r="B328" s="8"/>
      <c r="E328" s="70"/>
      <c r="F328" s="70" t="str">
        <f t="array" ref="F328">IF(E328="","",IFERROR(_xlfn.XLOOKUP(E328,SyncCodex!N:N,SyncCodex!O:O),""))</f>
        <v/>
      </c>
      <c r="G328" s="71"/>
      <c r="H328" s="71" t="str">
        <f t="shared" si="1"/>
        <v/>
      </c>
      <c r="I328" s="8" t="b">
        <v>0</v>
      </c>
      <c r="J328" s="72"/>
      <c r="K328" s="72"/>
    </row>
    <row r="329">
      <c r="A329" s="69"/>
      <c r="B329" s="8"/>
      <c r="E329" s="70"/>
      <c r="F329" s="70" t="str">
        <f t="array" ref="F329">IF(E329="","",IFERROR(_xlfn.XLOOKUP(E329,SyncCodex!N:N,SyncCodex!O:O),""))</f>
        <v/>
      </c>
      <c r="G329" s="71"/>
      <c r="H329" s="71" t="str">
        <f t="shared" si="1"/>
        <v/>
      </c>
      <c r="I329" s="8" t="b">
        <v>0</v>
      </c>
      <c r="J329" s="72"/>
      <c r="K329" s="72"/>
    </row>
    <row r="330">
      <c r="A330" s="69"/>
      <c r="B330" s="8"/>
      <c r="E330" s="70"/>
      <c r="F330" s="70" t="str">
        <f t="array" ref="F330">IF(E330="","",IFERROR(_xlfn.XLOOKUP(E330,SyncCodex!N:N,SyncCodex!O:O),""))</f>
        <v/>
      </c>
      <c r="G330" s="71"/>
      <c r="H330" s="71" t="str">
        <f t="shared" si="1"/>
        <v/>
      </c>
      <c r="I330" s="8" t="b">
        <v>0</v>
      </c>
      <c r="J330" s="72"/>
      <c r="K330" s="72"/>
    </row>
    <row r="331">
      <c r="A331" s="69"/>
      <c r="B331" s="8"/>
      <c r="E331" s="70"/>
      <c r="F331" s="70" t="str">
        <f t="array" ref="F331">IF(E331="","",IFERROR(_xlfn.XLOOKUP(E331,SyncCodex!N:N,SyncCodex!O:O),""))</f>
        <v/>
      </c>
      <c r="G331" s="71"/>
      <c r="H331" s="71" t="str">
        <f t="shared" si="1"/>
        <v/>
      </c>
      <c r="I331" s="8" t="b">
        <v>0</v>
      </c>
      <c r="J331" s="72"/>
      <c r="K331" s="72"/>
    </row>
    <row r="332">
      <c r="A332" s="69"/>
      <c r="B332" s="8"/>
      <c r="E332" s="70"/>
      <c r="F332" s="70" t="str">
        <f t="array" ref="F332">IF(E332="","",IFERROR(_xlfn.XLOOKUP(E332,SyncCodex!N:N,SyncCodex!O:O),""))</f>
        <v/>
      </c>
      <c r="G332" s="71"/>
      <c r="H332" s="71" t="str">
        <f t="shared" si="1"/>
        <v/>
      </c>
      <c r="I332" s="8" t="b">
        <v>0</v>
      </c>
      <c r="J332" s="72"/>
      <c r="K332" s="72"/>
    </row>
    <row r="333">
      <c r="A333" s="69"/>
      <c r="B333" s="8"/>
      <c r="E333" s="70"/>
      <c r="F333" s="70" t="str">
        <f t="array" ref="F333">IF(E333="","",IFERROR(_xlfn.XLOOKUP(E333,SyncCodex!N:N,SyncCodex!O:O),""))</f>
        <v/>
      </c>
      <c r="G333" s="71"/>
      <c r="H333" s="71" t="str">
        <f t="shared" si="1"/>
        <v/>
      </c>
      <c r="I333" s="8" t="b">
        <v>0</v>
      </c>
      <c r="J333" s="72"/>
      <c r="K333" s="72"/>
    </row>
    <row r="334">
      <c r="A334" s="69"/>
      <c r="B334" s="8"/>
      <c r="E334" s="70"/>
      <c r="F334" s="70" t="str">
        <f t="array" ref="F334">IF(E334="","",IFERROR(_xlfn.XLOOKUP(E334,SyncCodex!N:N,SyncCodex!O:O),""))</f>
        <v/>
      </c>
      <c r="G334" s="71"/>
      <c r="H334" s="71" t="str">
        <f t="shared" si="1"/>
        <v/>
      </c>
      <c r="I334" s="8" t="b">
        <v>0</v>
      </c>
      <c r="J334" s="72"/>
      <c r="K334" s="72"/>
    </row>
    <row r="335">
      <c r="A335" s="69"/>
      <c r="B335" s="8"/>
      <c r="E335" s="70"/>
      <c r="F335" s="70" t="str">
        <f t="array" ref="F335">IF(E335="","",IFERROR(_xlfn.XLOOKUP(E335,SyncCodex!N:N,SyncCodex!O:O),""))</f>
        <v/>
      </c>
      <c r="G335" s="71"/>
      <c r="H335" s="71" t="str">
        <f t="shared" si="1"/>
        <v/>
      </c>
      <c r="I335" s="8" t="b">
        <v>0</v>
      </c>
      <c r="J335" s="72"/>
      <c r="K335" s="72"/>
    </row>
    <row r="336">
      <c r="A336" s="69"/>
      <c r="B336" s="8"/>
      <c r="E336" s="70"/>
      <c r="F336" s="70" t="str">
        <f t="array" ref="F336">IF(E336="","",IFERROR(_xlfn.XLOOKUP(E336,SyncCodex!N:N,SyncCodex!O:O),""))</f>
        <v/>
      </c>
      <c r="G336" s="71"/>
      <c r="H336" s="71" t="str">
        <f t="shared" si="1"/>
        <v/>
      </c>
      <c r="I336" s="8" t="b">
        <v>0</v>
      </c>
      <c r="J336" s="72"/>
      <c r="K336" s="72"/>
    </row>
    <row r="337">
      <c r="A337" s="69"/>
      <c r="B337" s="8"/>
      <c r="E337" s="70"/>
      <c r="F337" s="70" t="str">
        <f t="array" ref="F337">IF(E337="","",IFERROR(_xlfn.XLOOKUP(E337,SyncCodex!N:N,SyncCodex!O:O),""))</f>
        <v/>
      </c>
      <c r="G337" s="71"/>
      <c r="H337" s="71" t="str">
        <f t="shared" si="1"/>
        <v/>
      </c>
      <c r="I337" s="8" t="b">
        <v>0</v>
      </c>
      <c r="J337" s="72"/>
      <c r="K337" s="72"/>
    </row>
    <row r="338">
      <c r="A338" s="69"/>
      <c r="B338" s="8"/>
      <c r="E338" s="70"/>
      <c r="F338" s="70" t="str">
        <f t="array" ref="F338">IF(E338="","",IFERROR(_xlfn.XLOOKUP(E338,SyncCodex!N:N,SyncCodex!O:O),""))</f>
        <v/>
      </c>
      <c r="G338" s="71"/>
      <c r="H338" s="71" t="str">
        <f t="shared" si="1"/>
        <v/>
      </c>
      <c r="I338" s="8" t="b">
        <v>0</v>
      </c>
      <c r="J338" s="72"/>
      <c r="K338" s="72"/>
    </row>
    <row r="339">
      <c r="A339" s="69"/>
      <c r="B339" s="8"/>
      <c r="E339" s="70"/>
      <c r="F339" s="70" t="str">
        <f t="array" ref="F339">IF(E339="","",IFERROR(_xlfn.XLOOKUP(E339,SyncCodex!N:N,SyncCodex!O:O),""))</f>
        <v/>
      </c>
      <c r="G339" s="71"/>
      <c r="H339" s="71" t="str">
        <f t="shared" si="1"/>
        <v/>
      </c>
      <c r="I339" s="8" t="b">
        <v>0</v>
      </c>
      <c r="J339" s="72"/>
      <c r="K339" s="72"/>
    </row>
    <row r="340">
      <c r="A340" s="69"/>
      <c r="B340" s="8"/>
      <c r="E340" s="70"/>
      <c r="F340" s="70" t="str">
        <f t="array" ref="F340">IF(E340="","",IFERROR(_xlfn.XLOOKUP(E340,SyncCodex!N:N,SyncCodex!O:O),""))</f>
        <v/>
      </c>
      <c r="G340" s="71"/>
      <c r="H340" s="71" t="str">
        <f t="shared" si="1"/>
        <v/>
      </c>
      <c r="I340" s="8" t="b">
        <v>0</v>
      </c>
      <c r="J340" s="72"/>
      <c r="K340" s="72"/>
    </row>
    <row r="341">
      <c r="A341" s="69"/>
      <c r="B341" s="8"/>
      <c r="E341" s="70"/>
      <c r="F341" s="70" t="str">
        <f t="array" ref="F341">IF(E341="","",IFERROR(_xlfn.XLOOKUP(E341,SyncCodex!N:N,SyncCodex!O:O),""))</f>
        <v/>
      </c>
      <c r="G341" s="71"/>
      <c r="H341" s="71" t="str">
        <f t="shared" si="1"/>
        <v/>
      </c>
      <c r="I341" s="8" t="b">
        <v>0</v>
      </c>
      <c r="J341" s="72"/>
      <c r="K341" s="72"/>
    </row>
    <row r="342">
      <c r="A342" s="69"/>
      <c r="B342" s="8"/>
      <c r="E342" s="70"/>
      <c r="F342" s="70" t="str">
        <f t="array" ref="F342">IF(E342="","",IFERROR(_xlfn.XLOOKUP(E342,SyncCodex!N:N,SyncCodex!O:O),""))</f>
        <v/>
      </c>
      <c r="G342" s="71"/>
      <c r="H342" s="71" t="str">
        <f t="shared" si="1"/>
        <v/>
      </c>
      <c r="I342" s="8" t="b">
        <v>0</v>
      </c>
      <c r="J342" s="72"/>
      <c r="K342" s="72"/>
    </row>
    <row r="343">
      <c r="A343" s="69"/>
      <c r="B343" s="8"/>
      <c r="E343" s="70"/>
      <c r="F343" s="70" t="str">
        <f t="array" ref="F343">IF(E343="","",IFERROR(_xlfn.XLOOKUP(E343,SyncCodex!N:N,SyncCodex!O:O),""))</f>
        <v/>
      </c>
      <c r="G343" s="71"/>
      <c r="H343" s="71" t="str">
        <f t="shared" si="1"/>
        <v/>
      </c>
      <c r="I343" s="8" t="b">
        <v>0</v>
      </c>
      <c r="J343" s="72"/>
      <c r="K343" s="72"/>
    </row>
    <row r="344">
      <c r="A344" s="69"/>
      <c r="B344" s="8"/>
      <c r="E344" s="70"/>
      <c r="F344" s="70" t="str">
        <f t="array" ref="F344">IF(E344="","",IFERROR(_xlfn.XLOOKUP(E344,SyncCodex!N:N,SyncCodex!O:O),""))</f>
        <v/>
      </c>
      <c r="G344" s="71"/>
      <c r="H344" s="71" t="str">
        <f t="shared" si="1"/>
        <v/>
      </c>
      <c r="I344" s="8" t="b">
        <v>0</v>
      </c>
      <c r="J344" s="72"/>
      <c r="K344" s="72"/>
    </row>
    <row r="345">
      <c r="A345" s="69"/>
      <c r="B345" s="8"/>
      <c r="E345" s="70"/>
      <c r="F345" s="70" t="str">
        <f t="array" ref="F345">IF(E345="","",IFERROR(_xlfn.XLOOKUP(E345,SyncCodex!N:N,SyncCodex!O:O),""))</f>
        <v/>
      </c>
      <c r="G345" s="71"/>
      <c r="H345" s="71" t="str">
        <f t="shared" si="1"/>
        <v/>
      </c>
      <c r="I345" s="8" t="b">
        <v>0</v>
      </c>
      <c r="J345" s="72"/>
      <c r="K345" s="72"/>
    </row>
    <row r="346">
      <c r="A346" s="69"/>
      <c r="B346" s="8"/>
      <c r="E346" s="70"/>
      <c r="F346" s="70" t="str">
        <f t="array" ref="F346">IF(E346="","",IFERROR(_xlfn.XLOOKUP(E346,SyncCodex!N:N,SyncCodex!O:O),""))</f>
        <v/>
      </c>
      <c r="G346" s="71"/>
      <c r="H346" s="71" t="str">
        <f t="shared" si="1"/>
        <v/>
      </c>
      <c r="I346" s="8" t="b">
        <v>0</v>
      </c>
      <c r="J346" s="72"/>
      <c r="K346" s="72"/>
    </row>
    <row r="347">
      <c r="A347" s="69"/>
      <c r="B347" s="8"/>
      <c r="E347" s="70"/>
      <c r="F347" s="70" t="str">
        <f t="array" ref="F347">IF(E347="","",IFERROR(_xlfn.XLOOKUP(E347,SyncCodex!N:N,SyncCodex!O:O),""))</f>
        <v/>
      </c>
      <c r="G347" s="71"/>
      <c r="H347" s="71" t="str">
        <f t="shared" si="1"/>
        <v/>
      </c>
      <c r="I347" s="8" t="b">
        <v>0</v>
      </c>
      <c r="J347" s="72"/>
      <c r="K347" s="72"/>
    </row>
    <row r="348">
      <c r="A348" s="69"/>
      <c r="B348" s="8"/>
      <c r="E348" s="70"/>
      <c r="F348" s="70" t="str">
        <f t="array" ref="F348">IF(E348="","",IFERROR(_xlfn.XLOOKUP(E348,SyncCodex!N:N,SyncCodex!O:O),""))</f>
        <v/>
      </c>
      <c r="G348" s="71"/>
      <c r="H348" s="71" t="str">
        <f t="shared" si="1"/>
        <v/>
      </c>
      <c r="I348" s="8" t="b">
        <v>0</v>
      </c>
      <c r="J348" s="72"/>
      <c r="K348" s="72"/>
    </row>
    <row r="349">
      <c r="A349" s="69"/>
      <c r="B349" s="8"/>
      <c r="E349" s="70"/>
      <c r="F349" s="70" t="str">
        <f t="array" ref="F349">IF(E349="","",IFERROR(_xlfn.XLOOKUP(E349,SyncCodex!N:N,SyncCodex!O:O),""))</f>
        <v/>
      </c>
      <c r="G349" s="71"/>
      <c r="H349" s="71" t="str">
        <f t="shared" si="1"/>
        <v/>
      </c>
      <c r="I349" s="8" t="b">
        <v>0</v>
      </c>
      <c r="J349" s="72"/>
      <c r="K349" s="72"/>
    </row>
    <row r="350">
      <c r="A350" s="69"/>
      <c r="B350" s="8"/>
      <c r="E350" s="70"/>
      <c r="F350" s="70" t="str">
        <f t="array" ref="F350">IF(E350="","",IFERROR(_xlfn.XLOOKUP(E350,SyncCodex!N:N,SyncCodex!O:O),""))</f>
        <v/>
      </c>
      <c r="G350" s="71"/>
      <c r="H350" s="71" t="str">
        <f t="shared" si="1"/>
        <v/>
      </c>
      <c r="I350" s="8" t="b">
        <v>0</v>
      </c>
      <c r="J350" s="72"/>
      <c r="K350" s="72"/>
    </row>
    <row r="351">
      <c r="A351" s="69"/>
      <c r="B351" s="8"/>
      <c r="E351" s="70"/>
      <c r="F351" s="70" t="str">
        <f t="array" ref="F351">IF(E351="","",IFERROR(_xlfn.XLOOKUP(E351,SyncCodex!N:N,SyncCodex!O:O),""))</f>
        <v/>
      </c>
      <c r="G351" s="71"/>
      <c r="H351" s="71" t="str">
        <f t="shared" si="1"/>
        <v/>
      </c>
      <c r="I351" s="8" t="b">
        <v>0</v>
      </c>
      <c r="J351" s="72"/>
      <c r="K351" s="72"/>
    </row>
    <row r="352">
      <c r="A352" s="69"/>
      <c r="B352" s="8"/>
      <c r="E352" s="70"/>
      <c r="F352" s="70" t="str">
        <f t="array" ref="F352">IF(E352="","",IFERROR(_xlfn.XLOOKUP(E352,SyncCodex!N:N,SyncCodex!O:O),""))</f>
        <v/>
      </c>
      <c r="G352" s="71"/>
      <c r="H352" s="71" t="str">
        <f t="shared" si="1"/>
        <v/>
      </c>
      <c r="I352" s="8" t="b">
        <v>0</v>
      </c>
      <c r="J352" s="72"/>
      <c r="K352" s="72"/>
    </row>
    <row r="353">
      <c r="A353" s="69"/>
      <c r="B353" s="8"/>
      <c r="E353" s="70"/>
      <c r="F353" s="70" t="str">
        <f t="array" ref="F353">IF(E353="","",IFERROR(_xlfn.XLOOKUP(E353,SyncCodex!N:N,SyncCodex!O:O),""))</f>
        <v/>
      </c>
      <c r="G353" s="71"/>
      <c r="H353" s="71" t="str">
        <f t="shared" si="1"/>
        <v/>
      </c>
      <c r="I353" s="8" t="b">
        <v>0</v>
      </c>
      <c r="J353" s="72"/>
      <c r="K353" s="72"/>
    </row>
    <row r="354">
      <c r="A354" s="69"/>
      <c r="B354" s="8"/>
      <c r="E354" s="70"/>
      <c r="F354" s="70" t="str">
        <f t="array" ref="F354">IF(E354="","",IFERROR(_xlfn.XLOOKUP(E354,SyncCodex!N:N,SyncCodex!O:O),""))</f>
        <v/>
      </c>
      <c r="G354" s="71"/>
      <c r="H354" s="71" t="str">
        <f t="shared" si="1"/>
        <v/>
      </c>
      <c r="I354" s="8" t="b">
        <v>0</v>
      </c>
      <c r="J354" s="72"/>
      <c r="K354" s="72"/>
    </row>
    <row r="355">
      <c r="A355" s="69"/>
      <c r="B355" s="8"/>
      <c r="E355" s="70"/>
      <c r="F355" s="70" t="str">
        <f t="array" ref="F355">IF(E355="","",IFERROR(_xlfn.XLOOKUP(E355,SyncCodex!N:N,SyncCodex!O:O),""))</f>
        <v/>
      </c>
      <c r="G355" s="71"/>
      <c r="H355" s="71" t="str">
        <f t="shared" si="1"/>
        <v/>
      </c>
      <c r="I355" s="8" t="b">
        <v>0</v>
      </c>
      <c r="J355" s="72"/>
      <c r="K355" s="72"/>
    </row>
    <row r="356">
      <c r="A356" s="69"/>
      <c r="B356" s="8"/>
      <c r="E356" s="70"/>
      <c r="F356" s="70" t="str">
        <f t="array" ref="F356">IF(E356="","",IFERROR(_xlfn.XLOOKUP(E356,SyncCodex!N:N,SyncCodex!O:O),""))</f>
        <v/>
      </c>
      <c r="G356" s="71"/>
      <c r="H356" s="71" t="str">
        <f t="shared" si="1"/>
        <v/>
      </c>
      <c r="I356" s="8" t="b">
        <v>0</v>
      </c>
      <c r="J356" s="72"/>
      <c r="K356" s="72"/>
    </row>
    <row r="357">
      <c r="A357" s="69"/>
      <c r="B357" s="8"/>
      <c r="E357" s="70"/>
      <c r="F357" s="70" t="str">
        <f t="array" ref="F357">IF(E357="","",IFERROR(_xlfn.XLOOKUP(E357,SyncCodex!N:N,SyncCodex!O:O),""))</f>
        <v/>
      </c>
      <c r="G357" s="71"/>
      <c r="H357" s="71" t="str">
        <f t="shared" si="1"/>
        <v/>
      </c>
      <c r="I357" s="8" t="b">
        <v>0</v>
      </c>
      <c r="J357" s="72"/>
      <c r="K357" s="72"/>
    </row>
    <row r="358">
      <c r="A358" s="69"/>
      <c r="B358" s="8"/>
      <c r="E358" s="70"/>
      <c r="F358" s="70" t="str">
        <f t="array" ref="F358">IF(E358="","",IFERROR(_xlfn.XLOOKUP(E358,SyncCodex!N:N,SyncCodex!O:O),""))</f>
        <v/>
      </c>
      <c r="G358" s="71"/>
      <c r="H358" s="71" t="str">
        <f t="shared" si="1"/>
        <v/>
      </c>
      <c r="I358" s="8" t="b">
        <v>0</v>
      </c>
      <c r="J358" s="72"/>
      <c r="K358" s="72"/>
    </row>
    <row r="359">
      <c r="A359" s="69"/>
      <c r="B359" s="8"/>
      <c r="E359" s="70"/>
      <c r="F359" s="70" t="str">
        <f t="array" ref="F359">IF(E359="","",IFERROR(_xlfn.XLOOKUP(E359,SyncCodex!N:N,SyncCodex!O:O),""))</f>
        <v/>
      </c>
      <c r="G359" s="71"/>
      <c r="H359" s="71" t="str">
        <f t="shared" si="1"/>
        <v/>
      </c>
      <c r="I359" s="8" t="b">
        <v>0</v>
      </c>
      <c r="J359" s="72"/>
      <c r="K359" s="72"/>
    </row>
    <row r="360">
      <c r="A360" s="69"/>
      <c r="B360" s="8"/>
      <c r="E360" s="70"/>
      <c r="F360" s="70" t="str">
        <f t="array" ref="F360">IF(E360="","",IFERROR(_xlfn.XLOOKUP(E360,SyncCodex!N:N,SyncCodex!O:O),""))</f>
        <v/>
      </c>
      <c r="G360" s="71"/>
      <c r="H360" s="71" t="str">
        <f t="shared" si="1"/>
        <v/>
      </c>
      <c r="I360" s="8" t="b">
        <v>0</v>
      </c>
      <c r="J360" s="72"/>
      <c r="K360" s="72"/>
    </row>
    <row r="361">
      <c r="A361" s="69"/>
      <c r="B361" s="8"/>
      <c r="E361" s="70"/>
      <c r="F361" s="70" t="str">
        <f t="array" ref="F361">IF(E361="","",IFERROR(_xlfn.XLOOKUP(E361,SyncCodex!N:N,SyncCodex!O:O),""))</f>
        <v/>
      </c>
      <c r="G361" s="71"/>
      <c r="H361" s="71" t="str">
        <f t="shared" si="1"/>
        <v/>
      </c>
      <c r="I361" s="8" t="b">
        <v>0</v>
      </c>
      <c r="J361" s="72"/>
      <c r="K361" s="72"/>
    </row>
    <row r="362">
      <c r="A362" s="69"/>
      <c r="B362" s="8"/>
      <c r="E362" s="70"/>
      <c r="F362" s="70" t="str">
        <f t="array" ref="F362">IF(E362="","",IFERROR(_xlfn.XLOOKUP(E362,SyncCodex!N:N,SyncCodex!O:O),""))</f>
        <v/>
      </c>
      <c r="G362" s="71"/>
      <c r="H362" s="71" t="str">
        <f t="shared" si="1"/>
        <v/>
      </c>
      <c r="I362" s="8" t="b">
        <v>0</v>
      </c>
      <c r="J362" s="72"/>
      <c r="K362" s="72"/>
    </row>
    <row r="363">
      <c r="A363" s="69"/>
      <c r="B363" s="8"/>
      <c r="E363" s="70"/>
      <c r="F363" s="70" t="str">
        <f t="array" ref="F363">IF(E363="","",IFERROR(_xlfn.XLOOKUP(E363,SyncCodex!N:N,SyncCodex!O:O),""))</f>
        <v/>
      </c>
      <c r="G363" s="71"/>
      <c r="H363" s="71" t="str">
        <f t="shared" si="1"/>
        <v/>
      </c>
      <c r="I363" s="8" t="b">
        <v>0</v>
      </c>
      <c r="J363" s="72"/>
      <c r="K363" s="72"/>
    </row>
    <row r="364">
      <c r="A364" s="69"/>
      <c r="B364" s="8"/>
      <c r="E364" s="70"/>
      <c r="F364" s="70" t="str">
        <f t="array" ref="F364">IF(E364="","",IFERROR(_xlfn.XLOOKUP(E364,SyncCodex!N:N,SyncCodex!O:O),""))</f>
        <v/>
      </c>
      <c r="G364" s="71"/>
      <c r="H364" s="71" t="str">
        <f t="shared" si="1"/>
        <v/>
      </c>
      <c r="I364" s="8" t="b">
        <v>0</v>
      </c>
      <c r="J364" s="72"/>
      <c r="K364" s="72"/>
    </row>
    <row r="365">
      <c r="A365" s="69"/>
      <c r="B365" s="8"/>
      <c r="E365" s="70"/>
      <c r="F365" s="70" t="str">
        <f t="array" ref="F365">IF(E365="","",IFERROR(_xlfn.XLOOKUP(E365,SyncCodex!N:N,SyncCodex!O:O),""))</f>
        <v/>
      </c>
      <c r="G365" s="71"/>
      <c r="H365" s="71" t="str">
        <f t="shared" si="1"/>
        <v/>
      </c>
      <c r="I365" s="8" t="b">
        <v>0</v>
      </c>
      <c r="J365" s="72"/>
      <c r="K365" s="72"/>
    </row>
    <row r="366">
      <c r="A366" s="69"/>
      <c r="B366" s="8"/>
      <c r="E366" s="70"/>
      <c r="F366" s="70" t="str">
        <f t="array" ref="F366">IF(E366="","",IFERROR(_xlfn.XLOOKUP(E366,SyncCodex!N:N,SyncCodex!O:O),""))</f>
        <v/>
      </c>
      <c r="G366" s="71"/>
      <c r="H366" s="71" t="str">
        <f t="shared" si="1"/>
        <v/>
      </c>
      <c r="I366" s="8" t="b">
        <v>0</v>
      </c>
      <c r="J366" s="72"/>
      <c r="K366" s="72"/>
    </row>
    <row r="367">
      <c r="A367" s="69"/>
      <c r="B367" s="8"/>
      <c r="E367" s="70"/>
      <c r="F367" s="70" t="str">
        <f t="array" ref="F367">IF(E367="","",IFERROR(_xlfn.XLOOKUP(E367,SyncCodex!N:N,SyncCodex!O:O),""))</f>
        <v/>
      </c>
      <c r="G367" s="71"/>
      <c r="H367" s="71" t="str">
        <f t="shared" si="1"/>
        <v/>
      </c>
      <c r="I367" s="8" t="b">
        <v>0</v>
      </c>
      <c r="J367" s="72"/>
      <c r="K367" s="72"/>
    </row>
    <row r="368">
      <c r="A368" s="69"/>
      <c r="B368" s="8"/>
      <c r="E368" s="70"/>
      <c r="F368" s="70" t="str">
        <f t="array" ref="F368">IF(E368="","",IFERROR(_xlfn.XLOOKUP(E368,SyncCodex!N:N,SyncCodex!O:O),""))</f>
        <v/>
      </c>
      <c r="G368" s="71"/>
      <c r="H368" s="71" t="str">
        <f t="shared" si="1"/>
        <v/>
      </c>
      <c r="I368" s="8" t="b">
        <v>0</v>
      </c>
      <c r="J368" s="72"/>
      <c r="K368" s="72"/>
    </row>
    <row r="369">
      <c r="A369" s="69"/>
      <c r="B369" s="8"/>
      <c r="E369" s="70"/>
      <c r="F369" s="70" t="str">
        <f t="array" ref="F369">IF(E369="","",IFERROR(_xlfn.XLOOKUP(E369,SyncCodex!N:N,SyncCodex!O:O),""))</f>
        <v/>
      </c>
      <c r="G369" s="71"/>
      <c r="H369" s="71" t="str">
        <f t="shared" si="1"/>
        <v/>
      </c>
      <c r="I369" s="8" t="b">
        <v>0</v>
      </c>
      <c r="J369" s="72"/>
      <c r="K369" s="72"/>
    </row>
    <row r="370">
      <c r="A370" s="69"/>
      <c r="B370" s="8"/>
      <c r="E370" s="70"/>
      <c r="F370" s="70" t="str">
        <f t="array" ref="F370">IF(E370="","",IFERROR(_xlfn.XLOOKUP(E370,SyncCodex!N:N,SyncCodex!O:O),""))</f>
        <v/>
      </c>
      <c r="G370" s="71"/>
      <c r="H370" s="71" t="str">
        <f t="shared" si="1"/>
        <v/>
      </c>
      <c r="I370" s="8" t="b">
        <v>0</v>
      </c>
      <c r="J370" s="72"/>
      <c r="K370" s="72"/>
    </row>
    <row r="371">
      <c r="A371" s="69"/>
      <c r="B371" s="8"/>
      <c r="E371" s="70"/>
      <c r="F371" s="70" t="str">
        <f t="array" ref="F371">IF(E371="","",IFERROR(_xlfn.XLOOKUP(E371,SyncCodex!N:N,SyncCodex!O:O),""))</f>
        <v/>
      </c>
      <c r="G371" s="71"/>
      <c r="H371" s="71" t="str">
        <f t="shared" si="1"/>
        <v/>
      </c>
      <c r="I371" s="8" t="b">
        <v>0</v>
      </c>
      <c r="J371" s="72"/>
      <c r="K371" s="72"/>
    </row>
    <row r="372">
      <c r="A372" s="69"/>
      <c r="B372" s="8"/>
      <c r="E372" s="70"/>
      <c r="F372" s="70" t="str">
        <f t="array" ref="F372">IF(E372="","",IFERROR(_xlfn.XLOOKUP(E372,SyncCodex!N:N,SyncCodex!O:O),""))</f>
        <v/>
      </c>
      <c r="G372" s="71"/>
      <c r="H372" s="71" t="str">
        <f t="shared" si="1"/>
        <v/>
      </c>
      <c r="I372" s="8" t="b">
        <v>0</v>
      </c>
      <c r="J372" s="72"/>
      <c r="K372" s="72"/>
    </row>
    <row r="373">
      <c r="A373" s="69"/>
      <c r="B373" s="8"/>
      <c r="E373" s="70"/>
      <c r="F373" s="70" t="str">
        <f t="array" ref="F373">IF(E373="","",IFERROR(_xlfn.XLOOKUP(E373,SyncCodex!N:N,SyncCodex!O:O),""))</f>
        <v/>
      </c>
      <c r="G373" s="71"/>
      <c r="H373" s="71" t="str">
        <f t="shared" si="1"/>
        <v/>
      </c>
      <c r="I373" s="8" t="b">
        <v>0</v>
      </c>
      <c r="J373" s="72"/>
      <c r="K373" s="72"/>
    </row>
    <row r="374">
      <c r="A374" s="69"/>
      <c r="B374" s="8"/>
      <c r="E374" s="70"/>
      <c r="F374" s="70" t="str">
        <f t="array" ref="F374">IF(E374="","",IFERROR(_xlfn.XLOOKUP(E374,SyncCodex!N:N,SyncCodex!O:O),""))</f>
        <v/>
      </c>
      <c r="G374" s="71"/>
      <c r="H374" s="71" t="str">
        <f t="shared" si="1"/>
        <v/>
      </c>
      <c r="I374" s="8" t="b">
        <v>0</v>
      </c>
      <c r="J374" s="72"/>
      <c r="K374" s="72"/>
    </row>
    <row r="375">
      <c r="A375" s="69"/>
      <c r="B375" s="8"/>
      <c r="E375" s="70"/>
      <c r="F375" s="70" t="str">
        <f t="array" ref="F375">IF(E375="","",IFERROR(_xlfn.XLOOKUP(E375,SyncCodex!N:N,SyncCodex!O:O),""))</f>
        <v/>
      </c>
      <c r="G375" s="71"/>
      <c r="H375" s="71" t="str">
        <f t="shared" si="1"/>
        <v/>
      </c>
      <c r="I375" s="8" t="b">
        <v>0</v>
      </c>
      <c r="J375" s="72"/>
      <c r="K375" s="72"/>
    </row>
    <row r="376">
      <c r="A376" s="69"/>
      <c r="B376" s="8"/>
      <c r="E376" s="70"/>
      <c r="F376" s="70" t="str">
        <f t="array" ref="F376">IF(E376="","",IFERROR(_xlfn.XLOOKUP(E376,SyncCodex!N:N,SyncCodex!O:O),""))</f>
        <v/>
      </c>
      <c r="G376" s="71"/>
      <c r="H376" s="71" t="str">
        <f t="shared" si="1"/>
        <v/>
      </c>
      <c r="I376" s="8" t="b">
        <v>0</v>
      </c>
      <c r="J376" s="72"/>
      <c r="K376" s="72"/>
    </row>
    <row r="377">
      <c r="A377" s="69"/>
      <c r="B377" s="8"/>
      <c r="E377" s="70"/>
      <c r="F377" s="70" t="str">
        <f t="array" ref="F377">IF(E377="","",IFERROR(_xlfn.XLOOKUP(E377,SyncCodex!N:N,SyncCodex!O:O),""))</f>
        <v/>
      </c>
      <c r="G377" s="71"/>
      <c r="H377" s="71" t="str">
        <f t="shared" si="1"/>
        <v/>
      </c>
      <c r="I377" s="8" t="b">
        <v>0</v>
      </c>
      <c r="J377" s="72"/>
      <c r="K377" s="72"/>
    </row>
    <row r="378">
      <c r="A378" s="69"/>
      <c r="B378" s="8"/>
      <c r="E378" s="70"/>
      <c r="F378" s="70" t="str">
        <f t="array" ref="F378">IF(E378="","",IFERROR(_xlfn.XLOOKUP(E378,SyncCodex!N:N,SyncCodex!O:O),""))</f>
        <v/>
      </c>
      <c r="G378" s="71"/>
      <c r="H378" s="71" t="str">
        <f t="shared" si="1"/>
        <v/>
      </c>
      <c r="I378" s="8" t="b">
        <v>0</v>
      </c>
      <c r="J378" s="72"/>
      <c r="K378" s="72"/>
    </row>
    <row r="379">
      <c r="A379" s="69"/>
      <c r="B379" s="8"/>
      <c r="E379" s="70"/>
      <c r="F379" s="70" t="str">
        <f t="array" ref="F379">IF(E379="","",IFERROR(_xlfn.XLOOKUP(E379,SyncCodex!N:N,SyncCodex!O:O),""))</f>
        <v/>
      </c>
      <c r="G379" s="71"/>
      <c r="H379" s="71" t="str">
        <f t="shared" si="1"/>
        <v/>
      </c>
      <c r="I379" s="8" t="b">
        <v>0</v>
      </c>
      <c r="J379" s="72"/>
      <c r="K379" s="72"/>
    </row>
    <row r="380">
      <c r="A380" s="69"/>
      <c r="B380" s="8"/>
      <c r="E380" s="70"/>
      <c r="F380" s="70" t="str">
        <f t="array" ref="F380">IF(E380="","",IFERROR(_xlfn.XLOOKUP(E380,SyncCodex!N:N,SyncCodex!O:O),""))</f>
        <v/>
      </c>
      <c r="G380" s="71"/>
      <c r="H380" s="71" t="str">
        <f t="shared" si="1"/>
        <v/>
      </c>
      <c r="I380" s="8" t="b">
        <v>0</v>
      </c>
      <c r="J380" s="72"/>
      <c r="K380" s="72"/>
    </row>
    <row r="381">
      <c r="A381" s="69"/>
      <c r="B381" s="8"/>
      <c r="E381" s="70"/>
      <c r="F381" s="70" t="str">
        <f t="array" ref="F381">IF(E381="","",IFERROR(_xlfn.XLOOKUP(E381,SyncCodex!N:N,SyncCodex!O:O),""))</f>
        <v/>
      </c>
      <c r="G381" s="71"/>
      <c r="H381" s="71" t="str">
        <f t="shared" si="1"/>
        <v/>
      </c>
      <c r="I381" s="8" t="b">
        <v>0</v>
      </c>
      <c r="J381" s="72"/>
      <c r="K381" s="72"/>
    </row>
    <row r="382">
      <c r="A382" s="69"/>
      <c r="B382" s="8"/>
      <c r="E382" s="70"/>
      <c r="F382" s="70" t="str">
        <f t="array" ref="F382">IF(E382="","",IFERROR(_xlfn.XLOOKUP(E382,SyncCodex!N:N,SyncCodex!O:O),""))</f>
        <v/>
      </c>
      <c r="G382" s="71"/>
      <c r="H382" s="71" t="str">
        <f t="shared" si="1"/>
        <v/>
      </c>
      <c r="I382" s="8" t="b">
        <v>0</v>
      </c>
      <c r="J382" s="72"/>
      <c r="K382" s="72"/>
    </row>
    <row r="383">
      <c r="A383" s="69"/>
      <c r="B383" s="8"/>
      <c r="E383" s="70"/>
      <c r="F383" s="70" t="str">
        <f t="array" ref="F383">IF(E383="","",IFERROR(_xlfn.XLOOKUP(E383,SyncCodex!N:N,SyncCodex!O:O),""))</f>
        <v/>
      </c>
      <c r="G383" s="71"/>
      <c r="H383" s="71" t="str">
        <f t="shared" si="1"/>
        <v/>
      </c>
      <c r="I383" s="8" t="b">
        <v>0</v>
      </c>
      <c r="J383" s="72"/>
      <c r="K383" s="72"/>
    </row>
    <row r="384">
      <c r="A384" s="69"/>
      <c r="B384" s="8"/>
      <c r="E384" s="70"/>
      <c r="F384" s="70" t="str">
        <f t="array" ref="F384">IF(E384="","",IFERROR(_xlfn.XLOOKUP(E384,SyncCodex!N:N,SyncCodex!O:O),""))</f>
        <v/>
      </c>
      <c r="G384" s="71"/>
      <c r="H384" s="71" t="str">
        <f t="shared" si="1"/>
        <v/>
      </c>
      <c r="I384" s="8" t="b">
        <v>0</v>
      </c>
      <c r="J384" s="72"/>
      <c r="K384" s="72"/>
    </row>
    <row r="385">
      <c r="A385" s="69"/>
      <c r="B385" s="8"/>
      <c r="E385" s="70"/>
      <c r="F385" s="70" t="str">
        <f t="array" ref="F385">IF(E385="","",IFERROR(_xlfn.XLOOKUP(E385,SyncCodex!N:N,SyncCodex!O:O),""))</f>
        <v/>
      </c>
      <c r="G385" s="71"/>
      <c r="H385" s="71" t="str">
        <f t="shared" si="1"/>
        <v/>
      </c>
      <c r="I385" s="8" t="b">
        <v>0</v>
      </c>
      <c r="J385" s="72"/>
      <c r="K385" s="72"/>
    </row>
    <row r="386">
      <c r="A386" s="69"/>
      <c r="B386" s="8"/>
      <c r="E386" s="70"/>
      <c r="F386" s="70" t="str">
        <f t="array" ref="F386">IF(E386="","",IFERROR(_xlfn.XLOOKUP(E386,SyncCodex!N:N,SyncCodex!O:O),""))</f>
        <v/>
      </c>
      <c r="G386" s="71"/>
      <c r="H386" s="71" t="str">
        <f t="shared" si="1"/>
        <v/>
      </c>
      <c r="I386" s="8" t="b">
        <v>0</v>
      </c>
      <c r="J386" s="72"/>
      <c r="K386" s="72"/>
    </row>
    <row r="387">
      <c r="A387" s="69"/>
      <c r="B387" s="8"/>
      <c r="E387" s="70"/>
      <c r="F387" s="70" t="str">
        <f t="array" ref="F387">IF(E387="","",IFERROR(_xlfn.XLOOKUP(E387,SyncCodex!N:N,SyncCodex!O:O),""))</f>
        <v/>
      </c>
      <c r="G387" s="71"/>
      <c r="H387" s="71" t="str">
        <f t="shared" si="1"/>
        <v/>
      </c>
      <c r="I387" s="8" t="b">
        <v>0</v>
      </c>
      <c r="J387" s="72"/>
      <c r="K387" s="72"/>
    </row>
    <row r="388">
      <c r="A388" s="69"/>
      <c r="B388" s="8"/>
      <c r="E388" s="70"/>
      <c r="F388" s="70" t="str">
        <f t="array" ref="F388">IF(E388="","",IFERROR(_xlfn.XLOOKUP(E388,SyncCodex!N:N,SyncCodex!O:O),""))</f>
        <v/>
      </c>
      <c r="G388" s="71"/>
      <c r="H388" s="71" t="str">
        <f t="shared" si="1"/>
        <v/>
      </c>
      <c r="I388" s="8" t="b">
        <v>0</v>
      </c>
      <c r="J388" s="72"/>
      <c r="K388" s="72"/>
    </row>
    <row r="389">
      <c r="A389" s="69"/>
      <c r="B389" s="8"/>
      <c r="E389" s="70"/>
      <c r="F389" s="70" t="str">
        <f t="array" ref="F389">IF(E389="","",IFERROR(_xlfn.XLOOKUP(E389,SyncCodex!N:N,SyncCodex!O:O),""))</f>
        <v/>
      </c>
      <c r="G389" s="71"/>
      <c r="H389" s="71" t="str">
        <f t="shared" si="1"/>
        <v/>
      </c>
      <c r="I389" s="8" t="b">
        <v>0</v>
      </c>
      <c r="J389" s="72"/>
      <c r="K389" s="72"/>
    </row>
    <row r="390">
      <c r="A390" s="69"/>
      <c r="B390" s="8"/>
      <c r="E390" s="70"/>
      <c r="F390" s="70" t="str">
        <f t="array" ref="F390">IF(E390="","",IFERROR(_xlfn.XLOOKUP(E390,SyncCodex!N:N,SyncCodex!O:O),""))</f>
        <v/>
      </c>
      <c r="G390" s="71"/>
      <c r="H390" s="71" t="str">
        <f t="shared" si="1"/>
        <v/>
      </c>
      <c r="I390" s="8" t="b">
        <v>0</v>
      </c>
      <c r="J390" s="72"/>
      <c r="K390" s="72"/>
    </row>
    <row r="391">
      <c r="A391" s="69"/>
      <c r="B391" s="8"/>
      <c r="E391" s="70"/>
      <c r="F391" s="70" t="str">
        <f t="array" ref="F391">IF(E391="","",IFERROR(_xlfn.XLOOKUP(E391,SyncCodex!N:N,SyncCodex!O:O),""))</f>
        <v/>
      </c>
      <c r="G391" s="71"/>
      <c r="H391" s="71" t="str">
        <f t="shared" si="1"/>
        <v/>
      </c>
      <c r="I391" s="8" t="b">
        <v>0</v>
      </c>
      <c r="J391" s="72"/>
      <c r="K391" s="72"/>
    </row>
    <row r="392">
      <c r="A392" s="69"/>
      <c r="B392" s="8"/>
      <c r="E392" s="70"/>
      <c r="F392" s="70" t="str">
        <f t="array" ref="F392">IF(E392="","",IFERROR(_xlfn.XLOOKUP(E392,SyncCodex!N:N,SyncCodex!O:O),""))</f>
        <v/>
      </c>
      <c r="G392" s="71"/>
      <c r="H392" s="71" t="str">
        <f t="shared" si="1"/>
        <v/>
      </c>
      <c r="I392" s="8" t="b">
        <v>0</v>
      </c>
      <c r="J392" s="72"/>
      <c r="K392" s="72"/>
    </row>
    <row r="393">
      <c r="A393" s="69"/>
      <c r="B393" s="8"/>
      <c r="E393" s="70"/>
      <c r="F393" s="70" t="str">
        <f t="array" ref="F393">IF(E393="","",IFERROR(_xlfn.XLOOKUP(E393,SyncCodex!N:N,SyncCodex!O:O),""))</f>
        <v/>
      </c>
      <c r="G393" s="71"/>
      <c r="H393" s="71" t="str">
        <f t="shared" si="1"/>
        <v/>
      </c>
      <c r="I393" s="8" t="b">
        <v>0</v>
      </c>
      <c r="J393" s="72"/>
      <c r="K393" s="72"/>
    </row>
    <row r="394">
      <c r="A394" s="69"/>
      <c r="B394" s="8"/>
      <c r="E394" s="70"/>
      <c r="F394" s="70" t="str">
        <f t="array" ref="F394">IF(E394="","",IFERROR(_xlfn.XLOOKUP(E394,SyncCodex!N:N,SyncCodex!O:O),""))</f>
        <v/>
      </c>
      <c r="G394" s="71"/>
      <c r="H394" s="71" t="str">
        <f t="shared" si="1"/>
        <v/>
      </c>
      <c r="I394" s="8" t="b">
        <v>0</v>
      </c>
      <c r="J394" s="72"/>
      <c r="K394" s="72"/>
    </row>
    <row r="395">
      <c r="A395" s="69"/>
      <c r="B395" s="8"/>
      <c r="E395" s="70"/>
      <c r="F395" s="70" t="str">
        <f t="array" ref="F395">IF(E395="","",IFERROR(_xlfn.XLOOKUP(E395,SyncCodex!N:N,SyncCodex!O:O),""))</f>
        <v/>
      </c>
      <c r="G395" s="71"/>
      <c r="H395" s="71" t="str">
        <f t="shared" si="1"/>
        <v/>
      </c>
      <c r="I395" s="8" t="b">
        <v>0</v>
      </c>
      <c r="J395" s="72"/>
      <c r="K395" s="72"/>
    </row>
    <row r="396">
      <c r="A396" s="69"/>
      <c r="B396" s="8"/>
      <c r="E396" s="70"/>
      <c r="F396" s="70" t="str">
        <f t="array" ref="F396">IF(E396="","",IFERROR(_xlfn.XLOOKUP(E396,SyncCodex!N:N,SyncCodex!O:O),""))</f>
        <v/>
      </c>
      <c r="G396" s="71"/>
      <c r="H396" s="71" t="str">
        <f t="shared" si="1"/>
        <v/>
      </c>
      <c r="I396" s="8" t="b">
        <v>0</v>
      </c>
      <c r="J396" s="72"/>
      <c r="K396" s="72"/>
    </row>
    <row r="397">
      <c r="A397" s="69"/>
      <c r="B397" s="8"/>
      <c r="E397" s="70"/>
      <c r="F397" s="70" t="str">
        <f t="array" ref="F397">IF(E397="","",IFERROR(_xlfn.XLOOKUP(E397,SyncCodex!N:N,SyncCodex!O:O),""))</f>
        <v/>
      </c>
      <c r="G397" s="71"/>
      <c r="H397" s="71" t="str">
        <f t="shared" si="1"/>
        <v/>
      </c>
      <c r="I397" s="8" t="b">
        <v>0</v>
      </c>
      <c r="J397" s="72"/>
      <c r="K397" s="72"/>
    </row>
    <row r="398">
      <c r="A398" s="69"/>
      <c r="B398" s="8"/>
      <c r="E398" s="70"/>
      <c r="F398" s="70" t="str">
        <f t="array" ref="F398">IF(E398="","",IFERROR(_xlfn.XLOOKUP(E398,SyncCodex!N:N,SyncCodex!O:O),""))</f>
        <v/>
      </c>
      <c r="G398" s="71"/>
      <c r="H398" s="71" t="str">
        <f t="shared" si="1"/>
        <v/>
      </c>
      <c r="I398" s="8" t="b">
        <v>0</v>
      </c>
      <c r="J398" s="72"/>
      <c r="K398" s="72"/>
    </row>
    <row r="399">
      <c r="A399" s="69"/>
      <c r="B399" s="8"/>
      <c r="E399" s="70"/>
      <c r="F399" s="70" t="str">
        <f t="array" ref="F399">IF(E399="","",IFERROR(_xlfn.XLOOKUP(E399,SyncCodex!N:N,SyncCodex!O:O),""))</f>
        <v/>
      </c>
      <c r="G399" s="71"/>
      <c r="H399" s="71" t="str">
        <f t="shared" si="1"/>
        <v/>
      </c>
      <c r="I399" s="8" t="b">
        <v>0</v>
      </c>
      <c r="J399" s="72"/>
      <c r="K399" s="72"/>
    </row>
    <row r="400">
      <c r="A400" s="69"/>
      <c r="B400" s="8"/>
      <c r="E400" s="70"/>
      <c r="F400" s="70" t="str">
        <f t="array" ref="F400">IF(E400="","",IFERROR(_xlfn.XLOOKUP(E400,SyncCodex!N:N,SyncCodex!O:O),""))</f>
        <v/>
      </c>
      <c r="G400" s="71"/>
      <c r="H400" s="71" t="str">
        <f t="shared" si="1"/>
        <v/>
      </c>
      <c r="I400" s="8" t="b">
        <v>0</v>
      </c>
      <c r="J400" s="72"/>
      <c r="K400" s="72"/>
    </row>
    <row r="401">
      <c r="A401" s="69"/>
      <c r="B401" s="8"/>
      <c r="E401" s="70"/>
      <c r="F401" s="70" t="str">
        <f t="array" ref="F401">IF(E401="","",IFERROR(_xlfn.XLOOKUP(E401,SyncCodex!N:N,SyncCodex!O:O),""))</f>
        <v/>
      </c>
      <c r="G401" s="71"/>
      <c r="H401" s="71" t="str">
        <f t="shared" si="1"/>
        <v/>
      </c>
      <c r="I401" s="8" t="b">
        <v>0</v>
      </c>
      <c r="J401" s="72"/>
      <c r="K401" s="72"/>
    </row>
    <row r="402">
      <c r="A402" s="69"/>
      <c r="B402" s="8"/>
      <c r="E402" s="70"/>
      <c r="F402" s="70" t="str">
        <f t="array" ref="F402">IF(E402="","",IFERROR(_xlfn.XLOOKUP(E402,SyncCodex!N:N,SyncCodex!O:O),""))</f>
        <v/>
      </c>
      <c r="G402" s="71"/>
      <c r="H402" s="71" t="str">
        <f t="shared" si="1"/>
        <v/>
      </c>
      <c r="I402" s="8" t="b">
        <v>0</v>
      </c>
      <c r="J402" s="72"/>
      <c r="K402" s="72"/>
    </row>
    <row r="403">
      <c r="A403" s="69"/>
      <c r="B403" s="8"/>
      <c r="E403" s="70"/>
      <c r="F403" s="70" t="str">
        <f t="array" ref="F403">IF(E403="","",IFERROR(_xlfn.XLOOKUP(E403,SyncCodex!N:N,SyncCodex!O:O),""))</f>
        <v/>
      </c>
      <c r="G403" s="71"/>
      <c r="H403" s="71" t="str">
        <f t="shared" si="1"/>
        <v/>
      </c>
      <c r="I403" s="8" t="b">
        <v>0</v>
      </c>
      <c r="J403" s="72"/>
      <c r="K403" s="72"/>
    </row>
    <row r="404">
      <c r="A404" s="69"/>
      <c r="B404" s="8"/>
      <c r="E404" s="70"/>
      <c r="F404" s="70" t="str">
        <f t="array" ref="F404">IF(E404="","",IFERROR(_xlfn.XLOOKUP(E404,SyncCodex!N:N,SyncCodex!O:O),""))</f>
        <v/>
      </c>
      <c r="G404" s="71"/>
      <c r="H404" s="71" t="str">
        <f t="shared" si="1"/>
        <v/>
      </c>
      <c r="I404" s="8" t="b">
        <v>0</v>
      </c>
      <c r="J404" s="72"/>
      <c r="K404" s="72"/>
    </row>
    <row r="405">
      <c r="A405" s="69"/>
      <c r="B405" s="8"/>
      <c r="E405" s="70"/>
      <c r="F405" s="70" t="str">
        <f t="array" ref="F405">IF(E405="","",IFERROR(_xlfn.XLOOKUP(E405,SyncCodex!N:N,SyncCodex!O:O),""))</f>
        <v/>
      </c>
      <c r="G405" s="71"/>
      <c r="H405" s="71" t="str">
        <f t="shared" si="1"/>
        <v/>
      </c>
      <c r="I405" s="8" t="b">
        <v>0</v>
      </c>
      <c r="J405" s="72"/>
      <c r="K405" s="72"/>
    </row>
    <row r="406">
      <c r="A406" s="69"/>
      <c r="B406" s="8"/>
      <c r="E406" s="70"/>
      <c r="F406" s="70" t="str">
        <f t="array" ref="F406">IF(E406="","",IFERROR(_xlfn.XLOOKUP(E406,SyncCodex!N:N,SyncCodex!O:O),""))</f>
        <v/>
      </c>
      <c r="G406" s="71"/>
      <c r="H406" s="71" t="str">
        <f t="shared" si="1"/>
        <v/>
      </c>
      <c r="I406" s="8" t="b">
        <v>0</v>
      </c>
      <c r="J406" s="72"/>
      <c r="K406" s="72"/>
    </row>
    <row r="407">
      <c r="A407" s="69"/>
      <c r="B407" s="8"/>
      <c r="E407" s="70"/>
      <c r="F407" s="70" t="str">
        <f t="array" ref="F407">IF(E407="","",IFERROR(_xlfn.XLOOKUP(E407,SyncCodex!N:N,SyncCodex!O:O),""))</f>
        <v/>
      </c>
      <c r="G407" s="71"/>
      <c r="H407" s="71" t="str">
        <f t="shared" si="1"/>
        <v/>
      </c>
      <c r="I407" s="8" t="b">
        <v>0</v>
      </c>
      <c r="J407" s="72"/>
      <c r="K407" s="72"/>
    </row>
    <row r="408">
      <c r="A408" s="69"/>
      <c r="B408" s="8"/>
      <c r="E408" s="70"/>
      <c r="F408" s="70" t="str">
        <f t="array" ref="F408">IF(E408="","",IFERROR(_xlfn.XLOOKUP(E408,SyncCodex!N:N,SyncCodex!O:O),""))</f>
        <v/>
      </c>
      <c r="G408" s="71"/>
      <c r="H408" s="71" t="str">
        <f t="shared" si="1"/>
        <v/>
      </c>
      <c r="I408" s="8" t="b">
        <v>0</v>
      </c>
      <c r="J408" s="72"/>
      <c r="K408" s="72"/>
    </row>
    <row r="409">
      <c r="A409" s="69"/>
      <c r="B409" s="8"/>
      <c r="E409" s="70"/>
      <c r="F409" s="70" t="str">
        <f t="array" ref="F409">IF(E409="","",IFERROR(_xlfn.XLOOKUP(E409,SyncCodex!N:N,SyncCodex!O:O),""))</f>
        <v/>
      </c>
      <c r="G409" s="71"/>
      <c r="H409" s="71" t="str">
        <f t="shared" si="1"/>
        <v/>
      </c>
      <c r="I409" s="8" t="b">
        <v>0</v>
      </c>
      <c r="J409" s="72"/>
      <c r="K409" s="72"/>
    </row>
    <row r="410">
      <c r="A410" s="69"/>
      <c r="B410" s="8"/>
      <c r="E410" s="70"/>
      <c r="F410" s="70" t="str">
        <f t="array" ref="F410">IF(E410="","",IFERROR(_xlfn.XLOOKUP(E410,SyncCodex!N:N,SyncCodex!O:O),""))</f>
        <v/>
      </c>
      <c r="G410" s="71"/>
      <c r="H410" s="71" t="str">
        <f t="shared" si="1"/>
        <v/>
      </c>
      <c r="I410" s="8" t="b">
        <v>0</v>
      </c>
      <c r="J410" s="72"/>
      <c r="K410" s="72"/>
    </row>
    <row r="411">
      <c r="A411" s="69"/>
      <c r="B411" s="8"/>
      <c r="E411" s="70"/>
      <c r="F411" s="70" t="str">
        <f t="array" ref="F411">IF(E411="","",IFERROR(_xlfn.XLOOKUP(E411,SyncCodex!N:N,SyncCodex!O:O),""))</f>
        <v/>
      </c>
      <c r="G411" s="71"/>
      <c r="H411" s="71" t="str">
        <f t="shared" si="1"/>
        <v/>
      </c>
      <c r="I411" s="8" t="b">
        <v>0</v>
      </c>
      <c r="J411" s="72"/>
      <c r="K411" s="72"/>
    </row>
    <row r="412">
      <c r="A412" s="69"/>
      <c r="B412" s="8"/>
      <c r="E412" s="70"/>
      <c r="F412" s="70" t="str">
        <f t="array" ref="F412">IF(E412="","",IFERROR(_xlfn.XLOOKUP(E412,SyncCodex!N:N,SyncCodex!O:O),""))</f>
        <v/>
      </c>
      <c r="G412" s="71"/>
      <c r="H412" s="71" t="str">
        <f t="shared" si="1"/>
        <v/>
      </c>
      <c r="I412" s="8" t="b">
        <v>0</v>
      </c>
      <c r="J412" s="72"/>
      <c r="K412" s="72"/>
    </row>
    <row r="413">
      <c r="A413" s="69"/>
      <c r="B413" s="8"/>
      <c r="E413" s="70"/>
      <c r="F413" s="70" t="str">
        <f t="array" ref="F413">IF(E413="","",IFERROR(_xlfn.XLOOKUP(E413,SyncCodex!N:N,SyncCodex!O:O),""))</f>
        <v/>
      </c>
      <c r="G413" s="71"/>
      <c r="H413" s="71" t="str">
        <f t="shared" si="1"/>
        <v/>
      </c>
      <c r="I413" s="8" t="b">
        <v>0</v>
      </c>
      <c r="J413" s="72"/>
      <c r="K413" s="72"/>
    </row>
    <row r="414">
      <c r="A414" s="69"/>
      <c r="B414" s="8"/>
      <c r="E414" s="70"/>
      <c r="F414" s="70" t="str">
        <f t="array" ref="F414">IF(E414="","",IFERROR(_xlfn.XLOOKUP(E414,SyncCodex!N:N,SyncCodex!O:O),""))</f>
        <v/>
      </c>
      <c r="G414" s="71"/>
      <c r="H414" s="71" t="str">
        <f t="shared" si="1"/>
        <v/>
      </c>
      <c r="I414" s="8" t="b">
        <v>0</v>
      </c>
      <c r="J414" s="72"/>
      <c r="K414" s="72"/>
    </row>
    <row r="415">
      <c r="A415" s="69"/>
      <c r="B415" s="8"/>
      <c r="E415" s="70"/>
      <c r="F415" s="70" t="str">
        <f t="array" ref="F415">IF(E415="","",IFERROR(_xlfn.XLOOKUP(E415,SyncCodex!N:N,SyncCodex!O:O),""))</f>
        <v/>
      </c>
      <c r="G415" s="71"/>
      <c r="H415" s="71" t="str">
        <f t="shared" si="1"/>
        <v/>
      </c>
      <c r="I415" s="8" t="b">
        <v>0</v>
      </c>
      <c r="J415" s="72"/>
      <c r="K415" s="72"/>
    </row>
    <row r="416">
      <c r="A416" s="69"/>
      <c r="B416" s="8"/>
      <c r="E416" s="70"/>
      <c r="F416" s="70" t="str">
        <f t="array" ref="F416">IF(E416="","",IFERROR(_xlfn.XLOOKUP(E416,SyncCodex!N:N,SyncCodex!O:O),""))</f>
        <v/>
      </c>
      <c r="G416" s="71"/>
      <c r="H416" s="71" t="str">
        <f t="shared" si="1"/>
        <v/>
      </c>
      <c r="I416" s="8" t="b">
        <v>0</v>
      </c>
      <c r="J416" s="72"/>
      <c r="K416" s="72"/>
    </row>
    <row r="417">
      <c r="A417" s="69"/>
      <c r="B417" s="8"/>
      <c r="E417" s="70"/>
      <c r="F417" s="70" t="str">
        <f t="array" ref="F417">IF(E417="","",IFERROR(_xlfn.XLOOKUP(E417,SyncCodex!N:N,SyncCodex!O:O),""))</f>
        <v/>
      </c>
      <c r="G417" s="71"/>
      <c r="H417" s="71" t="str">
        <f t="shared" si="1"/>
        <v/>
      </c>
      <c r="I417" s="8" t="b">
        <v>0</v>
      </c>
      <c r="J417" s="72"/>
      <c r="K417" s="72"/>
    </row>
    <row r="418">
      <c r="A418" s="69"/>
      <c r="B418" s="8"/>
      <c r="E418" s="70"/>
      <c r="F418" s="70" t="str">
        <f t="array" ref="F418">IF(E418="","",IFERROR(_xlfn.XLOOKUP(E418,SyncCodex!N:N,SyncCodex!O:O),""))</f>
        <v/>
      </c>
      <c r="G418" s="71"/>
      <c r="H418" s="71" t="str">
        <f t="shared" si="1"/>
        <v/>
      </c>
      <c r="I418" s="8" t="b">
        <v>0</v>
      </c>
      <c r="J418" s="72"/>
      <c r="K418" s="72"/>
    </row>
    <row r="419">
      <c r="A419" s="69"/>
      <c r="B419" s="8"/>
      <c r="E419" s="70"/>
      <c r="F419" s="70" t="str">
        <f t="array" ref="F419">IF(E419="","",IFERROR(_xlfn.XLOOKUP(E419,SyncCodex!N:N,SyncCodex!O:O),""))</f>
        <v/>
      </c>
      <c r="G419" s="71"/>
      <c r="H419" s="71" t="str">
        <f t="shared" si="1"/>
        <v/>
      </c>
      <c r="I419" s="8" t="b">
        <v>0</v>
      </c>
      <c r="J419" s="72"/>
      <c r="K419" s="72"/>
    </row>
    <row r="420">
      <c r="A420" s="69"/>
      <c r="B420" s="8"/>
      <c r="E420" s="70"/>
      <c r="F420" s="70" t="str">
        <f t="array" ref="F420">IF(E420="","",IFERROR(_xlfn.XLOOKUP(E420,SyncCodex!N:N,SyncCodex!O:O),""))</f>
        <v/>
      </c>
      <c r="G420" s="71"/>
      <c r="H420" s="71" t="str">
        <f t="shared" si="1"/>
        <v/>
      </c>
      <c r="I420" s="8" t="b">
        <v>0</v>
      </c>
      <c r="J420" s="72"/>
      <c r="K420" s="72"/>
    </row>
    <row r="421">
      <c r="A421" s="69"/>
      <c r="B421" s="8"/>
      <c r="E421" s="70"/>
      <c r="F421" s="70" t="str">
        <f t="array" ref="F421">IF(E421="","",IFERROR(_xlfn.XLOOKUP(E421,SyncCodex!N:N,SyncCodex!O:O),""))</f>
        <v/>
      </c>
      <c r="G421" s="71"/>
      <c r="H421" s="71" t="str">
        <f t="shared" si="1"/>
        <v/>
      </c>
      <c r="I421" s="8" t="b">
        <v>0</v>
      </c>
      <c r="J421" s="72"/>
      <c r="K421" s="72"/>
    </row>
    <row r="422">
      <c r="A422" s="69"/>
      <c r="B422" s="8"/>
      <c r="E422" s="70"/>
      <c r="F422" s="70" t="str">
        <f t="array" ref="F422">IF(E422="","",IFERROR(_xlfn.XLOOKUP(E422,SyncCodex!N:N,SyncCodex!O:O),""))</f>
        <v/>
      </c>
      <c r="G422" s="71"/>
      <c r="H422" s="71" t="str">
        <f t="shared" si="1"/>
        <v/>
      </c>
      <c r="I422" s="8" t="b">
        <v>0</v>
      </c>
      <c r="J422" s="72"/>
      <c r="K422" s="72"/>
    </row>
    <row r="423">
      <c r="A423" s="69"/>
      <c r="B423" s="8"/>
      <c r="E423" s="70"/>
      <c r="F423" s="70" t="str">
        <f t="array" ref="F423">IF(E423="","",IFERROR(_xlfn.XLOOKUP(E423,SyncCodex!N:N,SyncCodex!O:O),""))</f>
        <v/>
      </c>
      <c r="G423" s="71"/>
      <c r="H423" s="71" t="str">
        <f t="shared" si="1"/>
        <v/>
      </c>
      <c r="I423" s="8" t="b">
        <v>0</v>
      </c>
      <c r="J423" s="72"/>
      <c r="K423" s="72"/>
    </row>
    <row r="424">
      <c r="A424" s="69"/>
      <c r="B424" s="8"/>
      <c r="E424" s="70"/>
      <c r="F424" s="70" t="str">
        <f t="array" ref="F424">IF(E424="","",IFERROR(_xlfn.XLOOKUP(E424,SyncCodex!N:N,SyncCodex!O:O),""))</f>
        <v/>
      </c>
      <c r="G424" s="71"/>
      <c r="H424" s="71" t="str">
        <f t="shared" si="1"/>
        <v/>
      </c>
      <c r="I424" s="8" t="b">
        <v>0</v>
      </c>
      <c r="J424" s="72"/>
      <c r="K424" s="72"/>
    </row>
    <row r="425">
      <c r="A425" s="69"/>
      <c r="B425" s="8"/>
      <c r="E425" s="70"/>
      <c r="F425" s="70" t="str">
        <f t="array" ref="F425">IF(E425="","",IFERROR(_xlfn.XLOOKUP(E425,SyncCodex!N:N,SyncCodex!O:O),""))</f>
        <v/>
      </c>
      <c r="G425" s="71"/>
      <c r="H425" s="71" t="str">
        <f t="shared" si="1"/>
        <v/>
      </c>
      <c r="I425" s="8" t="b">
        <v>0</v>
      </c>
      <c r="J425" s="72"/>
      <c r="K425" s="72"/>
    </row>
    <row r="426">
      <c r="A426" s="69"/>
      <c r="B426" s="8"/>
      <c r="E426" s="70"/>
      <c r="F426" s="70" t="str">
        <f t="array" ref="F426">IF(E426="","",IFERROR(_xlfn.XLOOKUP(E426,SyncCodex!N:N,SyncCodex!O:O),""))</f>
        <v/>
      </c>
      <c r="G426" s="71"/>
      <c r="H426" s="71" t="str">
        <f t="shared" si="1"/>
        <v/>
      </c>
      <c r="I426" s="8" t="b">
        <v>0</v>
      </c>
      <c r="J426" s="72"/>
      <c r="K426" s="72"/>
    </row>
    <row r="427">
      <c r="A427" s="69"/>
      <c r="B427" s="8"/>
      <c r="E427" s="70"/>
      <c r="F427" s="70" t="str">
        <f t="array" ref="F427">IF(E427="","",IFERROR(_xlfn.XLOOKUP(E427,SyncCodex!N:N,SyncCodex!O:O),""))</f>
        <v/>
      </c>
      <c r="G427" s="71"/>
      <c r="H427" s="71" t="str">
        <f t="shared" si="1"/>
        <v/>
      </c>
      <c r="I427" s="8" t="b">
        <v>0</v>
      </c>
      <c r="J427" s="72"/>
      <c r="K427" s="72"/>
    </row>
    <row r="428">
      <c r="A428" s="69"/>
      <c r="B428" s="8"/>
      <c r="E428" s="70"/>
      <c r="F428" s="70" t="str">
        <f t="array" ref="F428">IF(E428="","",IFERROR(_xlfn.XLOOKUP(E428,SyncCodex!N:N,SyncCodex!O:O),""))</f>
        <v/>
      </c>
      <c r="G428" s="71"/>
      <c r="H428" s="71" t="str">
        <f t="shared" si="1"/>
        <v/>
      </c>
      <c r="I428" s="8" t="b">
        <v>0</v>
      </c>
      <c r="J428" s="72"/>
      <c r="K428" s="72"/>
    </row>
    <row r="429">
      <c r="A429" s="69"/>
      <c r="B429" s="8"/>
      <c r="E429" s="70"/>
      <c r="F429" s="70" t="str">
        <f t="array" ref="F429">IF(E429="","",IFERROR(_xlfn.XLOOKUP(E429,SyncCodex!N:N,SyncCodex!O:O),""))</f>
        <v/>
      </c>
      <c r="G429" s="71"/>
      <c r="H429" s="71" t="str">
        <f t="shared" si="1"/>
        <v/>
      </c>
      <c r="I429" s="8" t="b">
        <v>0</v>
      </c>
      <c r="J429" s="72"/>
      <c r="K429" s="72"/>
    </row>
    <row r="430">
      <c r="A430" s="69"/>
      <c r="B430" s="8"/>
      <c r="E430" s="70"/>
      <c r="F430" s="70" t="str">
        <f t="array" ref="F430">IF(E430="","",IFERROR(_xlfn.XLOOKUP(E430,SyncCodex!N:N,SyncCodex!O:O),""))</f>
        <v/>
      </c>
      <c r="G430" s="71"/>
      <c r="H430" s="71" t="str">
        <f t="shared" si="1"/>
        <v/>
      </c>
      <c r="I430" s="8" t="b">
        <v>0</v>
      </c>
      <c r="J430" s="72"/>
      <c r="K430" s="72"/>
    </row>
    <row r="431">
      <c r="A431" s="69"/>
      <c r="B431" s="8"/>
      <c r="E431" s="70"/>
      <c r="F431" s="70" t="str">
        <f t="array" ref="F431">IF(E431="","",IFERROR(_xlfn.XLOOKUP(E431,SyncCodex!N:N,SyncCodex!O:O),""))</f>
        <v/>
      </c>
      <c r="G431" s="71"/>
      <c r="H431" s="71" t="str">
        <f t="shared" si="1"/>
        <v/>
      </c>
      <c r="I431" s="8" t="b">
        <v>0</v>
      </c>
      <c r="J431" s="72"/>
      <c r="K431" s="72"/>
    </row>
    <row r="432">
      <c r="A432" s="69"/>
      <c r="B432" s="8"/>
      <c r="E432" s="70"/>
      <c r="F432" s="70" t="str">
        <f t="array" ref="F432">IF(E432="","",IFERROR(_xlfn.XLOOKUP(E432,SyncCodex!N:N,SyncCodex!O:O),""))</f>
        <v/>
      </c>
      <c r="G432" s="71"/>
      <c r="H432" s="71" t="str">
        <f t="shared" si="1"/>
        <v/>
      </c>
      <c r="I432" s="8" t="b">
        <v>0</v>
      </c>
      <c r="J432" s="72"/>
      <c r="K432" s="72"/>
    </row>
    <row r="433">
      <c r="A433" s="69"/>
      <c r="B433" s="8"/>
      <c r="E433" s="70"/>
      <c r="F433" s="70" t="str">
        <f t="array" ref="F433">IF(E433="","",IFERROR(_xlfn.XLOOKUP(E433,SyncCodex!N:N,SyncCodex!O:O),""))</f>
        <v/>
      </c>
      <c r="G433" s="71"/>
      <c r="H433" s="71" t="str">
        <f t="shared" si="1"/>
        <v/>
      </c>
      <c r="I433" s="8" t="b">
        <v>0</v>
      </c>
      <c r="J433" s="72"/>
      <c r="K433" s="72"/>
    </row>
    <row r="434">
      <c r="A434" s="69"/>
      <c r="B434" s="8"/>
      <c r="E434" s="70"/>
      <c r="F434" s="70" t="str">
        <f t="array" ref="F434">IF(E434="","",IFERROR(_xlfn.XLOOKUP(E434,SyncCodex!N:N,SyncCodex!O:O),""))</f>
        <v/>
      </c>
      <c r="G434" s="71"/>
      <c r="H434" s="71" t="str">
        <f t="shared" si="1"/>
        <v/>
      </c>
      <c r="I434" s="8" t="b">
        <v>0</v>
      </c>
      <c r="J434" s="72"/>
      <c r="K434" s="72"/>
    </row>
    <row r="435">
      <c r="A435" s="69"/>
      <c r="B435" s="8"/>
      <c r="E435" s="70"/>
      <c r="F435" s="70" t="str">
        <f t="array" ref="F435">IF(E435="","",IFERROR(_xlfn.XLOOKUP(E435,SyncCodex!N:N,SyncCodex!O:O),""))</f>
        <v/>
      </c>
      <c r="G435" s="71"/>
      <c r="H435" s="71" t="str">
        <f t="shared" si="1"/>
        <v/>
      </c>
      <c r="I435" s="8" t="b">
        <v>0</v>
      </c>
      <c r="J435" s="72"/>
      <c r="K435" s="72"/>
    </row>
    <row r="436">
      <c r="A436" s="69"/>
      <c r="B436" s="8"/>
      <c r="E436" s="70"/>
      <c r="F436" s="70" t="str">
        <f t="array" ref="F436">IF(E436="","",IFERROR(_xlfn.XLOOKUP(E436,SyncCodex!N:N,SyncCodex!O:O),""))</f>
        <v/>
      </c>
      <c r="G436" s="71"/>
      <c r="H436" s="71" t="str">
        <f t="shared" si="1"/>
        <v/>
      </c>
      <c r="I436" s="8" t="b">
        <v>0</v>
      </c>
      <c r="J436" s="72"/>
      <c r="K436" s="72"/>
    </row>
    <row r="437">
      <c r="A437" s="69"/>
      <c r="B437" s="8"/>
      <c r="E437" s="70"/>
      <c r="F437" s="70" t="str">
        <f t="array" ref="F437">IF(E437="","",IFERROR(_xlfn.XLOOKUP(E437,SyncCodex!N:N,SyncCodex!O:O),""))</f>
        <v/>
      </c>
      <c r="G437" s="71"/>
      <c r="H437" s="71" t="str">
        <f t="shared" si="1"/>
        <v/>
      </c>
      <c r="I437" s="8" t="b">
        <v>0</v>
      </c>
      <c r="J437" s="72"/>
      <c r="K437" s="72"/>
    </row>
    <row r="438">
      <c r="A438" s="69"/>
      <c r="B438" s="8"/>
      <c r="E438" s="70"/>
      <c r="F438" s="70" t="str">
        <f t="array" ref="F438">IF(E438="","",IFERROR(_xlfn.XLOOKUP(E438,SyncCodex!N:N,SyncCodex!O:O),""))</f>
        <v/>
      </c>
      <c r="G438" s="71"/>
      <c r="H438" s="71" t="str">
        <f t="shared" si="1"/>
        <v/>
      </c>
      <c r="I438" s="8" t="b">
        <v>0</v>
      </c>
      <c r="J438" s="72"/>
      <c r="K438" s="72"/>
    </row>
    <row r="439">
      <c r="A439" s="69"/>
      <c r="B439" s="8"/>
      <c r="E439" s="70"/>
      <c r="F439" s="70" t="str">
        <f t="array" ref="F439">IF(E439="","",IFERROR(_xlfn.XLOOKUP(E439,SyncCodex!N:N,SyncCodex!O:O),""))</f>
        <v/>
      </c>
      <c r="G439" s="71"/>
      <c r="H439" s="71" t="str">
        <f t="shared" si="1"/>
        <v/>
      </c>
      <c r="I439" s="8" t="b">
        <v>0</v>
      </c>
      <c r="J439" s="72"/>
      <c r="K439" s="72"/>
    </row>
    <row r="440">
      <c r="A440" s="69"/>
      <c r="B440" s="8"/>
      <c r="E440" s="70"/>
      <c r="F440" s="70" t="str">
        <f t="array" ref="F440">IF(E440="","",IFERROR(_xlfn.XLOOKUP(E440,SyncCodex!N:N,SyncCodex!O:O),""))</f>
        <v/>
      </c>
      <c r="G440" s="71"/>
      <c r="H440" s="71" t="str">
        <f t="shared" si="1"/>
        <v/>
      </c>
      <c r="I440" s="8" t="b">
        <v>0</v>
      </c>
      <c r="J440" s="72"/>
      <c r="K440" s="72"/>
    </row>
    <row r="441">
      <c r="A441" s="69"/>
      <c r="B441" s="8"/>
      <c r="E441" s="70"/>
      <c r="F441" s="70" t="str">
        <f t="array" ref="F441">IF(E441="","",IFERROR(_xlfn.XLOOKUP(E441,SyncCodex!N:N,SyncCodex!O:O),""))</f>
        <v/>
      </c>
      <c r="G441" s="71"/>
      <c r="H441" s="71" t="str">
        <f t="shared" si="1"/>
        <v/>
      </c>
      <c r="I441" s="8" t="b">
        <v>0</v>
      </c>
      <c r="J441" s="72"/>
      <c r="K441" s="72"/>
    </row>
    <row r="442">
      <c r="A442" s="69"/>
      <c r="B442" s="8"/>
      <c r="E442" s="70"/>
      <c r="F442" s="70" t="str">
        <f t="array" ref="F442">IF(E442="","",IFERROR(_xlfn.XLOOKUP(E442,SyncCodex!N:N,SyncCodex!O:O),""))</f>
        <v/>
      </c>
      <c r="G442" s="71"/>
      <c r="H442" s="71" t="str">
        <f t="shared" si="1"/>
        <v/>
      </c>
      <c r="I442" s="8" t="b">
        <v>0</v>
      </c>
      <c r="J442" s="72"/>
      <c r="K442" s="72"/>
    </row>
    <row r="443">
      <c r="A443" s="69"/>
      <c r="B443" s="8"/>
      <c r="E443" s="70"/>
      <c r="F443" s="70" t="str">
        <f t="array" ref="F443">IF(E443="","",IFERROR(_xlfn.XLOOKUP(E443,SyncCodex!N:N,SyncCodex!O:O),""))</f>
        <v/>
      </c>
      <c r="G443" s="71"/>
      <c r="H443" s="71" t="str">
        <f t="shared" si="1"/>
        <v/>
      </c>
      <c r="I443" s="8" t="b">
        <v>0</v>
      </c>
      <c r="J443" s="72"/>
      <c r="K443" s="72"/>
    </row>
    <row r="444">
      <c r="A444" s="69"/>
      <c r="B444" s="8"/>
      <c r="E444" s="70"/>
      <c r="F444" s="70" t="str">
        <f t="array" ref="F444">IF(E444="","",IFERROR(_xlfn.XLOOKUP(E444,SyncCodex!N:N,SyncCodex!O:O),""))</f>
        <v/>
      </c>
      <c r="G444" s="71"/>
      <c r="H444" s="71" t="str">
        <f t="shared" si="1"/>
        <v/>
      </c>
      <c r="I444" s="8" t="b">
        <v>0</v>
      </c>
      <c r="J444" s="72"/>
      <c r="K444" s="72"/>
    </row>
    <row r="445">
      <c r="A445" s="69"/>
      <c r="B445" s="8"/>
      <c r="E445" s="70"/>
      <c r="F445" s="70" t="str">
        <f t="array" ref="F445">IF(E445="","",IFERROR(_xlfn.XLOOKUP(E445,SyncCodex!N:N,SyncCodex!O:O),""))</f>
        <v/>
      </c>
      <c r="G445" s="71"/>
      <c r="H445" s="71" t="str">
        <f t="shared" si="1"/>
        <v/>
      </c>
      <c r="I445" s="8" t="b">
        <v>0</v>
      </c>
      <c r="J445" s="72"/>
      <c r="K445" s="72"/>
    </row>
    <row r="446">
      <c r="A446" s="69"/>
      <c r="B446" s="8"/>
      <c r="E446" s="70"/>
      <c r="F446" s="70" t="str">
        <f t="array" ref="F446">IF(E446="","",IFERROR(_xlfn.XLOOKUP(E446,SyncCodex!N:N,SyncCodex!O:O),""))</f>
        <v/>
      </c>
      <c r="G446" s="71"/>
      <c r="H446" s="71" t="str">
        <f t="shared" si="1"/>
        <v/>
      </c>
      <c r="I446" s="8" t="b">
        <v>0</v>
      </c>
      <c r="J446" s="72"/>
      <c r="K446" s="72"/>
    </row>
    <row r="447">
      <c r="A447" s="69"/>
      <c r="B447" s="8"/>
      <c r="E447" s="70"/>
      <c r="F447" s="70" t="str">
        <f t="array" ref="F447">IF(E447="","",IFERROR(_xlfn.XLOOKUP(E447,SyncCodex!N:N,SyncCodex!O:O),""))</f>
        <v/>
      </c>
      <c r="G447" s="71"/>
      <c r="H447" s="71" t="str">
        <f t="shared" si="1"/>
        <v/>
      </c>
      <c r="I447" s="8" t="b">
        <v>0</v>
      </c>
      <c r="J447" s="72"/>
      <c r="K447" s="72"/>
    </row>
    <row r="448">
      <c r="A448" s="69"/>
      <c r="B448" s="8"/>
      <c r="E448" s="70"/>
      <c r="F448" s="70" t="str">
        <f t="array" ref="F448">IF(E448="","",IFERROR(_xlfn.XLOOKUP(E448,SyncCodex!N:N,SyncCodex!O:O),""))</f>
        <v/>
      </c>
      <c r="G448" s="71"/>
      <c r="H448" s="71" t="str">
        <f t="shared" si="1"/>
        <v/>
      </c>
      <c r="I448" s="8" t="b">
        <v>0</v>
      </c>
      <c r="J448" s="72"/>
      <c r="K448" s="72"/>
    </row>
    <row r="449">
      <c r="A449" s="69"/>
      <c r="B449" s="8"/>
      <c r="E449" s="70"/>
      <c r="F449" s="70" t="str">
        <f t="array" ref="F449">IF(E449="","",IFERROR(_xlfn.XLOOKUP(E449,SyncCodex!N:N,SyncCodex!O:O),""))</f>
        <v/>
      </c>
      <c r="G449" s="71"/>
      <c r="H449" s="71" t="str">
        <f t="shared" si="1"/>
        <v/>
      </c>
      <c r="I449" s="8" t="b">
        <v>0</v>
      </c>
      <c r="J449" s="72"/>
      <c r="K449" s="72"/>
    </row>
    <row r="450">
      <c r="A450" s="69"/>
      <c r="B450" s="8"/>
      <c r="E450" s="70"/>
      <c r="F450" s="70" t="str">
        <f t="array" ref="F450">IF(E450="","",IFERROR(_xlfn.XLOOKUP(E450,SyncCodex!N:N,SyncCodex!O:O),""))</f>
        <v/>
      </c>
      <c r="G450" s="71"/>
      <c r="H450" s="71" t="str">
        <f t="shared" si="1"/>
        <v/>
      </c>
      <c r="I450" s="8" t="b">
        <v>0</v>
      </c>
      <c r="J450" s="72"/>
      <c r="K450" s="72"/>
    </row>
    <row r="451">
      <c r="A451" s="69"/>
      <c r="B451" s="8"/>
      <c r="E451" s="70"/>
      <c r="F451" s="70" t="str">
        <f t="array" ref="F451">IF(E451="","",IFERROR(_xlfn.XLOOKUP(E451,SyncCodex!N:N,SyncCodex!O:O),""))</f>
        <v/>
      </c>
      <c r="G451" s="71"/>
      <c r="H451" s="71" t="str">
        <f t="shared" si="1"/>
        <v/>
      </c>
      <c r="I451" s="8" t="b">
        <v>0</v>
      </c>
      <c r="J451" s="72"/>
      <c r="K451" s="72"/>
    </row>
    <row r="452">
      <c r="A452" s="69"/>
      <c r="B452" s="8"/>
      <c r="E452" s="70"/>
      <c r="F452" s="70" t="str">
        <f t="array" ref="F452">IF(E452="","",IFERROR(_xlfn.XLOOKUP(E452,SyncCodex!N:N,SyncCodex!O:O),""))</f>
        <v/>
      </c>
      <c r="G452" s="71"/>
      <c r="H452" s="71" t="str">
        <f t="shared" si="1"/>
        <v/>
      </c>
      <c r="I452" s="8" t="b">
        <v>0</v>
      </c>
      <c r="J452" s="72"/>
      <c r="K452" s="72"/>
    </row>
    <row r="453">
      <c r="A453" s="69"/>
      <c r="B453" s="8"/>
      <c r="E453" s="70"/>
      <c r="F453" s="70" t="str">
        <f t="array" ref="F453">IF(E453="","",IFERROR(_xlfn.XLOOKUP(E453,SyncCodex!N:N,SyncCodex!O:O),""))</f>
        <v/>
      </c>
      <c r="G453" s="71"/>
      <c r="H453" s="71" t="str">
        <f t="shared" si="1"/>
        <v/>
      </c>
      <c r="I453" s="8" t="b">
        <v>0</v>
      </c>
      <c r="J453" s="72"/>
      <c r="K453" s="72"/>
    </row>
    <row r="454">
      <c r="A454" s="69"/>
      <c r="B454" s="8"/>
      <c r="E454" s="70"/>
      <c r="F454" s="70" t="str">
        <f t="array" ref="F454">IF(E454="","",IFERROR(_xlfn.XLOOKUP(E454,SyncCodex!N:N,SyncCodex!O:O),""))</f>
        <v/>
      </c>
      <c r="G454" s="71"/>
      <c r="H454" s="71" t="str">
        <f t="shared" si="1"/>
        <v/>
      </c>
      <c r="I454" s="8" t="b">
        <v>0</v>
      </c>
      <c r="J454" s="72"/>
      <c r="K454" s="72"/>
    </row>
    <row r="455">
      <c r="A455" s="69"/>
      <c r="B455" s="8"/>
      <c r="E455" s="70"/>
      <c r="F455" s="70" t="str">
        <f t="array" ref="F455">IF(E455="","",IFERROR(_xlfn.XLOOKUP(E455,SyncCodex!N:N,SyncCodex!O:O),""))</f>
        <v/>
      </c>
      <c r="G455" s="71"/>
      <c r="H455" s="71" t="str">
        <f t="shared" si="1"/>
        <v/>
      </c>
      <c r="I455" s="8" t="b">
        <v>0</v>
      </c>
      <c r="J455" s="72"/>
      <c r="K455" s="72"/>
    </row>
    <row r="456">
      <c r="A456" s="69"/>
      <c r="B456" s="8"/>
      <c r="E456" s="70"/>
      <c r="F456" s="70" t="str">
        <f t="array" ref="F456">IF(E456="","",IFERROR(_xlfn.XLOOKUP(E456,SyncCodex!N:N,SyncCodex!O:O),""))</f>
        <v/>
      </c>
      <c r="G456" s="71"/>
      <c r="H456" s="71" t="str">
        <f t="shared" si="1"/>
        <v/>
      </c>
      <c r="I456" s="8" t="b">
        <v>0</v>
      </c>
      <c r="J456" s="72"/>
      <c r="K456" s="72"/>
    </row>
    <row r="457">
      <c r="A457" s="69"/>
      <c r="B457" s="8"/>
      <c r="E457" s="70"/>
      <c r="F457" s="70" t="str">
        <f t="array" ref="F457">IF(E457="","",IFERROR(_xlfn.XLOOKUP(E457,SyncCodex!N:N,SyncCodex!O:O),""))</f>
        <v/>
      </c>
      <c r="G457" s="71"/>
      <c r="H457" s="71" t="str">
        <f t="shared" si="1"/>
        <v/>
      </c>
      <c r="I457" s="8" t="b">
        <v>0</v>
      </c>
      <c r="J457" s="72"/>
      <c r="K457" s="72"/>
    </row>
    <row r="458">
      <c r="A458" s="69"/>
      <c r="B458" s="8"/>
      <c r="E458" s="70"/>
      <c r="F458" s="70" t="str">
        <f t="array" ref="F458">IF(E458="","",IFERROR(_xlfn.XLOOKUP(E458,SyncCodex!N:N,SyncCodex!O:O),""))</f>
        <v/>
      </c>
      <c r="G458" s="71"/>
      <c r="H458" s="71" t="str">
        <f t="shared" si="1"/>
        <v/>
      </c>
      <c r="I458" s="8" t="b">
        <v>0</v>
      </c>
      <c r="J458" s="72"/>
      <c r="K458" s="72"/>
    </row>
    <row r="459">
      <c r="A459" s="69"/>
      <c r="B459" s="8"/>
      <c r="E459" s="70"/>
      <c r="F459" s="70" t="str">
        <f t="array" ref="F459">IF(E459="","",IFERROR(_xlfn.XLOOKUP(E459,SyncCodex!N:N,SyncCodex!O:O),""))</f>
        <v/>
      </c>
      <c r="G459" s="71"/>
      <c r="H459" s="71" t="str">
        <f t="shared" si="1"/>
        <v/>
      </c>
      <c r="I459" s="8" t="b">
        <v>0</v>
      </c>
      <c r="J459" s="72"/>
      <c r="K459" s="72"/>
    </row>
    <row r="460">
      <c r="A460" s="69"/>
      <c r="B460" s="8"/>
      <c r="E460" s="70"/>
      <c r="F460" s="70" t="str">
        <f t="array" ref="F460">IF(E460="","",IFERROR(_xlfn.XLOOKUP(E460,SyncCodex!N:N,SyncCodex!O:O),""))</f>
        <v/>
      </c>
      <c r="G460" s="71"/>
      <c r="H460" s="71" t="str">
        <f t="shared" si="1"/>
        <v/>
      </c>
      <c r="I460" s="8" t="b">
        <v>0</v>
      </c>
      <c r="J460" s="72"/>
      <c r="K460" s="72"/>
    </row>
    <row r="461">
      <c r="A461" s="69"/>
      <c r="B461" s="8"/>
      <c r="E461" s="70"/>
      <c r="F461" s="70" t="str">
        <f t="array" ref="F461">IF(E461="","",IFERROR(_xlfn.XLOOKUP(E461,SyncCodex!N:N,SyncCodex!O:O),""))</f>
        <v/>
      </c>
      <c r="G461" s="71"/>
      <c r="H461" s="71" t="str">
        <f t="shared" si="1"/>
        <v/>
      </c>
      <c r="I461" s="8" t="b">
        <v>0</v>
      </c>
      <c r="J461" s="72"/>
      <c r="K461" s="72"/>
    </row>
    <row r="462">
      <c r="A462" s="69"/>
      <c r="B462" s="8"/>
      <c r="E462" s="70"/>
      <c r="F462" s="70" t="str">
        <f t="array" ref="F462">IF(E462="","",IFERROR(_xlfn.XLOOKUP(E462,SyncCodex!N:N,SyncCodex!O:O),""))</f>
        <v/>
      </c>
      <c r="G462" s="71"/>
      <c r="H462" s="71" t="str">
        <f t="shared" si="1"/>
        <v/>
      </c>
      <c r="I462" s="8" t="b">
        <v>0</v>
      </c>
      <c r="J462" s="72"/>
      <c r="K462" s="72"/>
    </row>
    <row r="463">
      <c r="A463" s="69"/>
      <c r="B463" s="8"/>
      <c r="E463" s="70"/>
      <c r="F463" s="70" t="str">
        <f t="array" ref="F463">IF(E463="","",IFERROR(_xlfn.XLOOKUP(E463,SyncCodex!N:N,SyncCodex!O:O),""))</f>
        <v/>
      </c>
      <c r="G463" s="71"/>
      <c r="H463" s="71" t="str">
        <f t="shared" si="1"/>
        <v/>
      </c>
      <c r="I463" s="8" t="b">
        <v>0</v>
      </c>
      <c r="J463" s="72"/>
      <c r="K463" s="72"/>
    </row>
    <row r="464">
      <c r="A464" s="69"/>
      <c r="B464" s="8"/>
      <c r="E464" s="70"/>
      <c r="F464" s="70" t="str">
        <f t="array" ref="F464">IF(E464="","",IFERROR(_xlfn.XLOOKUP(E464,SyncCodex!N:N,SyncCodex!O:O),""))</f>
        <v/>
      </c>
      <c r="G464" s="71"/>
      <c r="H464" s="71" t="str">
        <f t="shared" si="1"/>
        <v/>
      </c>
      <c r="I464" s="8" t="b">
        <v>0</v>
      </c>
      <c r="J464" s="72"/>
      <c r="K464" s="72"/>
    </row>
    <row r="465">
      <c r="A465" s="69"/>
      <c r="B465" s="8"/>
      <c r="E465" s="70"/>
      <c r="F465" s="70" t="str">
        <f t="array" ref="F465">IF(E465="","",IFERROR(_xlfn.XLOOKUP(E465,SyncCodex!N:N,SyncCodex!O:O),""))</f>
        <v/>
      </c>
      <c r="G465" s="71"/>
      <c r="H465" s="71" t="str">
        <f t="shared" si="1"/>
        <v/>
      </c>
      <c r="I465" s="8" t="b">
        <v>0</v>
      </c>
      <c r="J465" s="72"/>
      <c r="K465" s="72"/>
    </row>
    <row r="466">
      <c r="A466" s="69"/>
      <c r="B466" s="8"/>
      <c r="E466" s="70"/>
      <c r="F466" s="70" t="str">
        <f t="array" ref="F466">IF(E466="","",IFERROR(_xlfn.XLOOKUP(E466,SyncCodex!N:N,SyncCodex!O:O),""))</f>
        <v/>
      </c>
      <c r="G466" s="71"/>
      <c r="H466" s="71" t="str">
        <f t="shared" si="1"/>
        <v/>
      </c>
      <c r="I466" s="8" t="b">
        <v>0</v>
      </c>
      <c r="J466" s="72"/>
      <c r="K466" s="72"/>
    </row>
    <row r="467">
      <c r="A467" s="69"/>
      <c r="B467" s="8"/>
      <c r="E467" s="70"/>
      <c r="F467" s="70" t="str">
        <f t="array" ref="F467">IF(E467="","",IFERROR(_xlfn.XLOOKUP(E467,SyncCodex!N:N,SyncCodex!O:O),""))</f>
        <v/>
      </c>
      <c r="G467" s="71"/>
      <c r="H467" s="71" t="str">
        <f t="shared" si="1"/>
        <v/>
      </c>
      <c r="I467" s="8" t="b">
        <v>0</v>
      </c>
      <c r="J467" s="72"/>
      <c r="K467" s="72"/>
    </row>
    <row r="468">
      <c r="A468" s="69"/>
      <c r="B468" s="8"/>
      <c r="E468" s="70"/>
      <c r="F468" s="70" t="str">
        <f t="array" ref="F468">IF(E468="","",IFERROR(_xlfn.XLOOKUP(E468,SyncCodex!N:N,SyncCodex!O:O),""))</f>
        <v/>
      </c>
      <c r="G468" s="71"/>
      <c r="H468" s="71" t="str">
        <f t="shared" si="1"/>
        <v/>
      </c>
      <c r="I468" s="8" t="b">
        <v>0</v>
      </c>
      <c r="J468" s="72"/>
      <c r="K468" s="72"/>
    </row>
    <row r="469">
      <c r="A469" s="69"/>
      <c r="B469" s="8"/>
      <c r="E469" s="70"/>
      <c r="F469" s="70" t="str">
        <f t="array" ref="F469">IF(E469="","",IFERROR(_xlfn.XLOOKUP(E469,SyncCodex!N:N,SyncCodex!O:O),""))</f>
        <v/>
      </c>
      <c r="G469" s="71"/>
      <c r="H469" s="71" t="str">
        <f t="shared" si="1"/>
        <v/>
      </c>
      <c r="I469" s="8" t="b">
        <v>0</v>
      </c>
      <c r="J469" s="72"/>
      <c r="K469" s="72"/>
    </row>
    <row r="470">
      <c r="A470" s="69"/>
      <c r="B470" s="8"/>
      <c r="E470" s="70"/>
      <c r="F470" s="70" t="str">
        <f t="array" ref="F470">IF(E470="","",IFERROR(_xlfn.XLOOKUP(E470,SyncCodex!N:N,SyncCodex!O:O),""))</f>
        <v/>
      </c>
      <c r="G470" s="71"/>
      <c r="H470" s="71" t="str">
        <f t="shared" si="1"/>
        <v/>
      </c>
      <c r="I470" s="8" t="b">
        <v>0</v>
      </c>
      <c r="J470" s="72"/>
      <c r="K470" s="72"/>
    </row>
    <row r="471">
      <c r="A471" s="69"/>
      <c r="B471" s="8"/>
      <c r="E471" s="70"/>
      <c r="F471" s="70" t="str">
        <f t="array" ref="F471">IF(E471="","",IFERROR(_xlfn.XLOOKUP(E471,SyncCodex!N:N,SyncCodex!O:O),""))</f>
        <v/>
      </c>
      <c r="G471" s="71"/>
      <c r="H471" s="71" t="str">
        <f t="shared" si="1"/>
        <v/>
      </c>
      <c r="I471" s="8" t="b">
        <v>0</v>
      </c>
      <c r="J471" s="72"/>
      <c r="K471" s="72"/>
    </row>
    <row r="472">
      <c r="A472" s="69"/>
      <c r="B472" s="8"/>
      <c r="E472" s="70"/>
      <c r="F472" s="70" t="str">
        <f t="array" ref="F472">IF(E472="","",IFERROR(_xlfn.XLOOKUP(E472,SyncCodex!N:N,SyncCodex!O:O),""))</f>
        <v/>
      </c>
      <c r="G472" s="71"/>
      <c r="H472" s="71" t="str">
        <f t="shared" si="1"/>
        <v/>
      </c>
      <c r="I472" s="8" t="b">
        <v>0</v>
      </c>
      <c r="J472" s="72"/>
      <c r="K472" s="72"/>
    </row>
    <row r="473">
      <c r="A473" s="69"/>
      <c r="B473" s="8"/>
      <c r="E473" s="70"/>
      <c r="F473" s="70" t="str">
        <f t="array" ref="F473">IF(E473="","",IFERROR(_xlfn.XLOOKUP(E473,SyncCodex!N:N,SyncCodex!O:O),""))</f>
        <v/>
      </c>
      <c r="G473" s="71"/>
      <c r="H473" s="71" t="str">
        <f t="shared" si="1"/>
        <v/>
      </c>
      <c r="I473" s="8" t="b">
        <v>0</v>
      </c>
      <c r="J473" s="72"/>
      <c r="K473" s="72"/>
    </row>
    <row r="474">
      <c r="A474" s="69"/>
      <c r="B474" s="8"/>
      <c r="E474" s="70"/>
      <c r="F474" s="70" t="str">
        <f t="array" ref="F474">IF(E474="","",IFERROR(_xlfn.XLOOKUP(E474,SyncCodex!N:N,SyncCodex!O:O),""))</f>
        <v/>
      </c>
      <c r="G474" s="71"/>
      <c r="H474" s="71" t="str">
        <f t="shared" si="1"/>
        <v/>
      </c>
      <c r="I474" s="8" t="b">
        <v>0</v>
      </c>
      <c r="J474" s="72"/>
      <c r="K474" s="72"/>
    </row>
    <row r="475">
      <c r="A475" s="69"/>
      <c r="B475" s="8"/>
      <c r="E475" s="70"/>
      <c r="F475" s="70" t="str">
        <f t="array" ref="F475">IF(E475="","",IFERROR(_xlfn.XLOOKUP(E475,SyncCodex!N:N,SyncCodex!O:O),""))</f>
        <v/>
      </c>
      <c r="G475" s="71"/>
      <c r="H475" s="71" t="str">
        <f t="shared" si="1"/>
        <v/>
      </c>
      <c r="I475" s="8" t="b">
        <v>0</v>
      </c>
      <c r="J475" s="72"/>
      <c r="K475" s="72"/>
    </row>
    <row r="476">
      <c r="A476" s="69"/>
      <c r="B476" s="8"/>
      <c r="E476" s="70"/>
      <c r="F476" s="70" t="str">
        <f t="array" ref="F476">IF(E476="","",IFERROR(_xlfn.XLOOKUP(E476,SyncCodex!N:N,SyncCodex!O:O),""))</f>
        <v/>
      </c>
      <c r="G476" s="71"/>
      <c r="H476" s="71" t="str">
        <f t="shared" si="1"/>
        <v/>
      </c>
      <c r="I476" s="8" t="b">
        <v>0</v>
      </c>
      <c r="J476" s="72"/>
      <c r="K476" s="72"/>
    </row>
    <row r="477">
      <c r="A477" s="69"/>
      <c r="B477" s="8"/>
      <c r="E477" s="70"/>
      <c r="F477" s="70" t="str">
        <f t="array" ref="F477">IF(E477="","",IFERROR(_xlfn.XLOOKUP(E477,SyncCodex!N:N,SyncCodex!O:O),""))</f>
        <v/>
      </c>
      <c r="G477" s="71"/>
      <c r="H477" s="71" t="str">
        <f t="shared" si="1"/>
        <v/>
      </c>
      <c r="I477" s="8" t="b">
        <v>0</v>
      </c>
      <c r="J477" s="72"/>
      <c r="K477" s="72"/>
    </row>
    <row r="478">
      <c r="A478" s="69"/>
      <c r="B478" s="8"/>
      <c r="E478" s="70"/>
      <c r="F478" s="70" t="str">
        <f t="array" ref="F478">IF(E478="","",IFERROR(_xlfn.XLOOKUP(E478,SyncCodex!N:N,SyncCodex!O:O),""))</f>
        <v/>
      </c>
      <c r="G478" s="71"/>
      <c r="H478" s="71" t="str">
        <f t="shared" si="1"/>
        <v/>
      </c>
      <c r="I478" s="8" t="b">
        <v>0</v>
      </c>
      <c r="J478" s="72"/>
      <c r="K478" s="72"/>
    </row>
    <row r="479">
      <c r="A479" s="69"/>
      <c r="B479" s="8"/>
      <c r="E479" s="70"/>
      <c r="F479" s="70" t="str">
        <f t="array" ref="F479">IF(E479="","",IFERROR(_xlfn.XLOOKUP(E479,SyncCodex!N:N,SyncCodex!O:O),""))</f>
        <v/>
      </c>
      <c r="G479" s="71"/>
      <c r="H479" s="71" t="str">
        <f t="shared" si="1"/>
        <v/>
      </c>
      <c r="I479" s="8" t="b">
        <v>0</v>
      </c>
      <c r="J479" s="72"/>
      <c r="K479" s="72"/>
    </row>
    <row r="480">
      <c r="A480" s="69"/>
      <c r="B480" s="8"/>
      <c r="E480" s="70"/>
      <c r="F480" s="70" t="str">
        <f t="array" ref="F480">IF(E480="","",IFERROR(_xlfn.XLOOKUP(E480,SyncCodex!N:N,SyncCodex!O:O),""))</f>
        <v/>
      </c>
      <c r="G480" s="71"/>
      <c r="H480" s="71" t="str">
        <f t="shared" si="1"/>
        <v/>
      </c>
      <c r="I480" s="8" t="b">
        <v>0</v>
      </c>
      <c r="J480" s="72"/>
      <c r="K480" s="72"/>
    </row>
    <row r="481">
      <c r="A481" s="69"/>
      <c r="B481" s="8"/>
      <c r="E481" s="70"/>
      <c r="F481" s="70" t="str">
        <f t="array" ref="F481">IF(E481="","",IFERROR(_xlfn.XLOOKUP(E481,SyncCodex!N:N,SyncCodex!O:O),""))</f>
        <v/>
      </c>
      <c r="G481" s="71"/>
      <c r="H481" s="71" t="str">
        <f t="shared" si="1"/>
        <v/>
      </c>
      <c r="I481" s="8" t="b">
        <v>0</v>
      </c>
      <c r="J481" s="72"/>
      <c r="K481" s="72"/>
    </row>
    <row r="482">
      <c r="A482" s="69"/>
      <c r="B482" s="8"/>
      <c r="E482" s="70"/>
      <c r="F482" s="70" t="str">
        <f t="array" ref="F482">IF(E482="","",IFERROR(_xlfn.XLOOKUP(E482,SyncCodex!N:N,SyncCodex!O:O),""))</f>
        <v/>
      </c>
      <c r="G482" s="71"/>
      <c r="H482" s="71" t="str">
        <f t="shared" si="1"/>
        <v/>
      </c>
      <c r="I482" s="8" t="b">
        <v>0</v>
      </c>
      <c r="J482" s="72"/>
      <c r="K482" s="72"/>
    </row>
    <row r="483">
      <c r="A483" s="69"/>
      <c r="B483" s="8"/>
      <c r="E483" s="70"/>
      <c r="F483" s="70" t="str">
        <f t="array" ref="F483">IF(E483="","",IFERROR(_xlfn.XLOOKUP(E483,SyncCodex!N:N,SyncCodex!O:O),""))</f>
        <v/>
      </c>
      <c r="G483" s="71"/>
      <c r="H483" s="71" t="str">
        <f t="shared" si="1"/>
        <v/>
      </c>
      <c r="I483" s="8" t="b">
        <v>0</v>
      </c>
      <c r="J483" s="72"/>
      <c r="K483" s="72"/>
    </row>
    <row r="484">
      <c r="A484" s="69"/>
      <c r="B484" s="8"/>
      <c r="E484" s="70"/>
      <c r="F484" s="70" t="str">
        <f t="array" ref="F484">IF(E484="","",IFERROR(_xlfn.XLOOKUP(E484,SyncCodex!N:N,SyncCodex!O:O),""))</f>
        <v/>
      </c>
      <c r="G484" s="71"/>
      <c r="H484" s="71" t="str">
        <f t="shared" si="1"/>
        <v/>
      </c>
      <c r="I484" s="8" t="b">
        <v>0</v>
      </c>
      <c r="J484" s="72"/>
      <c r="K484" s="72"/>
    </row>
    <row r="485">
      <c r="A485" s="69"/>
      <c r="B485" s="8"/>
      <c r="E485" s="70"/>
      <c r="F485" s="70" t="str">
        <f t="array" ref="F485">IF(E485="","",IFERROR(_xlfn.XLOOKUP(E485,SyncCodex!N:N,SyncCodex!O:O),""))</f>
        <v/>
      </c>
      <c r="G485" s="71"/>
      <c r="H485" s="71" t="str">
        <f t="shared" si="1"/>
        <v/>
      </c>
      <c r="I485" s="8" t="b">
        <v>0</v>
      </c>
      <c r="J485" s="72"/>
      <c r="K485" s="72"/>
    </row>
    <row r="486">
      <c r="A486" s="69"/>
      <c r="B486" s="8"/>
      <c r="E486" s="70"/>
      <c r="F486" s="70" t="str">
        <f t="array" ref="F486">IF(E486="","",IFERROR(_xlfn.XLOOKUP(E486,SyncCodex!N:N,SyncCodex!O:O),""))</f>
        <v/>
      </c>
      <c r="G486" s="71"/>
      <c r="H486" s="71" t="str">
        <f t="shared" si="1"/>
        <v/>
      </c>
      <c r="I486" s="8" t="b">
        <v>0</v>
      </c>
      <c r="J486" s="72"/>
      <c r="K486" s="72"/>
    </row>
    <row r="487">
      <c r="A487" s="69"/>
      <c r="B487" s="8"/>
      <c r="E487" s="70"/>
      <c r="F487" s="70" t="str">
        <f t="array" ref="F487">IF(E487="","",IFERROR(_xlfn.XLOOKUP(E487,SyncCodex!N:N,SyncCodex!O:O),""))</f>
        <v/>
      </c>
      <c r="G487" s="71"/>
      <c r="H487" s="71" t="str">
        <f t="shared" si="1"/>
        <v/>
      </c>
      <c r="I487" s="8" t="b">
        <v>0</v>
      </c>
      <c r="J487" s="72"/>
      <c r="K487" s="72"/>
    </row>
    <row r="488">
      <c r="A488" s="69"/>
      <c r="B488" s="8"/>
      <c r="E488" s="70"/>
      <c r="F488" s="70" t="str">
        <f t="array" ref="F488">IF(E488="","",IFERROR(_xlfn.XLOOKUP(E488,SyncCodex!N:N,SyncCodex!O:O),""))</f>
        <v/>
      </c>
      <c r="G488" s="71"/>
      <c r="H488" s="71" t="str">
        <f t="shared" si="1"/>
        <v/>
      </c>
      <c r="I488" s="8" t="b">
        <v>0</v>
      </c>
      <c r="J488" s="72"/>
      <c r="K488" s="72"/>
    </row>
    <row r="489">
      <c r="A489" s="69"/>
      <c r="B489" s="8"/>
      <c r="E489" s="70"/>
      <c r="F489" s="70" t="str">
        <f t="array" ref="F489">IF(E489="","",IFERROR(_xlfn.XLOOKUP(E489,SyncCodex!N:N,SyncCodex!O:O),""))</f>
        <v/>
      </c>
      <c r="G489" s="71"/>
      <c r="H489" s="71" t="str">
        <f t="shared" si="1"/>
        <v/>
      </c>
      <c r="I489" s="8" t="b">
        <v>0</v>
      </c>
      <c r="J489" s="72"/>
      <c r="K489" s="72"/>
    </row>
    <row r="490">
      <c r="A490" s="69"/>
      <c r="B490" s="8"/>
      <c r="E490" s="70"/>
      <c r="F490" s="70" t="str">
        <f t="array" ref="F490">IF(E490="","",IFERROR(_xlfn.XLOOKUP(E490,SyncCodex!N:N,SyncCodex!O:O),""))</f>
        <v/>
      </c>
      <c r="G490" s="71"/>
      <c r="H490" s="71" t="str">
        <f t="shared" si="1"/>
        <v/>
      </c>
      <c r="I490" s="8" t="b">
        <v>0</v>
      </c>
      <c r="J490" s="72"/>
      <c r="K490" s="72"/>
    </row>
    <row r="491">
      <c r="A491" s="69"/>
      <c r="B491" s="8"/>
      <c r="E491" s="70"/>
      <c r="F491" s="70" t="str">
        <f t="array" ref="F491">IF(E491="","",IFERROR(_xlfn.XLOOKUP(E491,SyncCodex!N:N,SyncCodex!O:O),""))</f>
        <v/>
      </c>
      <c r="G491" s="71"/>
      <c r="H491" s="71" t="str">
        <f t="shared" si="1"/>
        <v/>
      </c>
      <c r="I491" s="8" t="b">
        <v>0</v>
      </c>
      <c r="J491" s="72"/>
      <c r="K491" s="72"/>
    </row>
    <row r="492">
      <c r="A492" s="69"/>
      <c r="B492" s="8"/>
      <c r="E492" s="70"/>
      <c r="F492" s="70" t="str">
        <f t="array" ref="F492">IF(E492="","",IFERROR(_xlfn.XLOOKUP(E492,SyncCodex!N:N,SyncCodex!O:O),""))</f>
        <v/>
      </c>
      <c r="G492" s="71"/>
      <c r="H492" s="71" t="str">
        <f t="shared" si="1"/>
        <v/>
      </c>
      <c r="I492" s="8" t="b">
        <v>0</v>
      </c>
      <c r="J492" s="72"/>
      <c r="K492" s="72"/>
    </row>
    <row r="493">
      <c r="A493" s="69"/>
      <c r="B493" s="8"/>
      <c r="E493" s="70"/>
      <c r="F493" s="70" t="str">
        <f t="array" ref="F493">IF(E493="","",IFERROR(_xlfn.XLOOKUP(E493,SyncCodex!N:N,SyncCodex!O:O),""))</f>
        <v/>
      </c>
      <c r="G493" s="71"/>
      <c r="H493" s="71" t="str">
        <f t="shared" si="1"/>
        <v/>
      </c>
      <c r="I493" s="8" t="b">
        <v>0</v>
      </c>
      <c r="J493" s="72"/>
      <c r="K493" s="72"/>
    </row>
    <row r="494">
      <c r="A494" s="69"/>
      <c r="B494" s="8"/>
      <c r="E494" s="70"/>
      <c r="F494" s="70" t="str">
        <f t="array" ref="F494">IF(E494="","",IFERROR(_xlfn.XLOOKUP(E494,SyncCodex!N:N,SyncCodex!O:O),""))</f>
        <v/>
      </c>
      <c r="G494" s="71"/>
      <c r="H494" s="71" t="str">
        <f t="shared" si="1"/>
        <v/>
      </c>
      <c r="I494" s="8" t="b">
        <v>0</v>
      </c>
      <c r="J494" s="72"/>
      <c r="K494" s="72"/>
    </row>
    <row r="495">
      <c r="A495" s="69"/>
      <c r="B495" s="8"/>
      <c r="E495" s="70"/>
      <c r="F495" s="70" t="str">
        <f t="array" ref="F495">IF(E495="","",IFERROR(_xlfn.XLOOKUP(E495,SyncCodex!N:N,SyncCodex!O:O),""))</f>
        <v/>
      </c>
      <c r="G495" s="71"/>
      <c r="H495" s="71" t="str">
        <f t="shared" si="1"/>
        <v/>
      </c>
      <c r="I495" s="8" t="b">
        <v>0</v>
      </c>
      <c r="J495" s="72"/>
      <c r="K495" s="72"/>
    </row>
    <row r="496">
      <c r="A496" s="69"/>
      <c r="B496" s="8"/>
      <c r="E496" s="70"/>
      <c r="F496" s="70" t="str">
        <f t="array" ref="F496">IF(E496="","",IFERROR(_xlfn.XLOOKUP(E496,SyncCodex!N:N,SyncCodex!O:O),""))</f>
        <v/>
      </c>
      <c r="G496" s="71"/>
      <c r="H496" s="71" t="str">
        <f t="shared" si="1"/>
        <v/>
      </c>
      <c r="I496" s="8" t="b">
        <v>0</v>
      </c>
      <c r="J496" s="72"/>
      <c r="K496" s="72"/>
    </row>
    <row r="497">
      <c r="A497" s="69"/>
      <c r="B497" s="8"/>
      <c r="E497" s="70"/>
      <c r="F497" s="70" t="str">
        <f t="array" ref="F497">IF(E497="","",IFERROR(_xlfn.XLOOKUP(E497,SyncCodex!N:N,SyncCodex!O:O),""))</f>
        <v/>
      </c>
      <c r="G497" s="71"/>
      <c r="H497" s="71" t="str">
        <f t="shared" si="1"/>
        <v/>
      </c>
      <c r="I497" s="8" t="b">
        <v>0</v>
      </c>
      <c r="J497" s="72"/>
      <c r="K497" s="72"/>
    </row>
    <row r="498">
      <c r="A498" s="69"/>
      <c r="B498" s="8"/>
      <c r="E498" s="70"/>
      <c r="F498" s="70" t="str">
        <f t="array" ref="F498">IF(E498="","",IFERROR(_xlfn.XLOOKUP(E498,SyncCodex!N:N,SyncCodex!O:O),""))</f>
        <v/>
      </c>
      <c r="G498" s="71"/>
      <c r="H498" s="71" t="str">
        <f t="shared" si="1"/>
        <v/>
      </c>
      <c r="I498" s="8" t="b">
        <v>0</v>
      </c>
      <c r="J498" s="72"/>
      <c r="K498" s="72"/>
    </row>
    <row r="499">
      <c r="A499" s="69"/>
      <c r="B499" s="8"/>
      <c r="E499" s="70"/>
      <c r="F499" s="70" t="str">
        <f t="array" ref="F499">IF(E499="","",IFERROR(_xlfn.XLOOKUP(E499,SyncCodex!N:N,SyncCodex!O:O),""))</f>
        <v/>
      </c>
      <c r="G499" s="71"/>
      <c r="H499" s="71" t="str">
        <f t="shared" si="1"/>
        <v/>
      </c>
      <c r="I499" s="8" t="b">
        <v>0</v>
      </c>
      <c r="J499" s="72"/>
      <c r="K499" s="72"/>
    </row>
    <row r="500">
      <c r="A500" s="69"/>
      <c r="B500" s="8"/>
      <c r="E500" s="70"/>
      <c r="F500" s="70" t="str">
        <f t="array" ref="F500">IF(E500="","",IFERROR(_xlfn.XLOOKUP(E500,SyncCodex!N:N,SyncCodex!O:O),""))</f>
        <v/>
      </c>
      <c r="G500" s="71"/>
      <c r="H500" s="71" t="str">
        <f t="shared" si="1"/>
        <v/>
      </c>
      <c r="I500" s="8" t="b">
        <v>0</v>
      </c>
      <c r="J500" s="72"/>
      <c r="K500" s="72"/>
    </row>
    <row r="501">
      <c r="A501" s="69"/>
      <c r="B501" s="8"/>
      <c r="E501" s="70"/>
      <c r="F501" s="70" t="str">
        <f t="array" ref="F501">IF(E501="","",IFERROR(_xlfn.XLOOKUP(E501,SyncCodex!N:N,SyncCodex!O:O),""))</f>
        <v/>
      </c>
      <c r="G501" s="71"/>
      <c r="H501" s="71" t="str">
        <f t="shared" si="1"/>
        <v/>
      </c>
      <c r="I501" s="8" t="b">
        <v>0</v>
      </c>
      <c r="J501" s="72"/>
      <c r="K501" s="72"/>
    </row>
    <row r="502">
      <c r="A502" s="69"/>
      <c r="B502" s="8"/>
      <c r="E502" s="70"/>
      <c r="F502" s="70" t="str">
        <f t="array" ref="F502">IF(E502="","",IFERROR(_xlfn.XLOOKUP(E502,SyncCodex!N:N,SyncCodex!O:O),""))</f>
        <v/>
      </c>
      <c r="G502" s="71"/>
      <c r="H502" s="71" t="str">
        <f t="shared" si="1"/>
        <v/>
      </c>
      <c r="I502" s="8" t="b">
        <v>0</v>
      </c>
      <c r="J502" s="72"/>
      <c r="K502" s="72"/>
    </row>
    <row r="503">
      <c r="A503" s="69"/>
      <c r="B503" s="8"/>
      <c r="E503" s="70"/>
      <c r="F503" s="70" t="str">
        <f t="array" ref="F503">IF(E503="","",IFERROR(_xlfn.XLOOKUP(E503,SyncCodex!N:N,SyncCodex!O:O),""))</f>
        <v/>
      </c>
      <c r="G503" s="71"/>
      <c r="H503" s="71" t="str">
        <f t="shared" si="1"/>
        <v/>
      </c>
      <c r="I503" s="8" t="b">
        <v>0</v>
      </c>
      <c r="J503" s="72"/>
      <c r="K503" s="72"/>
    </row>
    <row r="504">
      <c r="A504" s="69"/>
      <c r="B504" s="8"/>
      <c r="E504" s="70"/>
      <c r="F504" s="70" t="str">
        <f t="array" ref="F504">IF(E504="","",IFERROR(_xlfn.XLOOKUP(E504,SyncCodex!N:N,SyncCodex!O:O),""))</f>
        <v/>
      </c>
      <c r="G504" s="71"/>
      <c r="H504" s="71" t="str">
        <f t="shared" si="1"/>
        <v/>
      </c>
      <c r="I504" s="8" t="b">
        <v>0</v>
      </c>
      <c r="J504" s="72"/>
      <c r="K504" s="72"/>
    </row>
    <row r="505">
      <c r="A505" s="69"/>
      <c r="B505" s="8"/>
      <c r="E505" s="70"/>
      <c r="F505" s="70" t="str">
        <f t="array" ref="F505">IF(E505="","",IFERROR(_xlfn.XLOOKUP(E505,SyncCodex!N:N,SyncCodex!O:O),""))</f>
        <v/>
      </c>
      <c r="G505" s="71"/>
      <c r="H505" s="71" t="str">
        <f t="shared" si="1"/>
        <v/>
      </c>
      <c r="I505" s="8" t="b">
        <v>0</v>
      </c>
      <c r="J505" s="72"/>
      <c r="K505" s="72"/>
    </row>
    <row r="506">
      <c r="A506" s="69"/>
      <c r="B506" s="8"/>
      <c r="E506" s="70"/>
      <c r="F506" s="70" t="str">
        <f t="array" ref="F506">IF(E506="","",IFERROR(_xlfn.XLOOKUP(E506,SyncCodex!N:N,SyncCodex!O:O),""))</f>
        <v/>
      </c>
      <c r="G506" s="71"/>
      <c r="H506" s="71" t="str">
        <f t="shared" si="1"/>
        <v/>
      </c>
      <c r="I506" s="8" t="b">
        <v>0</v>
      </c>
      <c r="J506" s="72"/>
      <c r="K506" s="72"/>
    </row>
    <row r="507">
      <c r="A507" s="69"/>
      <c r="B507" s="8"/>
      <c r="E507" s="70"/>
      <c r="F507" s="70" t="str">
        <f t="array" ref="F507">IF(E507="","",IFERROR(_xlfn.XLOOKUP(E507,SyncCodex!N:N,SyncCodex!O:O),""))</f>
        <v/>
      </c>
      <c r="G507" s="71"/>
      <c r="H507" s="71" t="str">
        <f t="shared" si="1"/>
        <v/>
      </c>
      <c r="I507" s="8" t="b">
        <v>0</v>
      </c>
      <c r="J507" s="72"/>
      <c r="K507" s="72"/>
    </row>
    <row r="508">
      <c r="A508" s="69"/>
      <c r="B508" s="8"/>
      <c r="E508" s="70"/>
      <c r="F508" s="70" t="str">
        <f t="array" ref="F508">IF(E508="","",IFERROR(_xlfn.XLOOKUP(E508,SyncCodex!N:N,SyncCodex!O:O),""))</f>
        <v/>
      </c>
      <c r="G508" s="71"/>
      <c r="H508" s="71" t="str">
        <f t="shared" si="1"/>
        <v/>
      </c>
      <c r="I508" s="8" t="b">
        <v>0</v>
      </c>
      <c r="J508" s="72"/>
      <c r="K508" s="72"/>
    </row>
    <row r="509">
      <c r="A509" s="69"/>
      <c r="B509" s="8"/>
      <c r="E509" s="70"/>
      <c r="F509" s="70" t="str">
        <f t="array" ref="F509">IF(E509="","",IFERROR(_xlfn.XLOOKUP(E509,SyncCodex!N:N,SyncCodex!O:O),""))</f>
        <v/>
      </c>
      <c r="G509" s="71"/>
      <c r="H509" s="71" t="str">
        <f t="shared" si="1"/>
        <v/>
      </c>
      <c r="I509" s="8" t="b">
        <v>0</v>
      </c>
      <c r="J509" s="72"/>
      <c r="K509" s="72"/>
    </row>
    <row r="510">
      <c r="A510" s="69"/>
      <c r="B510" s="8"/>
      <c r="E510" s="70"/>
      <c r="F510" s="70" t="str">
        <f t="array" ref="F510">IF(E510="","",IFERROR(_xlfn.XLOOKUP(E510,SyncCodex!N:N,SyncCodex!O:O),""))</f>
        <v/>
      </c>
      <c r="G510" s="71"/>
      <c r="H510" s="71" t="str">
        <f t="shared" si="1"/>
        <v/>
      </c>
      <c r="I510" s="8" t="b">
        <v>0</v>
      </c>
      <c r="J510" s="72"/>
      <c r="K510" s="72"/>
    </row>
    <row r="511">
      <c r="A511" s="69"/>
      <c r="B511" s="8"/>
      <c r="E511" s="70"/>
      <c r="F511" s="70" t="str">
        <f t="array" ref="F511">IF(E511="","",IFERROR(_xlfn.XLOOKUP(E511,SyncCodex!N:N,SyncCodex!O:O),""))</f>
        <v/>
      </c>
      <c r="G511" s="71"/>
      <c r="H511" s="71" t="str">
        <f t="shared" si="1"/>
        <v/>
      </c>
      <c r="I511" s="8" t="b">
        <v>0</v>
      </c>
      <c r="J511" s="72"/>
      <c r="K511" s="72"/>
    </row>
    <row r="512">
      <c r="A512" s="69"/>
      <c r="B512" s="8"/>
      <c r="E512" s="70"/>
      <c r="F512" s="70" t="str">
        <f t="array" ref="F512">IF(E512="","",IFERROR(_xlfn.XLOOKUP(E512,SyncCodex!N:N,SyncCodex!O:O),""))</f>
        <v/>
      </c>
      <c r="G512" s="71"/>
      <c r="H512" s="71" t="str">
        <f t="shared" si="1"/>
        <v/>
      </c>
      <c r="I512" s="8" t="b">
        <v>0</v>
      </c>
      <c r="J512" s="72"/>
      <c r="K512" s="72"/>
    </row>
    <row r="513">
      <c r="A513" s="69"/>
      <c r="B513" s="8"/>
      <c r="E513" s="70"/>
      <c r="F513" s="70" t="str">
        <f t="array" ref="F513">IF(E513="","",IFERROR(_xlfn.XLOOKUP(E513,SyncCodex!N:N,SyncCodex!O:O),""))</f>
        <v/>
      </c>
      <c r="G513" s="71"/>
      <c r="H513" s="71" t="str">
        <f t="shared" si="1"/>
        <v/>
      </c>
      <c r="I513" s="8" t="b">
        <v>0</v>
      </c>
      <c r="J513" s="72"/>
      <c r="K513" s="72"/>
    </row>
    <row r="514">
      <c r="A514" s="69"/>
      <c r="B514" s="8"/>
      <c r="E514" s="70"/>
      <c r="F514" s="70" t="str">
        <f t="array" ref="F514">IF(E514="","",IFERROR(_xlfn.XLOOKUP(E514,SyncCodex!N:N,SyncCodex!O:O),""))</f>
        <v/>
      </c>
      <c r="G514" s="71"/>
      <c r="H514" s="71" t="str">
        <f t="shared" si="1"/>
        <v/>
      </c>
      <c r="I514" s="8" t="b">
        <v>0</v>
      </c>
      <c r="J514" s="72"/>
      <c r="K514" s="72"/>
    </row>
    <row r="515">
      <c r="A515" s="69"/>
      <c r="B515" s="8"/>
      <c r="E515" s="70"/>
      <c r="F515" s="70" t="str">
        <f t="array" ref="F515">IF(E515="","",IFERROR(_xlfn.XLOOKUP(E515,SyncCodex!N:N,SyncCodex!O:O),""))</f>
        <v/>
      </c>
      <c r="G515" s="71"/>
      <c r="H515" s="71" t="str">
        <f t="shared" si="1"/>
        <v/>
      </c>
      <c r="I515" s="8" t="b">
        <v>0</v>
      </c>
      <c r="J515" s="72"/>
      <c r="K515" s="72"/>
    </row>
    <row r="516">
      <c r="A516" s="69"/>
      <c r="B516" s="8"/>
      <c r="E516" s="70"/>
      <c r="F516" s="70" t="str">
        <f t="array" ref="F516">IF(E516="","",IFERROR(_xlfn.XLOOKUP(E516,SyncCodex!N:N,SyncCodex!O:O),""))</f>
        <v/>
      </c>
      <c r="G516" s="71"/>
      <c r="H516" s="71" t="str">
        <f t="shared" si="1"/>
        <v/>
      </c>
      <c r="I516" s="8" t="b">
        <v>0</v>
      </c>
      <c r="J516" s="72"/>
      <c r="K516" s="72"/>
    </row>
    <row r="517">
      <c r="A517" s="69"/>
      <c r="B517" s="8"/>
      <c r="E517" s="70"/>
      <c r="F517" s="70" t="str">
        <f t="array" ref="F517">IF(E517="","",IFERROR(_xlfn.XLOOKUP(E517,SyncCodex!N:N,SyncCodex!O:O),""))</f>
        <v/>
      </c>
      <c r="G517" s="71"/>
      <c r="H517" s="71" t="str">
        <f t="shared" si="1"/>
        <v/>
      </c>
      <c r="I517" s="8" t="b">
        <v>0</v>
      </c>
      <c r="J517" s="72"/>
      <c r="K517" s="72"/>
    </row>
    <row r="518">
      <c r="A518" s="69"/>
      <c r="B518" s="8"/>
      <c r="E518" s="70"/>
      <c r="F518" s="70" t="str">
        <f t="array" ref="F518">IF(E518="","",IFERROR(_xlfn.XLOOKUP(E518,SyncCodex!N:N,SyncCodex!O:O),""))</f>
        <v/>
      </c>
      <c r="G518" s="71"/>
      <c r="H518" s="71" t="str">
        <f t="shared" si="1"/>
        <v/>
      </c>
      <c r="I518" s="8" t="b">
        <v>0</v>
      </c>
      <c r="J518" s="72"/>
      <c r="K518" s="72"/>
    </row>
    <row r="519">
      <c r="A519" s="69"/>
      <c r="B519" s="8"/>
      <c r="E519" s="70"/>
      <c r="F519" s="70" t="str">
        <f t="array" ref="F519">IF(E519="","",IFERROR(_xlfn.XLOOKUP(E519,SyncCodex!N:N,SyncCodex!O:O),""))</f>
        <v/>
      </c>
      <c r="G519" s="71"/>
      <c r="H519" s="71" t="str">
        <f t="shared" si="1"/>
        <v/>
      </c>
      <c r="I519" s="8" t="b">
        <v>0</v>
      </c>
      <c r="J519" s="72"/>
      <c r="K519" s="72"/>
    </row>
    <row r="520">
      <c r="A520" s="69"/>
      <c r="B520" s="8"/>
      <c r="E520" s="70"/>
      <c r="F520" s="70" t="str">
        <f t="array" ref="F520">IF(E520="","",IFERROR(_xlfn.XLOOKUP(E520,SyncCodex!N:N,SyncCodex!O:O),""))</f>
        <v/>
      </c>
      <c r="G520" s="71"/>
      <c r="H520" s="71" t="str">
        <f t="shared" si="1"/>
        <v/>
      </c>
      <c r="I520" s="8" t="b">
        <v>0</v>
      </c>
      <c r="J520" s="72"/>
      <c r="K520" s="72"/>
    </row>
    <row r="521">
      <c r="A521" s="69"/>
      <c r="B521" s="8"/>
      <c r="E521" s="70"/>
      <c r="F521" s="70" t="str">
        <f t="array" ref="F521">IF(E521="","",IFERROR(_xlfn.XLOOKUP(E521,SyncCodex!N:N,SyncCodex!O:O),""))</f>
        <v/>
      </c>
      <c r="G521" s="71"/>
      <c r="H521" s="71" t="str">
        <f t="shared" si="1"/>
        <v/>
      </c>
      <c r="I521" s="8" t="b">
        <v>0</v>
      </c>
      <c r="J521" s="72"/>
      <c r="K521" s="72"/>
    </row>
    <row r="522">
      <c r="A522" s="69"/>
      <c r="B522" s="8"/>
      <c r="E522" s="70"/>
      <c r="F522" s="70" t="str">
        <f t="array" ref="F522">IF(E522="","",IFERROR(_xlfn.XLOOKUP(E522,SyncCodex!N:N,SyncCodex!O:O),""))</f>
        <v/>
      </c>
      <c r="G522" s="71"/>
      <c r="H522" s="71" t="str">
        <f t="shared" si="1"/>
        <v/>
      </c>
      <c r="I522" s="8" t="b">
        <v>0</v>
      </c>
      <c r="J522" s="72"/>
      <c r="K522" s="72"/>
    </row>
    <row r="523">
      <c r="A523" s="69"/>
      <c r="B523" s="8"/>
      <c r="E523" s="70"/>
      <c r="F523" s="70" t="str">
        <f t="array" ref="F523">IF(E523="","",IFERROR(_xlfn.XLOOKUP(E523,SyncCodex!N:N,SyncCodex!O:O),""))</f>
        <v/>
      </c>
      <c r="G523" s="71"/>
      <c r="H523" s="71" t="str">
        <f t="shared" si="1"/>
        <v/>
      </c>
      <c r="I523" s="8" t="b">
        <v>0</v>
      </c>
      <c r="J523" s="72"/>
      <c r="K523" s="72"/>
    </row>
    <row r="524">
      <c r="A524" s="69"/>
      <c r="B524" s="8"/>
      <c r="E524" s="70"/>
      <c r="F524" s="70" t="str">
        <f t="array" ref="F524">IF(E524="","",IFERROR(_xlfn.XLOOKUP(E524,SyncCodex!N:N,SyncCodex!O:O),""))</f>
        <v/>
      </c>
      <c r="G524" s="71"/>
      <c r="H524" s="71" t="str">
        <f t="shared" si="1"/>
        <v/>
      </c>
      <c r="I524" s="8" t="b">
        <v>0</v>
      </c>
      <c r="J524" s="72"/>
      <c r="K524" s="72"/>
    </row>
    <row r="525">
      <c r="A525" s="69"/>
      <c r="B525" s="8"/>
      <c r="E525" s="70"/>
      <c r="F525" s="70" t="str">
        <f t="array" ref="F525">IF(E525="","",IFERROR(_xlfn.XLOOKUP(E525,SyncCodex!N:N,SyncCodex!O:O),""))</f>
        <v/>
      </c>
      <c r="G525" s="71"/>
      <c r="H525" s="71" t="str">
        <f t="shared" si="1"/>
        <v/>
      </c>
      <c r="I525" s="8" t="b">
        <v>0</v>
      </c>
      <c r="J525" s="72"/>
      <c r="K525" s="72"/>
    </row>
    <row r="526">
      <c r="A526" s="69"/>
      <c r="B526" s="8"/>
      <c r="E526" s="70"/>
      <c r="F526" s="70" t="str">
        <f t="array" ref="F526">IF(E526="","",IFERROR(_xlfn.XLOOKUP(E526,SyncCodex!N:N,SyncCodex!O:O),""))</f>
        <v/>
      </c>
      <c r="G526" s="71"/>
      <c r="H526" s="71" t="str">
        <f t="shared" si="1"/>
        <v/>
      </c>
      <c r="I526" s="8" t="b">
        <v>0</v>
      </c>
      <c r="J526" s="72"/>
      <c r="K526" s="72"/>
    </row>
    <row r="527">
      <c r="A527" s="69"/>
      <c r="B527" s="8"/>
      <c r="E527" s="70"/>
      <c r="F527" s="70" t="str">
        <f t="array" ref="F527">IF(E527="","",IFERROR(_xlfn.XLOOKUP(E527,SyncCodex!N:N,SyncCodex!O:O),""))</f>
        <v/>
      </c>
      <c r="G527" s="71"/>
      <c r="H527" s="71" t="str">
        <f t="shared" si="1"/>
        <v/>
      </c>
      <c r="I527" s="8" t="b">
        <v>0</v>
      </c>
      <c r="J527" s="72"/>
      <c r="K527" s="72"/>
    </row>
    <row r="528">
      <c r="A528" s="69"/>
      <c r="B528" s="8"/>
      <c r="E528" s="70"/>
      <c r="F528" s="70" t="str">
        <f t="array" ref="F528">IF(E528="","",IFERROR(_xlfn.XLOOKUP(E528,SyncCodex!N:N,SyncCodex!O:O),""))</f>
        <v/>
      </c>
      <c r="G528" s="71"/>
      <c r="H528" s="71" t="str">
        <f t="shared" si="1"/>
        <v/>
      </c>
      <c r="I528" s="8" t="b">
        <v>0</v>
      </c>
      <c r="J528" s="72"/>
      <c r="K528" s="72"/>
    </row>
    <row r="529">
      <c r="A529" s="69"/>
      <c r="B529" s="8"/>
      <c r="E529" s="70"/>
      <c r="F529" s="70" t="str">
        <f t="array" ref="F529">IF(E529="","",IFERROR(_xlfn.XLOOKUP(E529,SyncCodex!N:N,SyncCodex!O:O),""))</f>
        <v/>
      </c>
      <c r="G529" s="71"/>
      <c r="H529" s="71" t="str">
        <f t="shared" si="1"/>
        <v/>
      </c>
      <c r="I529" s="8" t="b">
        <v>0</v>
      </c>
      <c r="J529" s="72"/>
      <c r="K529" s="72"/>
    </row>
    <row r="530">
      <c r="A530" s="69"/>
      <c r="B530" s="8"/>
      <c r="E530" s="70"/>
      <c r="F530" s="70" t="str">
        <f t="array" ref="F530">IF(E530="","",IFERROR(_xlfn.XLOOKUP(E530,SyncCodex!N:N,SyncCodex!O:O),""))</f>
        <v/>
      </c>
      <c r="G530" s="71"/>
      <c r="H530" s="71" t="str">
        <f t="shared" si="1"/>
        <v/>
      </c>
      <c r="I530" s="8" t="b">
        <v>0</v>
      </c>
      <c r="J530" s="72"/>
      <c r="K530" s="72"/>
    </row>
    <row r="531">
      <c r="A531" s="69"/>
      <c r="B531" s="8"/>
      <c r="E531" s="70"/>
      <c r="F531" s="70" t="str">
        <f t="array" ref="F531">IF(E531="","",IFERROR(_xlfn.XLOOKUP(E531,SyncCodex!N:N,SyncCodex!O:O),""))</f>
        <v/>
      </c>
      <c r="G531" s="71"/>
      <c r="H531" s="71" t="str">
        <f t="shared" si="1"/>
        <v/>
      </c>
      <c r="I531" s="8" t="b">
        <v>0</v>
      </c>
      <c r="J531" s="72"/>
      <c r="K531" s="72"/>
    </row>
    <row r="532">
      <c r="A532" s="69"/>
      <c r="B532" s="8"/>
      <c r="E532" s="70"/>
      <c r="F532" s="70" t="str">
        <f t="array" ref="F532">IF(E532="","",IFERROR(_xlfn.XLOOKUP(E532,SyncCodex!N:N,SyncCodex!O:O),""))</f>
        <v/>
      </c>
      <c r="G532" s="71"/>
      <c r="H532" s="71" t="str">
        <f t="shared" si="1"/>
        <v/>
      </c>
      <c r="I532" s="8" t="b">
        <v>0</v>
      </c>
      <c r="J532" s="72"/>
      <c r="K532" s="72"/>
    </row>
    <row r="533">
      <c r="A533" s="69"/>
      <c r="B533" s="8"/>
      <c r="E533" s="70"/>
      <c r="F533" s="70" t="str">
        <f t="array" ref="F533">IF(E533="","",IFERROR(_xlfn.XLOOKUP(E533,SyncCodex!N:N,SyncCodex!O:O),""))</f>
        <v/>
      </c>
      <c r="G533" s="71"/>
      <c r="H533" s="71" t="str">
        <f t="shared" si="1"/>
        <v/>
      </c>
      <c r="I533" s="8" t="b">
        <v>0</v>
      </c>
      <c r="J533" s="72"/>
      <c r="K533" s="72"/>
    </row>
    <row r="534">
      <c r="A534" s="69"/>
      <c r="B534" s="8"/>
      <c r="E534" s="70"/>
      <c r="F534" s="70" t="str">
        <f t="array" ref="F534">IF(E534="","",IFERROR(_xlfn.XLOOKUP(E534,SyncCodex!N:N,SyncCodex!O:O),""))</f>
        <v/>
      </c>
      <c r="G534" s="71"/>
      <c r="H534" s="71" t="str">
        <f t="shared" si="1"/>
        <v/>
      </c>
      <c r="I534" s="8" t="b">
        <v>0</v>
      </c>
      <c r="J534" s="72"/>
      <c r="K534" s="72"/>
    </row>
    <row r="535">
      <c r="A535" s="69"/>
      <c r="B535" s="8"/>
      <c r="E535" s="70"/>
      <c r="F535" s="70" t="str">
        <f t="array" ref="F535">IF(E535="","",IFERROR(_xlfn.XLOOKUP(E535,SyncCodex!N:N,SyncCodex!O:O),""))</f>
        <v/>
      </c>
      <c r="G535" s="71"/>
      <c r="H535" s="71" t="str">
        <f t="shared" si="1"/>
        <v/>
      </c>
      <c r="I535" s="8" t="b">
        <v>0</v>
      </c>
      <c r="J535" s="72"/>
      <c r="K535" s="72"/>
    </row>
    <row r="536">
      <c r="A536" s="69"/>
      <c r="B536" s="8"/>
      <c r="E536" s="70"/>
      <c r="F536" s="70" t="str">
        <f t="array" ref="F536">IF(E536="","",IFERROR(_xlfn.XLOOKUP(E536,SyncCodex!N:N,SyncCodex!O:O),""))</f>
        <v/>
      </c>
      <c r="G536" s="71"/>
      <c r="H536" s="71" t="str">
        <f t="shared" si="1"/>
        <v/>
      </c>
      <c r="I536" s="8" t="b">
        <v>0</v>
      </c>
      <c r="J536" s="72"/>
      <c r="K536" s="72"/>
    </row>
    <row r="537">
      <c r="A537" s="69"/>
      <c r="B537" s="8"/>
      <c r="E537" s="70"/>
      <c r="F537" s="70" t="str">
        <f t="array" ref="F537">IF(E537="","",IFERROR(_xlfn.XLOOKUP(E537,SyncCodex!N:N,SyncCodex!O:O),""))</f>
        <v/>
      </c>
      <c r="G537" s="71"/>
      <c r="H537" s="71" t="str">
        <f t="shared" si="1"/>
        <v/>
      </c>
      <c r="I537" s="8" t="b">
        <v>0</v>
      </c>
      <c r="J537" s="72"/>
      <c r="K537" s="72"/>
    </row>
    <row r="538">
      <c r="A538" s="69"/>
      <c r="B538" s="8"/>
      <c r="E538" s="70"/>
      <c r="F538" s="70" t="str">
        <f t="array" ref="F538">IF(E538="","",IFERROR(_xlfn.XLOOKUP(E538,SyncCodex!N:N,SyncCodex!O:O),""))</f>
        <v/>
      </c>
      <c r="G538" s="71"/>
      <c r="H538" s="71" t="str">
        <f t="shared" si="1"/>
        <v/>
      </c>
      <c r="I538" s="8" t="b">
        <v>0</v>
      </c>
      <c r="J538" s="72"/>
      <c r="K538" s="72"/>
    </row>
    <row r="539">
      <c r="A539" s="69"/>
      <c r="B539" s="8"/>
      <c r="E539" s="70"/>
      <c r="F539" s="70" t="str">
        <f t="array" ref="F539">IF(E539="","",IFERROR(_xlfn.XLOOKUP(E539,SyncCodex!N:N,SyncCodex!O:O),""))</f>
        <v/>
      </c>
      <c r="G539" s="71"/>
      <c r="H539" s="71" t="str">
        <f t="shared" si="1"/>
        <v/>
      </c>
      <c r="I539" s="8" t="b">
        <v>0</v>
      </c>
      <c r="J539" s="72"/>
      <c r="K539" s="72"/>
    </row>
    <row r="540">
      <c r="A540" s="69"/>
      <c r="B540" s="8"/>
      <c r="E540" s="70"/>
      <c r="F540" s="70" t="str">
        <f t="array" ref="F540">IF(E540="","",IFERROR(_xlfn.XLOOKUP(E540,SyncCodex!N:N,SyncCodex!O:O),""))</f>
        <v/>
      </c>
      <c r="G540" s="71"/>
      <c r="H540" s="71" t="str">
        <f t="shared" si="1"/>
        <v/>
      </c>
      <c r="I540" s="8" t="b">
        <v>0</v>
      </c>
      <c r="J540" s="72"/>
      <c r="K540" s="72"/>
    </row>
    <row r="541">
      <c r="A541" s="69"/>
      <c r="B541" s="8"/>
      <c r="E541" s="70"/>
      <c r="F541" s="70" t="str">
        <f t="array" ref="F541">IF(E541="","",IFERROR(_xlfn.XLOOKUP(E541,SyncCodex!N:N,SyncCodex!O:O),""))</f>
        <v/>
      </c>
      <c r="G541" s="71"/>
      <c r="H541" s="71" t="str">
        <f t="shared" si="1"/>
        <v/>
      </c>
      <c r="I541" s="8" t="b">
        <v>0</v>
      </c>
      <c r="J541" s="72"/>
      <c r="K541" s="72"/>
    </row>
    <row r="542">
      <c r="A542" s="69"/>
      <c r="B542" s="8"/>
      <c r="E542" s="70"/>
      <c r="F542" s="70" t="str">
        <f t="array" ref="F542">IF(E542="","",IFERROR(_xlfn.XLOOKUP(E542,SyncCodex!N:N,SyncCodex!O:O),""))</f>
        <v/>
      </c>
      <c r="G542" s="71"/>
      <c r="H542" s="71" t="str">
        <f t="shared" si="1"/>
        <v/>
      </c>
      <c r="I542" s="8" t="b">
        <v>0</v>
      </c>
      <c r="J542" s="72"/>
      <c r="K542" s="72"/>
    </row>
    <row r="543">
      <c r="A543" s="69"/>
      <c r="B543" s="8"/>
      <c r="E543" s="70"/>
      <c r="F543" s="70" t="str">
        <f t="array" ref="F543">IF(E543="","",IFERROR(_xlfn.XLOOKUP(E543,SyncCodex!N:N,SyncCodex!O:O),""))</f>
        <v/>
      </c>
      <c r="G543" s="71"/>
      <c r="H543" s="71" t="str">
        <f t="shared" si="1"/>
        <v/>
      </c>
      <c r="I543" s="8" t="b">
        <v>0</v>
      </c>
      <c r="J543" s="72"/>
      <c r="K543" s="72"/>
    </row>
    <row r="544">
      <c r="A544" s="69"/>
      <c r="B544" s="8"/>
      <c r="E544" s="70"/>
      <c r="F544" s="70" t="str">
        <f t="array" ref="F544">IF(E544="","",IFERROR(_xlfn.XLOOKUP(E544,SyncCodex!N:N,SyncCodex!O:O),""))</f>
        <v/>
      </c>
      <c r="G544" s="71"/>
      <c r="H544" s="71" t="str">
        <f t="shared" si="1"/>
        <v/>
      </c>
      <c r="I544" s="8" t="b">
        <v>0</v>
      </c>
      <c r="J544" s="72"/>
      <c r="K544" s="72"/>
    </row>
    <row r="545">
      <c r="A545" s="69"/>
      <c r="B545" s="8"/>
      <c r="E545" s="70"/>
      <c r="F545" s="70" t="str">
        <f t="array" ref="F545">IF(E545="","",IFERROR(_xlfn.XLOOKUP(E545,SyncCodex!N:N,SyncCodex!O:O),""))</f>
        <v/>
      </c>
      <c r="G545" s="71"/>
      <c r="H545" s="71" t="str">
        <f t="shared" si="1"/>
        <v/>
      </c>
      <c r="I545" s="8" t="b">
        <v>0</v>
      </c>
      <c r="J545" s="72"/>
      <c r="K545" s="72"/>
    </row>
    <row r="546">
      <c r="A546" s="69"/>
      <c r="B546" s="8"/>
      <c r="E546" s="70"/>
      <c r="F546" s="70" t="str">
        <f t="array" ref="F546">IF(E546="","",IFERROR(_xlfn.XLOOKUP(E546,SyncCodex!N:N,SyncCodex!O:O),""))</f>
        <v/>
      </c>
      <c r="G546" s="71"/>
      <c r="H546" s="71" t="str">
        <f t="shared" si="1"/>
        <v/>
      </c>
      <c r="I546" s="8" t="b">
        <v>0</v>
      </c>
      <c r="J546" s="72"/>
      <c r="K546" s="72"/>
    </row>
    <row r="547">
      <c r="A547" s="69"/>
      <c r="B547" s="8"/>
      <c r="E547" s="70"/>
      <c r="F547" s="70" t="str">
        <f t="array" ref="F547">IF(E547="","",IFERROR(_xlfn.XLOOKUP(E547,SyncCodex!N:N,SyncCodex!O:O),""))</f>
        <v/>
      </c>
      <c r="G547" s="71"/>
      <c r="H547" s="71" t="str">
        <f t="shared" si="1"/>
        <v/>
      </c>
      <c r="I547" s="8" t="b">
        <v>0</v>
      </c>
      <c r="J547" s="72"/>
      <c r="K547" s="72"/>
    </row>
    <row r="548">
      <c r="A548" s="69"/>
      <c r="B548" s="8"/>
      <c r="E548" s="70"/>
      <c r="F548" s="70" t="str">
        <f t="array" ref="F548">IF(E548="","",IFERROR(_xlfn.XLOOKUP(E548,SyncCodex!N:N,SyncCodex!O:O),""))</f>
        <v/>
      </c>
      <c r="G548" s="71"/>
      <c r="H548" s="71" t="str">
        <f t="shared" si="1"/>
        <v/>
      </c>
      <c r="I548" s="8" t="b">
        <v>0</v>
      </c>
      <c r="J548" s="72"/>
      <c r="K548" s="72"/>
    </row>
    <row r="549">
      <c r="A549" s="69"/>
      <c r="B549" s="8"/>
      <c r="E549" s="70"/>
      <c r="F549" s="70" t="str">
        <f t="array" ref="F549">IF(E549="","",IFERROR(_xlfn.XLOOKUP(E549,SyncCodex!N:N,SyncCodex!O:O),""))</f>
        <v/>
      </c>
      <c r="G549" s="71"/>
      <c r="H549" s="71" t="str">
        <f t="shared" si="1"/>
        <v/>
      </c>
      <c r="I549" s="8" t="b">
        <v>0</v>
      </c>
      <c r="J549" s="72"/>
      <c r="K549" s="72"/>
    </row>
    <row r="550">
      <c r="A550" s="69"/>
      <c r="B550" s="8"/>
      <c r="E550" s="70"/>
      <c r="F550" s="70" t="str">
        <f t="array" ref="F550">IF(E550="","",IFERROR(_xlfn.XLOOKUP(E550,SyncCodex!N:N,SyncCodex!O:O),""))</f>
        <v/>
      </c>
      <c r="G550" s="71"/>
      <c r="H550" s="71" t="str">
        <f t="shared" si="1"/>
        <v/>
      </c>
      <c r="I550" s="8" t="b">
        <v>0</v>
      </c>
      <c r="J550" s="72"/>
      <c r="K550" s="72"/>
    </row>
    <row r="551">
      <c r="A551" s="69"/>
      <c r="B551" s="8"/>
      <c r="E551" s="70"/>
      <c r="F551" s="70" t="str">
        <f t="array" ref="F551">IF(E551="","",IFERROR(_xlfn.XLOOKUP(E551,SyncCodex!N:N,SyncCodex!O:O),""))</f>
        <v/>
      </c>
      <c r="G551" s="71"/>
      <c r="H551" s="71" t="str">
        <f t="shared" si="1"/>
        <v/>
      </c>
      <c r="I551" s="8" t="b">
        <v>0</v>
      </c>
      <c r="J551" s="72"/>
      <c r="K551" s="72"/>
    </row>
    <row r="552">
      <c r="A552" s="69"/>
      <c r="B552" s="8"/>
      <c r="E552" s="70"/>
      <c r="F552" s="70" t="str">
        <f t="array" ref="F552">IF(E552="","",IFERROR(_xlfn.XLOOKUP(E552,SyncCodex!N:N,SyncCodex!O:O),""))</f>
        <v/>
      </c>
      <c r="G552" s="71"/>
      <c r="H552" s="71" t="str">
        <f t="shared" si="1"/>
        <v/>
      </c>
      <c r="I552" s="8" t="b">
        <v>0</v>
      </c>
      <c r="J552" s="72"/>
      <c r="K552" s="72"/>
    </row>
    <row r="553">
      <c r="A553" s="69"/>
      <c r="B553" s="8"/>
      <c r="E553" s="70"/>
      <c r="F553" s="70" t="str">
        <f t="array" ref="F553">IF(E553="","",IFERROR(_xlfn.XLOOKUP(E553,SyncCodex!N:N,SyncCodex!O:O),""))</f>
        <v/>
      </c>
      <c r="G553" s="71"/>
      <c r="H553" s="71" t="str">
        <f t="shared" si="1"/>
        <v/>
      </c>
      <c r="I553" s="8" t="b">
        <v>0</v>
      </c>
      <c r="J553" s="72"/>
      <c r="K553" s="72"/>
    </row>
    <row r="554">
      <c r="A554" s="69"/>
      <c r="B554" s="8"/>
      <c r="E554" s="70"/>
      <c r="F554" s="70" t="str">
        <f t="array" ref="F554">IF(E554="","",IFERROR(_xlfn.XLOOKUP(E554,SyncCodex!N:N,SyncCodex!O:O),""))</f>
        <v/>
      </c>
      <c r="G554" s="71"/>
      <c r="H554" s="71" t="str">
        <f t="shared" si="1"/>
        <v/>
      </c>
      <c r="I554" s="8" t="b">
        <v>0</v>
      </c>
      <c r="J554" s="72"/>
      <c r="K554" s="72"/>
    </row>
    <row r="555">
      <c r="A555" s="69"/>
      <c r="B555" s="8"/>
      <c r="E555" s="70"/>
      <c r="F555" s="70" t="str">
        <f t="array" ref="F555">IF(E555="","",IFERROR(_xlfn.XLOOKUP(E555,SyncCodex!N:N,SyncCodex!O:O),""))</f>
        <v/>
      </c>
      <c r="G555" s="71"/>
      <c r="H555" s="71" t="str">
        <f t="shared" si="1"/>
        <v/>
      </c>
      <c r="I555" s="8" t="b">
        <v>0</v>
      </c>
      <c r="J555" s="72"/>
      <c r="K555" s="72"/>
    </row>
    <row r="556">
      <c r="A556" s="69"/>
      <c r="B556" s="8"/>
      <c r="E556" s="70"/>
      <c r="F556" s="70" t="str">
        <f t="array" ref="F556">IF(E556="","",IFERROR(_xlfn.XLOOKUP(E556,SyncCodex!N:N,SyncCodex!O:O),""))</f>
        <v/>
      </c>
      <c r="G556" s="71"/>
      <c r="H556" s="71" t="str">
        <f t="shared" si="1"/>
        <v/>
      </c>
      <c r="I556" s="8" t="b">
        <v>0</v>
      </c>
      <c r="J556" s="72"/>
      <c r="K556" s="72"/>
    </row>
    <row r="557">
      <c r="A557" s="69"/>
      <c r="B557" s="8"/>
      <c r="E557" s="70"/>
      <c r="F557" s="70" t="str">
        <f t="array" ref="F557">IF(E557="","",IFERROR(_xlfn.XLOOKUP(E557,SyncCodex!N:N,SyncCodex!O:O),""))</f>
        <v/>
      </c>
      <c r="G557" s="71"/>
      <c r="H557" s="71" t="str">
        <f t="shared" si="1"/>
        <v/>
      </c>
      <c r="I557" s="8" t="b">
        <v>0</v>
      </c>
      <c r="J557" s="72"/>
      <c r="K557" s="72"/>
    </row>
    <row r="558">
      <c r="A558" s="69"/>
      <c r="B558" s="8"/>
      <c r="E558" s="70"/>
      <c r="F558" s="70" t="str">
        <f t="array" ref="F558">IF(E558="","",IFERROR(_xlfn.XLOOKUP(E558,SyncCodex!N:N,SyncCodex!O:O),""))</f>
        <v/>
      </c>
      <c r="G558" s="71"/>
      <c r="H558" s="71" t="str">
        <f t="shared" si="1"/>
        <v/>
      </c>
      <c r="I558" s="8" t="b">
        <v>0</v>
      </c>
      <c r="J558" s="72"/>
      <c r="K558" s="72"/>
    </row>
    <row r="559">
      <c r="A559" s="69"/>
      <c r="B559" s="8"/>
      <c r="E559" s="70"/>
      <c r="F559" s="70" t="str">
        <f t="array" ref="F559">IF(E559="","",IFERROR(_xlfn.XLOOKUP(E559,SyncCodex!N:N,SyncCodex!O:O),""))</f>
        <v/>
      </c>
      <c r="G559" s="71"/>
      <c r="H559" s="71" t="str">
        <f t="shared" si="1"/>
        <v/>
      </c>
      <c r="I559" s="8" t="b">
        <v>0</v>
      </c>
      <c r="J559" s="72"/>
      <c r="K559" s="72"/>
    </row>
    <row r="560">
      <c r="A560" s="69"/>
      <c r="B560" s="8"/>
      <c r="E560" s="70"/>
      <c r="F560" s="70" t="str">
        <f t="array" ref="F560">IF(E560="","",IFERROR(_xlfn.XLOOKUP(E560,SyncCodex!N:N,SyncCodex!O:O),""))</f>
        <v/>
      </c>
      <c r="G560" s="71"/>
      <c r="H560" s="71" t="str">
        <f t="shared" si="1"/>
        <v/>
      </c>
      <c r="I560" s="8" t="b">
        <v>0</v>
      </c>
      <c r="J560" s="72"/>
      <c r="K560" s="72"/>
    </row>
    <row r="561">
      <c r="A561" s="69"/>
      <c r="B561" s="8"/>
      <c r="E561" s="70"/>
      <c r="F561" s="70" t="str">
        <f t="array" ref="F561">IF(E561="","",IFERROR(_xlfn.XLOOKUP(E561,SyncCodex!N:N,SyncCodex!O:O),""))</f>
        <v/>
      </c>
      <c r="G561" s="71"/>
      <c r="H561" s="71" t="str">
        <f t="shared" si="1"/>
        <v/>
      </c>
      <c r="I561" s="8" t="b">
        <v>0</v>
      </c>
      <c r="J561" s="72"/>
      <c r="K561" s="72"/>
    </row>
    <row r="562">
      <c r="A562" s="69"/>
      <c r="B562" s="8"/>
      <c r="E562" s="70"/>
      <c r="F562" s="70" t="str">
        <f t="array" ref="F562">IF(E562="","",IFERROR(_xlfn.XLOOKUP(E562,SyncCodex!N:N,SyncCodex!O:O),""))</f>
        <v/>
      </c>
      <c r="G562" s="71"/>
      <c r="H562" s="71" t="str">
        <f t="shared" si="1"/>
        <v/>
      </c>
      <c r="I562" s="8" t="b">
        <v>0</v>
      </c>
      <c r="J562" s="72"/>
      <c r="K562" s="72"/>
    </row>
    <row r="563">
      <c r="A563" s="69"/>
      <c r="B563" s="8"/>
      <c r="E563" s="70"/>
      <c r="F563" s="70" t="str">
        <f t="array" ref="F563">IF(E563="","",IFERROR(_xlfn.XLOOKUP(E563,SyncCodex!N:N,SyncCodex!O:O),""))</f>
        <v/>
      </c>
      <c r="G563" s="71"/>
      <c r="H563" s="71" t="str">
        <f t="shared" si="1"/>
        <v/>
      </c>
      <c r="I563" s="8" t="b">
        <v>0</v>
      </c>
      <c r="J563" s="72"/>
      <c r="K563" s="72"/>
    </row>
    <row r="564">
      <c r="A564" s="69"/>
      <c r="B564" s="8"/>
      <c r="E564" s="70"/>
      <c r="F564" s="70" t="str">
        <f t="array" ref="F564">IF(E564="","",IFERROR(_xlfn.XLOOKUP(E564,SyncCodex!N:N,SyncCodex!O:O),""))</f>
        <v/>
      </c>
      <c r="G564" s="71"/>
      <c r="H564" s="71" t="str">
        <f t="shared" si="1"/>
        <v/>
      </c>
      <c r="I564" s="8" t="b">
        <v>0</v>
      </c>
      <c r="J564" s="72"/>
      <c r="K564" s="72"/>
    </row>
    <row r="565">
      <c r="A565" s="69"/>
      <c r="B565" s="8"/>
      <c r="E565" s="70"/>
      <c r="F565" s="70" t="str">
        <f t="array" ref="F565">IF(E565="","",IFERROR(_xlfn.XLOOKUP(E565,SyncCodex!N:N,SyncCodex!O:O),""))</f>
        <v/>
      </c>
      <c r="G565" s="71"/>
      <c r="H565" s="71" t="str">
        <f t="shared" si="1"/>
        <v/>
      </c>
      <c r="I565" s="8" t="b">
        <v>0</v>
      </c>
      <c r="J565" s="72"/>
      <c r="K565" s="72"/>
    </row>
    <row r="566">
      <c r="A566" s="69"/>
      <c r="B566" s="8"/>
      <c r="E566" s="70"/>
      <c r="F566" s="70" t="str">
        <f t="array" ref="F566">IF(E566="","",IFERROR(_xlfn.XLOOKUP(E566,SyncCodex!N:N,SyncCodex!O:O),""))</f>
        <v/>
      </c>
      <c r="G566" s="71"/>
      <c r="H566" s="71" t="str">
        <f t="shared" si="1"/>
        <v/>
      </c>
      <c r="I566" s="8" t="b">
        <v>0</v>
      </c>
      <c r="J566" s="72"/>
      <c r="K566" s="72"/>
    </row>
    <row r="567">
      <c r="A567" s="69"/>
      <c r="B567" s="8"/>
      <c r="E567" s="70"/>
      <c r="F567" s="70" t="str">
        <f t="array" ref="F567">IF(E567="","",IFERROR(_xlfn.XLOOKUP(E567,SyncCodex!N:N,SyncCodex!O:O),""))</f>
        <v/>
      </c>
      <c r="G567" s="71"/>
      <c r="H567" s="71" t="str">
        <f t="shared" si="1"/>
        <v/>
      </c>
      <c r="I567" s="8" t="b">
        <v>0</v>
      </c>
      <c r="J567" s="72"/>
      <c r="K567" s="72"/>
    </row>
    <row r="568">
      <c r="A568" s="69"/>
      <c r="B568" s="8"/>
      <c r="E568" s="70"/>
      <c r="F568" s="70" t="str">
        <f t="array" ref="F568">IF(E568="","",IFERROR(_xlfn.XLOOKUP(E568,SyncCodex!N:N,SyncCodex!O:O),""))</f>
        <v/>
      </c>
      <c r="G568" s="71"/>
      <c r="H568" s="71" t="str">
        <f t="shared" si="1"/>
        <v/>
      </c>
      <c r="I568" s="8" t="b">
        <v>0</v>
      </c>
      <c r="J568" s="72"/>
      <c r="K568" s="72"/>
    </row>
    <row r="569">
      <c r="A569" s="69"/>
      <c r="B569" s="8"/>
      <c r="E569" s="70"/>
      <c r="F569" s="70" t="str">
        <f t="array" ref="F569">IF(E569="","",IFERROR(_xlfn.XLOOKUP(E569,SyncCodex!N:N,SyncCodex!O:O),""))</f>
        <v/>
      </c>
      <c r="G569" s="71"/>
      <c r="H569" s="71" t="str">
        <f t="shared" si="1"/>
        <v/>
      </c>
      <c r="I569" s="8" t="b">
        <v>0</v>
      </c>
      <c r="J569" s="72"/>
      <c r="K569" s="72"/>
    </row>
    <row r="570">
      <c r="A570" s="69"/>
      <c r="B570" s="8"/>
      <c r="E570" s="70"/>
      <c r="F570" s="70" t="str">
        <f t="array" ref="F570">IF(E570="","",IFERROR(_xlfn.XLOOKUP(E570,SyncCodex!N:N,SyncCodex!O:O),""))</f>
        <v/>
      </c>
      <c r="G570" s="71"/>
      <c r="H570" s="71" t="str">
        <f t="shared" si="1"/>
        <v/>
      </c>
      <c r="I570" s="8" t="b">
        <v>0</v>
      </c>
      <c r="J570" s="72"/>
      <c r="K570" s="72"/>
    </row>
    <row r="571">
      <c r="A571" s="69"/>
      <c r="B571" s="8"/>
      <c r="E571" s="70"/>
      <c r="F571" s="70" t="str">
        <f t="array" ref="F571">IF(E571="","",IFERROR(_xlfn.XLOOKUP(E571,SyncCodex!N:N,SyncCodex!O:O),""))</f>
        <v/>
      </c>
      <c r="G571" s="71"/>
      <c r="H571" s="71" t="str">
        <f t="shared" si="1"/>
        <v/>
      </c>
      <c r="I571" s="8" t="b">
        <v>0</v>
      </c>
      <c r="J571" s="72"/>
      <c r="K571" s="72"/>
    </row>
    <row r="572">
      <c r="A572" s="69"/>
      <c r="B572" s="8"/>
      <c r="E572" s="70"/>
      <c r="F572" s="70" t="str">
        <f t="array" ref="F572">IF(E572="","",IFERROR(_xlfn.XLOOKUP(E572,SyncCodex!N:N,SyncCodex!O:O),""))</f>
        <v/>
      </c>
      <c r="G572" s="71"/>
      <c r="H572" s="71" t="str">
        <f t="shared" si="1"/>
        <v/>
      </c>
      <c r="I572" s="8" t="b">
        <v>0</v>
      </c>
      <c r="J572" s="72"/>
      <c r="K572" s="72"/>
    </row>
    <row r="573">
      <c r="A573" s="69"/>
      <c r="B573" s="8"/>
      <c r="E573" s="70"/>
      <c r="F573" s="70" t="str">
        <f t="array" ref="F573">IF(E573="","",IFERROR(_xlfn.XLOOKUP(E573,SyncCodex!N:N,SyncCodex!O:O),""))</f>
        <v/>
      </c>
      <c r="G573" s="71"/>
      <c r="H573" s="71" t="str">
        <f t="shared" si="1"/>
        <v/>
      </c>
      <c r="I573" s="8" t="b">
        <v>0</v>
      </c>
      <c r="J573" s="72"/>
      <c r="K573" s="72"/>
    </row>
    <row r="574">
      <c r="A574" s="69"/>
      <c r="B574" s="8"/>
      <c r="E574" s="70"/>
      <c r="F574" s="70" t="str">
        <f t="array" ref="F574">IF(E574="","",IFERROR(_xlfn.XLOOKUP(E574,SyncCodex!N:N,SyncCodex!O:O),""))</f>
        <v/>
      </c>
      <c r="G574" s="71"/>
      <c r="H574" s="71" t="str">
        <f t="shared" si="1"/>
        <v/>
      </c>
      <c r="I574" s="8" t="b">
        <v>0</v>
      </c>
      <c r="J574" s="72"/>
      <c r="K574" s="72"/>
    </row>
    <row r="575">
      <c r="A575" s="69"/>
      <c r="B575" s="8"/>
      <c r="E575" s="70"/>
      <c r="F575" s="70" t="str">
        <f t="array" ref="F575">IF(E575="","",IFERROR(_xlfn.XLOOKUP(E575,SyncCodex!N:N,SyncCodex!O:O),""))</f>
        <v/>
      </c>
      <c r="G575" s="71"/>
      <c r="H575" s="71" t="str">
        <f t="shared" si="1"/>
        <v/>
      </c>
      <c r="I575" s="8" t="b">
        <v>0</v>
      </c>
      <c r="J575" s="72"/>
      <c r="K575" s="72"/>
    </row>
    <row r="576">
      <c r="A576" s="69"/>
      <c r="B576" s="8"/>
      <c r="E576" s="70"/>
      <c r="F576" s="70" t="str">
        <f t="array" ref="F576">IF(E576="","",IFERROR(_xlfn.XLOOKUP(E576,SyncCodex!N:N,SyncCodex!O:O),""))</f>
        <v/>
      </c>
      <c r="G576" s="71"/>
      <c r="H576" s="71" t="str">
        <f t="shared" si="1"/>
        <v/>
      </c>
      <c r="I576" s="8" t="b">
        <v>0</v>
      </c>
      <c r="J576" s="72"/>
      <c r="K576" s="72"/>
    </row>
    <row r="577">
      <c r="A577" s="69"/>
      <c r="B577" s="8"/>
      <c r="E577" s="70"/>
      <c r="F577" s="70" t="str">
        <f t="array" ref="F577">IF(E577="","",IFERROR(_xlfn.XLOOKUP(E577,SyncCodex!N:N,SyncCodex!O:O),""))</f>
        <v/>
      </c>
      <c r="G577" s="71"/>
      <c r="H577" s="71" t="str">
        <f t="shared" si="1"/>
        <v/>
      </c>
      <c r="I577" s="8" t="b">
        <v>0</v>
      </c>
      <c r="J577" s="72"/>
      <c r="K577" s="72"/>
    </row>
    <row r="578">
      <c r="A578" s="69"/>
      <c r="B578" s="8"/>
      <c r="E578" s="70"/>
      <c r="F578" s="70" t="str">
        <f t="array" ref="F578">IF(E578="","",IFERROR(_xlfn.XLOOKUP(E578,SyncCodex!N:N,SyncCodex!O:O),""))</f>
        <v/>
      </c>
      <c r="G578" s="71"/>
      <c r="H578" s="71" t="str">
        <f t="shared" si="1"/>
        <v/>
      </c>
      <c r="I578" s="8" t="b">
        <v>0</v>
      </c>
      <c r="J578" s="72"/>
      <c r="K578" s="72"/>
    </row>
    <row r="579">
      <c r="A579" s="69"/>
      <c r="B579" s="8"/>
      <c r="E579" s="70"/>
      <c r="F579" s="70" t="str">
        <f t="array" ref="F579">IF(E579="","",IFERROR(_xlfn.XLOOKUP(E579,SyncCodex!N:N,SyncCodex!O:O),""))</f>
        <v/>
      </c>
      <c r="G579" s="71"/>
      <c r="H579" s="71" t="str">
        <f t="shared" si="1"/>
        <v/>
      </c>
      <c r="I579" s="8" t="b">
        <v>0</v>
      </c>
      <c r="J579" s="72"/>
      <c r="K579" s="72"/>
    </row>
    <row r="580">
      <c r="A580" s="69"/>
      <c r="B580" s="8"/>
      <c r="E580" s="70"/>
      <c r="F580" s="70" t="str">
        <f t="array" ref="F580">IF(E580="","",IFERROR(_xlfn.XLOOKUP(E580,SyncCodex!N:N,SyncCodex!O:O),""))</f>
        <v/>
      </c>
      <c r="G580" s="71"/>
      <c r="H580" s="71" t="str">
        <f t="shared" si="1"/>
        <v/>
      </c>
      <c r="I580" s="8" t="b">
        <v>0</v>
      </c>
      <c r="J580" s="72"/>
      <c r="K580" s="72"/>
    </row>
    <row r="581">
      <c r="A581" s="69"/>
      <c r="B581" s="8"/>
      <c r="E581" s="70"/>
      <c r="F581" s="70" t="str">
        <f t="array" ref="F581">IF(E581="","",IFERROR(_xlfn.XLOOKUP(E581,SyncCodex!N:N,SyncCodex!O:O),""))</f>
        <v/>
      </c>
      <c r="G581" s="71"/>
      <c r="H581" s="71" t="str">
        <f t="shared" si="1"/>
        <v/>
      </c>
      <c r="I581" s="8" t="b">
        <v>0</v>
      </c>
      <c r="J581" s="72"/>
      <c r="K581" s="72"/>
    </row>
    <row r="582">
      <c r="A582" s="69"/>
      <c r="B582" s="8"/>
      <c r="E582" s="70"/>
      <c r="F582" s="70" t="str">
        <f t="array" ref="F582">IF(E582="","",IFERROR(_xlfn.XLOOKUP(E582,SyncCodex!N:N,SyncCodex!O:O),""))</f>
        <v/>
      </c>
      <c r="G582" s="71"/>
      <c r="H582" s="71" t="str">
        <f t="shared" si="1"/>
        <v/>
      </c>
      <c r="I582" s="8" t="b">
        <v>0</v>
      </c>
      <c r="J582" s="72"/>
      <c r="K582" s="72"/>
    </row>
    <row r="583">
      <c r="A583" s="69"/>
      <c r="B583" s="8"/>
      <c r="E583" s="70"/>
      <c r="F583" s="70" t="str">
        <f t="array" ref="F583">IF(E583="","",IFERROR(_xlfn.XLOOKUP(E583,SyncCodex!N:N,SyncCodex!O:O),""))</f>
        <v/>
      </c>
      <c r="G583" s="71"/>
      <c r="H583" s="71" t="str">
        <f t="shared" si="1"/>
        <v/>
      </c>
      <c r="I583" s="8" t="b">
        <v>0</v>
      </c>
      <c r="J583" s="72"/>
      <c r="K583" s="72"/>
    </row>
    <row r="584">
      <c r="A584" s="69"/>
      <c r="B584" s="8"/>
      <c r="E584" s="70"/>
      <c r="F584" s="70" t="str">
        <f t="array" ref="F584">IF(E584="","",IFERROR(_xlfn.XLOOKUP(E584,SyncCodex!N:N,SyncCodex!O:O),""))</f>
        <v/>
      </c>
      <c r="G584" s="71"/>
      <c r="H584" s="71" t="str">
        <f t="shared" si="1"/>
        <v/>
      </c>
      <c r="I584" s="8" t="b">
        <v>0</v>
      </c>
      <c r="J584" s="72"/>
      <c r="K584" s="72"/>
    </row>
    <row r="585">
      <c r="A585" s="69"/>
      <c r="B585" s="8"/>
      <c r="E585" s="70"/>
      <c r="F585" s="70" t="str">
        <f t="array" ref="F585">IF(E585="","",IFERROR(_xlfn.XLOOKUP(E585,SyncCodex!N:N,SyncCodex!O:O),""))</f>
        <v/>
      </c>
      <c r="G585" s="71"/>
      <c r="H585" s="71" t="str">
        <f t="shared" si="1"/>
        <v/>
      </c>
      <c r="I585" s="8" t="b">
        <v>0</v>
      </c>
      <c r="J585" s="72"/>
      <c r="K585" s="72"/>
    </row>
    <row r="586">
      <c r="A586" s="69"/>
      <c r="B586" s="8"/>
      <c r="E586" s="70"/>
      <c r="F586" s="70" t="str">
        <f t="array" ref="F586">IF(E586="","",IFERROR(_xlfn.XLOOKUP(E586,SyncCodex!N:N,SyncCodex!O:O),""))</f>
        <v/>
      </c>
      <c r="G586" s="71"/>
      <c r="H586" s="71" t="str">
        <f t="shared" si="1"/>
        <v/>
      </c>
      <c r="I586" s="8" t="b">
        <v>0</v>
      </c>
      <c r="J586" s="72"/>
      <c r="K586" s="72"/>
    </row>
    <row r="587">
      <c r="A587" s="69"/>
      <c r="B587" s="8"/>
      <c r="E587" s="70"/>
      <c r="F587" s="70" t="str">
        <f t="array" ref="F587">IF(E587="","",IFERROR(_xlfn.XLOOKUP(E587,SyncCodex!N:N,SyncCodex!O:O),""))</f>
        <v/>
      </c>
      <c r="G587" s="71"/>
      <c r="H587" s="71" t="str">
        <f t="shared" si="1"/>
        <v/>
      </c>
      <c r="I587" s="8" t="b">
        <v>0</v>
      </c>
      <c r="J587" s="72"/>
      <c r="K587" s="72"/>
    </row>
    <row r="588">
      <c r="A588" s="69"/>
      <c r="B588" s="8"/>
      <c r="E588" s="70"/>
      <c r="F588" s="70" t="str">
        <f t="array" ref="F588">IF(E588="","",IFERROR(_xlfn.XLOOKUP(E588,SyncCodex!N:N,SyncCodex!O:O),""))</f>
        <v/>
      </c>
      <c r="G588" s="71"/>
      <c r="H588" s="71" t="str">
        <f t="shared" si="1"/>
        <v/>
      </c>
      <c r="I588" s="8" t="b">
        <v>0</v>
      </c>
      <c r="J588" s="72"/>
      <c r="K588" s="72"/>
    </row>
    <row r="589">
      <c r="A589" s="69"/>
      <c r="B589" s="8"/>
      <c r="E589" s="70"/>
      <c r="F589" s="70" t="str">
        <f t="array" ref="F589">IF(E589="","",IFERROR(_xlfn.XLOOKUP(E589,SyncCodex!N:N,SyncCodex!O:O),""))</f>
        <v/>
      </c>
      <c r="G589" s="71"/>
      <c r="H589" s="71" t="str">
        <f t="shared" si="1"/>
        <v/>
      </c>
      <c r="I589" s="8" t="b">
        <v>0</v>
      </c>
      <c r="J589" s="72"/>
      <c r="K589" s="72"/>
    </row>
    <row r="590">
      <c r="A590" s="69"/>
      <c r="B590" s="8"/>
      <c r="E590" s="70"/>
      <c r="F590" s="70" t="str">
        <f t="array" ref="F590">IF(E590="","",IFERROR(_xlfn.XLOOKUP(E590,SyncCodex!N:N,SyncCodex!O:O),""))</f>
        <v/>
      </c>
      <c r="G590" s="71"/>
      <c r="H590" s="71" t="str">
        <f t="shared" si="1"/>
        <v/>
      </c>
      <c r="I590" s="8" t="b">
        <v>0</v>
      </c>
      <c r="J590" s="72"/>
      <c r="K590" s="72"/>
    </row>
    <row r="591">
      <c r="A591" s="69"/>
      <c r="B591" s="8"/>
      <c r="E591" s="70"/>
      <c r="F591" s="70" t="str">
        <f t="array" ref="F591">IF(E591="","",IFERROR(_xlfn.XLOOKUP(E591,SyncCodex!N:N,SyncCodex!O:O),""))</f>
        <v/>
      </c>
      <c r="G591" s="71"/>
      <c r="H591" s="71" t="str">
        <f t="shared" si="1"/>
        <v/>
      </c>
      <c r="I591" s="8" t="b">
        <v>0</v>
      </c>
      <c r="J591" s="72"/>
      <c r="K591" s="72"/>
    </row>
    <row r="592">
      <c r="A592" s="69"/>
      <c r="B592" s="8"/>
      <c r="E592" s="70"/>
      <c r="F592" s="70" t="str">
        <f t="array" ref="F592">IF(E592="","",IFERROR(_xlfn.XLOOKUP(E592,SyncCodex!N:N,SyncCodex!O:O),""))</f>
        <v/>
      </c>
      <c r="G592" s="71"/>
      <c r="H592" s="71" t="str">
        <f t="shared" si="1"/>
        <v/>
      </c>
      <c r="I592" s="8" t="b">
        <v>0</v>
      </c>
      <c r="J592" s="72"/>
      <c r="K592" s="72"/>
    </row>
    <row r="593">
      <c r="A593" s="69"/>
      <c r="B593" s="8"/>
      <c r="E593" s="70"/>
      <c r="F593" s="70" t="str">
        <f t="array" ref="F593">IF(E593="","",IFERROR(_xlfn.XLOOKUP(E593,SyncCodex!N:N,SyncCodex!O:O),""))</f>
        <v/>
      </c>
      <c r="G593" s="71"/>
      <c r="H593" s="71" t="str">
        <f t="shared" si="1"/>
        <v/>
      </c>
      <c r="I593" s="8" t="b">
        <v>0</v>
      </c>
      <c r="J593" s="72"/>
      <c r="K593" s="72"/>
    </row>
    <row r="594">
      <c r="A594" s="69"/>
      <c r="B594" s="8"/>
      <c r="E594" s="70"/>
      <c r="F594" s="70" t="str">
        <f t="array" ref="F594">IF(E594="","",IFERROR(_xlfn.XLOOKUP(E594,SyncCodex!N:N,SyncCodex!O:O),""))</f>
        <v/>
      </c>
      <c r="G594" s="71"/>
      <c r="H594" s="71" t="str">
        <f t="shared" si="1"/>
        <v/>
      </c>
      <c r="I594" s="8" t="b">
        <v>0</v>
      </c>
      <c r="J594" s="72"/>
      <c r="K594" s="72"/>
    </row>
    <row r="595">
      <c r="A595" s="69"/>
      <c r="B595" s="8"/>
      <c r="E595" s="70"/>
      <c r="F595" s="70" t="str">
        <f t="array" ref="F595">IF(E595="","",IFERROR(_xlfn.XLOOKUP(E595,SyncCodex!N:N,SyncCodex!O:O),""))</f>
        <v/>
      </c>
      <c r="G595" s="71"/>
      <c r="H595" s="71" t="str">
        <f t="shared" si="1"/>
        <v/>
      </c>
      <c r="I595" s="8" t="b">
        <v>0</v>
      </c>
      <c r="J595" s="72"/>
      <c r="K595" s="72"/>
    </row>
    <row r="596">
      <c r="A596" s="69"/>
      <c r="B596" s="8"/>
      <c r="E596" s="70"/>
      <c r="F596" s="70" t="str">
        <f t="array" ref="F596">IF(E596="","",IFERROR(_xlfn.XLOOKUP(E596,SyncCodex!N:N,SyncCodex!O:O),""))</f>
        <v/>
      </c>
      <c r="G596" s="71"/>
      <c r="H596" s="71" t="str">
        <f t="shared" si="1"/>
        <v/>
      </c>
      <c r="I596" s="8" t="b">
        <v>0</v>
      </c>
      <c r="J596" s="72"/>
      <c r="K596" s="72"/>
    </row>
    <row r="597">
      <c r="A597" s="69"/>
      <c r="B597" s="8"/>
      <c r="E597" s="70"/>
      <c r="F597" s="70" t="str">
        <f t="array" ref="F597">IF(E597="","",IFERROR(_xlfn.XLOOKUP(E597,SyncCodex!N:N,SyncCodex!O:O),""))</f>
        <v/>
      </c>
      <c r="G597" s="71"/>
      <c r="H597" s="71" t="str">
        <f t="shared" si="1"/>
        <v/>
      </c>
      <c r="I597" s="8" t="b">
        <v>0</v>
      </c>
      <c r="J597" s="72"/>
      <c r="K597" s="72"/>
    </row>
    <row r="598">
      <c r="A598" s="69"/>
      <c r="B598" s="8"/>
      <c r="E598" s="70"/>
      <c r="F598" s="70" t="str">
        <f t="array" ref="F598">IF(E598="","",IFERROR(_xlfn.XLOOKUP(E598,SyncCodex!N:N,SyncCodex!O:O),""))</f>
        <v/>
      </c>
      <c r="G598" s="71"/>
      <c r="H598" s="71" t="str">
        <f t="shared" si="1"/>
        <v/>
      </c>
      <c r="I598" s="8" t="b">
        <v>0</v>
      </c>
      <c r="J598" s="72"/>
      <c r="K598" s="72"/>
    </row>
    <row r="599">
      <c r="A599" s="69"/>
      <c r="B599" s="8"/>
      <c r="E599" s="70"/>
      <c r="F599" s="70" t="str">
        <f t="array" ref="F599">IF(E599="","",IFERROR(_xlfn.XLOOKUP(E599,SyncCodex!N:N,SyncCodex!O:O),""))</f>
        <v/>
      </c>
      <c r="G599" s="71"/>
      <c r="H599" s="71" t="str">
        <f t="shared" si="1"/>
        <v/>
      </c>
      <c r="I599" s="8" t="b">
        <v>0</v>
      </c>
      <c r="J599" s="72"/>
      <c r="K599" s="72"/>
    </row>
    <row r="600">
      <c r="A600" s="69"/>
      <c r="B600" s="8"/>
      <c r="E600" s="70"/>
      <c r="F600" s="70" t="str">
        <f t="array" ref="F600">IF(E600="","",IFERROR(_xlfn.XLOOKUP(E600,SyncCodex!N:N,SyncCodex!O:O),""))</f>
        <v/>
      </c>
      <c r="G600" s="71"/>
      <c r="H600" s="71" t="str">
        <f t="shared" si="1"/>
        <v/>
      </c>
      <c r="I600" s="8" t="b">
        <v>0</v>
      </c>
      <c r="J600" s="72"/>
      <c r="K600" s="72"/>
    </row>
    <row r="601">
      <c r="A601" s="69"/>
      <c r="B601" s="8"/>
      <c r="E601" s="70"/>
      <c r="F601" s="70" t="str">
        <f t="array" ref="F601">IF(E601="","",IFERROR(_xlfn.XLOOKUP(E601,SyncCodex!N:N,SyncCodex!O:O),""))</f>
        <v/>
      </c>
      <c r="G601" s="71"/>
      <c r="H601" s="71" t="str">
        <f t="shared" si="1"/>
        <v/>
      </c>
      <c r="I601" s="8" t="b">
        <v>0</v>
      </c>
      <c r="J601" s="72"/>
      <c r="K601" s="72"/>
    </row>
    <row r="602">
      <c r="A602" s="69"/>
      <c r="B602" s="8"/>
      <c r="E602" s="70"/>
      <c r="F602" s="70" t="str">
        <f t="array" ref="F602">IF(E602="","",IFERROR(_xlfn.XLOOKUP(E602,SyncCodex!N:N,SyncCodex!O:O),""))</f>
        <v/>
      </c>
      <c r="G602" s="71"/>
      <c r="H602" s="71" t="str">
        <f t="shared" si="1"/>
        <v/>
      </c>
      <c r="I602" s="8" t="b">
        <v>0</v>
      </c>
      <c r="J602" s="72"/>
      <c r="K602" s="72"/>
    </row>
    <row r="603">
      <c r="A603" s="69"/>
      <c r="B603" s="8"/>
      <c r="E603" s="70"/>
      <c r="F603" s="70" t="str">
        <f t="array" ref="F603">IF(E603="","",IFERROR(_xlfn.XLOOKUP(E603,SyncCodex!N:N,SyncCodex!O:O),""))</f>
        <v/>
      </c>
      <c r="G603" s="71"/>
      <c r="H603" s="71" t="str">
        <f t="shared" si="1"/>
        <v/>
      </c>
      <c r="I603" s="8" t="b">
        <v>0</v>
      </c>
      <c r="J603" s="72"/>
      <c r="K603" s="72"/>
    </row>
    <row r="604">
      <c r="A604" s="69"/>
      <c r="B604" s="8"/>
      <c r="E604" s="70"/>
      <c r="F604" s="70" t="str">
        <f t="array" ref="F604">IF(E604="","",IFERROR(_xlfn.XLOOKUP(E604,SyncCodex!N:N,SyncCodex!O:O),""))</f>
        <v/>
      </c>
      <c r="G604" s="71"/>
      <c r="H604" s="71" t="str">
        <f t="shared" si="1"/>
        <v/>
      </c>
      <c r="I604" s="8" t="b">
        <v>0</v>
      </c>
      <c r="J604" s="72"/>
      <c r="K604" s="72"/>
    </row>
    <row r="605">
      <c r="A605" s="69"/>
      <c r="B605" s="8"/>
      <c r="E605" s="70"/>
      <c r="F605" s="70" t="str">
        <f t="array" ref="F605">IF(E605="","",IFERROR(_xlfn.XLOOKUP(E605,SyncCodex!N:N,SyncCodex!O:O),""))</f>
        <v/>
      </c>
      <c r="G605" s="71"/>
      <c r="H605" s="71" t="str">
        <f t="shared" si="1"/>
        <v/>
      </c>
      <c r="I605" s="8" t="b">
        <v>0</v>
      </c>
      <c r="J605" s="72"/>
      <c r="K605" s="72"/>
    </row>
    <row r="606">
      <c r="A606" s="69"/>
      <c r="B606" s="8"/>
      <c r="E606" s="70"/>
      <c r="F606" s="70" t="str">
        <f t="array" ref="F606">IF(E606="","",IFERROR(_xlfn.XLOOKUP(E606,SyncCodex!N:N,SyncCodex!O:O),""))</f>
        <v/>
      </c>
      <c r="G606" s="71"/>
      <c r="H606" s="71" t="str">
        <f t="shared" si="1"/>
        <v/>
      </c>
      <c r="I606" s="8" t="b">
        <v>0</v>
      </c>
      <c r="J606" s="72"/>
      <c r="K606" s="72"/>
    </row>
    <row r="607">
      <c r="A607" s="69"/>
      <c r="B607" s="8"/>
      <c r="E607" s="70"/>
      <c r="F607" s="70" t="str">
        <f t="array" ref="F607">IF(E607="","",IFERROR(_xlfn.XLOOKUP(E607,SyncCodex!N:N,SyncCodex!O:O),""))</f>
        <v/>
      </c>
      <c r="G607" s="71"/>
      <c r="H607" s="71" t="str">
        <f t="shared" si="1"/>
        <v/>
      </c>
      <c r="I607" s="8" t="b">
        <v>0</v>
      </c>
      <c r="J607" s="72"/>
      <c r="K607" s="72"/>
    </row>
    <row r="608">
      <c r="A608" s="69"/>
      <c r="B608" s="8"/>
      <c r="E608" s="70"/>
      <c r="F608" s="70" t="str">
        <f t="array" ref="F608">IF(E608="","",IFERROR(_xlfn.XLOOKUP(E608,SyncCodex!N:N,SyncCodex!O:O),""))</f>
        <v/>
      </c>
      <c r="G608" s="71"/>
      <c r="H608" s="71" t="str">
        <f t="shared" si="1"/>
        <v/>
      </c>
      <c r="I608" s="8" t="b">
        <v>0</v>
      </c>
      <c r="J608" s="72"/>
      <c r="K608" s="72"/>
    </row>
    <row r="609">
      <c r="A609" s="69"/>
      <c r="B609" s="8"/>
      <c r="E609" s="70"/>
      <c r="F609" s="70" t="str">
        <f t="array" ref="F609">IF(E609="","",IFERROR(_xlfn.XLOOKUP(E609,SyncCodex!N:N,SyncCodex!O:O),""))</f>
        <v/>
      </c>
      <c r="G609" s="71"/>
      <c r="H609" s="71" t="str">
        <f t="shared" si="1"/>
        <v/>
      </c>
      <c r="I609" s="8" t="b">
        <v>0</v>
      </c>
      <c r="J609" s="72"/>
      <c r="K609" s="72"/>
    </row>
    <row r="610">
      <c r="A610" s="69"/>
      <c r="B610" s="8"/>
      <c r="E610" s="70"/>
      <c r="F610" s="70" t="str">
        <f t="array" ref="F610">IF(E610="","",IFERROR(_xlfn.XLOOKUP(E610,SyncCodex!N:N,SyncCodex!O:O),""))</f>
        <v/>
      </c>
      <c r="G610" s="71"/>
      <c r="H610" s="71" t="str">
        <f t="shared" si="1"/>
        <v/>
      </c>
      <c r="I610" s="8" t="b">
        <v>0</v>
      </c>
      <c r="J610" s="72"/>
      <c r="K610" s="72"/>
    </row>
    <row r="611">
      <c r="A611" s="69"/>
      <c r="B611" s="8"/>
      <c r="E611" s="70"/>
      <c r="F611" s="70" t="str">
        <f t="array" ref="F611">IF(E611="","",IFERROR(_xlfn.XLOOKUP(E611,SyncCodex!N:N,SyncCodex!O:O),""))</f>
        <v/>
      </c>
      <c r="G611" s="71"/>
      <c r="H611" s="71" t="str">
        <f t="shared" si="1"/>
        <v/>
      </c>
      <c r="I611" s="8" t="b">
        <v>0</v>
      </c>
      <c r="J611" s="72"/>
      <c r="K611" s="72"/>
    </row>
    <row r="612">
      <c r="A612" s="69"/>
      <c r="B612" s="8"/>
      <c r="E612" s="70"/>
      <c r="F612" s="70" t="str">
        <f t="array" ref="F612">IF(E612="","",IFERROR(_xlfn.XLOOKUP(E612,SyncCodex!N:N,SyncCodex!O:O),""))</f>
        <v/>
      </c>
      <c r="G612" s="71"/>
      <c r="H612" s="71" t="str">
        <f t="shared" si="1"/>
        <v/>
      </c>
      <c r="I612" s="8" t="b">
        <v>0</v>
      </c>
      <c r="J612" s="72"/>
      <c r="K612" s="72"/>
    </row>
    <row r="613">
      <c r="A613" s="69"/>
      <c r="B613" s="8"/>
      <c r="E613" s="70"/>
      <c r="F613" s="70" t="str">
        <f t="array" ref="F613">IF(E613="","",IFERROR(_xlfn.XLOOKUP(E613,SyncCodex!N:N,SyncCodex!O:O),""))</f>
        <v/>
      </c>
      <c r="G613" s="71"/>
      <c r="H613" s="71" t="str">
        <f t="shared" si="1"/>
        <v/>
      </c>
      <c r="I613" s="8" t="b">
        <v>0</v>
      </c>
      <c r="J613" s="72"/>
      <c r="K613" s="72"/>
    </row>
    <row r="614">
      <c r="A614" s="69"/>
      <c r="B614" s="8"/>
      <c r="E614" s="70"/>
      <c r="F614" s="70" t="str">
        <f t="array" ref="F614">IF(E614="","",IFERROR(_xlfn.XLOOKUP(E614,SyncCodex!N:N,SyncCodex!O:O),""))</f>
        <v/>
      </c>
      <c r="G614" s="71"/>
      <c r="H614" s="71" t="str">
        <f t="shared" si="1"/>
        <v/>
      </c>
      <c r="I614" s="8" t="b">
        <v>0</v>
      </c>
      <c r="J614" s="72"/>
      <c r="K614" s="72"/>
    </row>
    <row r="615">
      <c r="A615" s="69"/>
      <c r="B615" s="8"/>
      <c r="E615" s="70"/>
      <c r="F615" s="70" t="str">
        <f t="array" ref="F615">IF(E615="","",IFERROR(_xlfn.XLOOKUP(E615,SyncCodex!N:N,SyncCodex!O:O),""))</f>
        <v/>
      </c>
      <c r="G615" s="71"/>
      <c r="H615" s="71" t="str">
        <f t="shared" si="1"/>
        <v/>
      </c>
      <c r="I615" s="8" t="b">
        <v>0</v>
      </c>
      <c r="J615" s="72"/>
      <c r="K615" s="72"/>
    </row>
    <row r="616">
      <c r="A616" s="69"/>
      <c r="B616" s="8"/>
      <c r="E616" s="70"/>
      <c r="F616" s="70" t="str">
        <f t="array" ref="F616">IF(E616="","",IFERROR(_xlfn.XLOOKUP(E616,SyncCodex!N:N,SyncCodex!O:O),""))</f>
        <v/>
      </c>
      <c r="G616" s="71"/>
      <c r="H616" s="71" t="str">
        <f t="shared" si="1"/>
        <v/>
      </c>
      <c r="I616" s="8" t="b">
        <v>0</v>
      </c>
      <c r="J616" s="72"/>
      <c r="K616" s="72"/>
    </row>
    <row r="617">
      <c r="A617" s="69"/>
      <c r="B617" s="8"/>
      <c r="E617" s="70"/>
      <c r="F617" s="70" t="str">
        <f t="array" ref="F617">IF(E617="","",IFERROR(_xlfn.XLOOKUP(E617,SyncCodex!N:N,SyncCodex!O:O),""))</f>
        <v/>
      </c>
      <c r="G617" s="71"/>
      <c r="H617" s="71" t="str">
        <f t="shared" si="1"/>
        <v/>
      </c>
      <c r="I617" s="8" t="b">
        <v>0</v>
      </c>
      <c r="J617" s="72"/>
      <c r="K617" s="72"/>
    </row>
    <row r="618">
      <c r="A618" s="69"/>
      <c r="B618" s="8"/>
      <c r="E618" s="70"/>
      <c r="F618" s="70" t="str">
        <f t="array" ref="F618">IF(E618="","",IFERROR(_xlfn.XLOOKUP(E618,SyncCodex!N:N,SyncCodex!O:O),""))</f>
        <v/>
      </c>
      <c r="G618" s="71"/>
      <c r="H618" s="71" t="str">
        <f t="shared" si="1"/>
        <v/>
      </c>
      <c r="I618" s="8" t="b">
        <v>0</v>
      </c>
      <c r="J618" s="72"/>
      <c r="K618" s="72"/>
    </row>
    <row r="619">
      <c r="A619" s="69"/>
      <c r="B619" s="8"/>
      <c r="E619" s="70"/>
      <c r="F619" s="70" t="str">
        <f t="array" ref="F619">IF(E619="","",IFERROR(_xlfn.XLOOKUP(E619,SyncCodex!N:N,SyncCodex!O:O),""))</f>
        <v/>
      </c>
      <c r="G619" s="71"/>
      <c r="H619" s="71" t="str">
        <f t="shared" si="1"/>
        <v/>
      </c>
      <c r="I619" s="8" t="b">
        <v>0</v>
      </c>
      <c r="J619" s="72"/>
      <c r="K619" s="72"/>
    </row>
    <row r="620">
      <c r="A620" s="69"/>
      <c r="B620" s="8"/>
      <c r="E620" s="70"/>
      <c r="F620" s="70" t="str">
        <f t="array" ref="F620">IF(E620="","",IFERROR(_xlfn.XLOOKUP(E620,SyncCodex!N:N,SyncCodex!O:O),""))</f>
        <v/>
      </c>
      <c r="G620" s="71"/>
      <c r="H620" s="71" t="str">
        <f t="shared" si="1"/>
        <v/>
      </c>
      <c r="I620" s="8" t="b">
        <v>0</v>
      </c>
      <c r="J620" s="72"/>
      <c r="K620" s="72"/>
    </row>
    <row r="621">
      <c r="A621" s="69"/>
      <c r="B621" s="8"/>
      <c r="E621" s="70"/>
      <c r="F621" s="70" t="str">
        <f t="array" ref="F621">IF(E621="","",IFERROR(_xlfn.XLOOKUP(E621,SyncCodex!N:N,SyncCodex!O:O),""))</f>
        <v/>
      </c>
      <c r="G621" s="71"/>
      <c r="H621" s="71" t="str">
        <f t="shared" si="1"/>
        <v/>
      </c>
      <c r="I621" s="8" t="b">
        <v>0</v>
      </c>
      <c r="J621" s="72"/>
      <c r="K621" s="72"/>
    </row>
    <row r="622">
      <c r="A622" s="69"/>
      <c r="B622" s="8"/>
      <c r="E622" s="70"/>
      <c r="F622" s="70" t="str">
        <f t="array" ref="F622">IF(E622="","",IFERROR(_xlfn.XLOOKUP(E622,SyncCodex!N:N,SyncCodex!O:O),""))</f>
        <v/>
      </c>
      <c r="G622" s="71"/>
      <c r="H622" s="71" t="str">
        <f t="shared" si="1"/>
        <v/>
      </c>
      <c r="I622" s="8" t="b">
        <v>0</v>
      </c>
      <c r="J622" s="72"/>
      <c r="K622" s="72"/>
    </row>
    <row r="623">
      <c r="A623" s="69"/>
      <c r="B623" s="8"/>
      <c r="E623" s="70"/>
      <c r="F623" s="70" t="str">
        <f t="array" ref="F623">IF(E623="","",IFERROR(_xlfn.XLOOKUP(E623,SyncCodex!N:N,SyncCodex!O:O),""))</f>
        <v/>
      </c>
      <c r="G623" s="71"/>
      <c r="H623" s="71" t="str">
        <f t="shared" si="1"/>
        <v/>
      </c>
      <c r="I623" s="8" t="b">
        <v>0</v>
      </c>
      <c r="J623" s="72"/>
      <c r="K623" s="72"/>
    </row>
    <row r="624">
      <c r="A624" s="69"/>
      <c r="B624" s="8"/>
      <c r="E624" s="70"/>
      <c r="F624" s="70" t="str">
        <f t="array" ref="F624">IF(E624="","",IFERROR(_xlfn.XLOOKUP(E624,SyncCodex!N:N,SyncCodex!O:O),""))</f>
        <v/>
      </c>
      <c r="G624" s="71"/>
      <c r="H624" s="71" t="str">
        <f t="shared" si="1"/>
        <v/>
      </c>
      <c r="I624" s="8" t="b">
        <v>0</v>
      </c>
      <c r="J624" s="72"/>
      <c r="K624" s="72"/>
    </row>
    <row r="625">
      <c r="A625" s="69"/>
      <c r="B625" s="8"/>
      <c r="E625" s="70"/>
      <c r="F625" s="70" t="str">
        <f t="array" ref="F625">IF(E625="","",IFERROR(_xlfn.XLOOKUP(E625,SyncCodex!N:N,SyncCodex!O:O),""))</f>
        <v/>
      </c>
      <c r="G625" s="71"/>
      <c r="H625" s="71" t="str">
        <f t="shared" si="1"/>
        <v/>
      </c>
      <c r="I625" s="8" t="b">
        <v>0</v>
      </c>
      <c r="J625" s="72"/>
      <c r="K625" s="72"/>
    </row>
    <row r="626">
      <c r="A626" s="69"/>
      <c r="B626" s="8"/>
      <c r="E626" s="70"/>
      <c r="F626" s="70" t="str">
        <f t="array" ref="F626">IF(E626="","",IFERROR(_xlfn.XLOOKUP(E626,SyncCodex!N:N,SyncCodex!O:O),""))</f>
        <v/>
      </c>
      <c r="G626" s="71"/>
      <c r="H626" s="71" t="str">
        <f t="shared" si="1"/>
        <v/>
      </c>
      <c r="I626" s="8" t="b">
        <v>0</v>
      </c>
      <c r="J626" s="72"/>
      <c r="K626" s="72"/>
    </row>
    <row r="627">
      <c r="A627" s="69"/>
      <c r="B627" s="8"/>
      <c r="E627" s="70"/>
      <c r="F627" s="70" t="str">
        <f t="array" ref="F627">IF(E627="","",IFERROR(_xlfn.XLOOKUP(E627,SyncCodex!N:N,SyncCodex!O:O),""))</f>
        <v/>
      </c>
      <c r="G627" s="71"/>
      <c r="H627" s="71" t="str">
        <f t="shared" si="1"/>
        <v/>
      </c>
      <c r="I627" s="8" t="b">
        <v>0</v>
      </c>
      <c r="J627" s="72"/>
      <c r="K627" s="72"/>
    </row>
    <row r="628">
      <c r="A628" s="69"/>
      <c r="B628" s="8"/>
      <c r="E628" s="70"/>
      <c r="F628" s="70" t="str">
        <f t="array" ref="F628">IF(E628="","",IFERROR(_xlfn.XLOOKUP(E628,SyncCodex!N:N,SyncCodex!O:O),""))</f>
        <v/>
      </c>
      <c r="G628" s="71"/>
      <c r="H628" s="71" t="str">
        <f t="shared" si="1"/>
        <v/>
      </c>
      <c r="I628" s="8" t="b">
        <v>0</v>
      </c>
      <c r="J628" s="72"/>
      <c r="K628" s="72"/>
    </row>
    <row r="629">
      <c r="A629" s="69"/>
      <c r="B629" s="8"/>
      <c r="E629" s="70"/>
      <c r="F629" s="70" t="str">
        <f t="array" ref="F629">IF(E629="","",IFERROR(_xlfn.XLOOKUP(E629,SyncCodex!N:N,SyncCodex!O:O),""))</f>
        <v/>
      </c>
      <c r="G629" s="71"/>
      <c r="H629" s="71" t="str">
        <f t="shared" si="1"/>
        <v/>
      </c>
      <c r="I629" s="8" t="b">
        <v>0</v>
      </c>
      <c r="J629" s="72"/>
      <c r="K629" s="72"/>
    </row>
    <row r="630">
      <c r="A630" s="69"/>
      <c r="B630" s="8"/>
      <c r="E630" s="70"/>
      <c r="F630" s="70" t="str">
        <f t="array" ref="F630">IF(E630="","",IFERROR(_xlfn.XLOOKUP(E630,SyncCodex!N:N,SyncCodex!O:O),""))</f>
        <v/>
      </c>
      <c r="G630" s="71"/>
      <c r="H630" s="71" t="str">
        <f t="shared" si="1"/>
        <v/>
      </c>
      <c r="I630" s="8" t="b">
        <v>0</v>
      </c>
      <c r="J630" s="72"/>
      <c r="K630" s="72"/>
    </row>
    <row r="631">
      <c r="A631" s="69"/>
      <c r="B631" s="8"/>
      <c r="E631" s="70"/>
      <c r="F631" s="70" t="str">
        <f t="array" ref="F631">IF(E631="","",IFERROR(_xlfn.XLOOKUP(E631,SyncCodex!N:N,SyncCodex!O:O),""))</f>
        <v/>
      </c>
      <c r="G631" s="71"/>
      <c r="H631" s="71" t="str">
        <f t="shared" si="1"/>
        <v/>
      </c>
      <c r="I631" s="8" t="b">
        <v>0</v>
      </c>
      <c r="J631" s="72"/>
      <c r="K631" s="72"/>
    </row>
    <row r="632">
      <c r="A632" s="69"/>
      <c r="B632" s="8"/>
      <c r="E632" s="70"/>
      <c r="F632" s="70" t="str">
        <f t="array" ref="F632">IF(E632="","",IFERROR(_xlfn.XLOOKUP(E632,SyncCodex!N:N,SyncCodex!O:O),""))</f>
        <v/>
      </c>
      <c r="G632" s="71"/>
      <c r="H632" s="71" t="str">
        <f t="shared" si="1"/>
        <v/>
      </c>
      <c r="I632" s="8" t="b">
        <v>0</v>
      </c>
      <c r="J632" s="72"/>
      <c r="K632" s="72"/>
    </row>
    <row r="633">
      <c r="A633" s="69"/>
      <c r="B633" s="8"/>
      <c r="E633" s="70"/>
      <c r="F633" s="70" t="str">
        <f t="array" ref="F633">IF(E633="","",IFERROR(_xlfn.XLOOKUP(E633,SyncCodex!N:N,SyncCodex!O:O),""))</f>
        <v/>
      </c>
      <c r="G633" s="71"/>
      <c r="H633" s="71" t="str">
        <f t="shared" si="1"/>
        <v/>
      </c>
      <c r="I633" s="8" t="b">
        <v>0</v>
      </c>
      <c r="J633" s="72"/>
      <c r="K633" s="72"/>
    </row>
    <row r="634">
      <c r="A634" s="69"/>
      <c r="B634" s="8"/>
      <c r="E634" s="70"/>
      <c r="F634" s="70" t="str">
        <f t="array" ref="F634">IF(E634="","",IFERROR(_xlfn.XLOOKUP(E634,SyncCodex!N:N,SyncCodex!O:O),""))</f>
        <v/>
      </c>
      <c r="G634" s="71"/>
      <c r="H634" s="71" t="str">
        <f t="shared" si="1"/>
        <v/>
      </c>
      <c r="I634" s="8" t="b">
        <v>0</v>
      </c>
      <c r="J634" s="72"/>
      <c r="K634" s="72"/>
    </row>
    <row r="635">
      <c r="A635" s="69"/>
      <c r="B635" s="8"/>
      <c r="E635" s="70"/>
      <c r="F635" s="70" t="str">
        <f t="array" ref="F635">IF(E635="","",IFERROR(_xlfn.XLOOKUP(E635,SyncCodex!N:N,SyncCodex!O:O),""))</f>
        <v/>
      </c>
      <c r="G635" s="71"/>
      <c r="H635" s="71" t="str">
        <f t="shared" si="1"/>
        <v/>
      </c>
      <c r="I635" s="8" t="b">
        <v>0</v>
      </c>
      <c r="J635" s="72"/>
      <c r="K635" s="72"/>
    </row>
    <row r="636">
      <c r="A636" s="69"/>
      <c r="B636" s="8"/>
      <c r="E636" s="70"/>
      <c r="F636" s="70" t="str">
        <f t="array" ref="F636">IF(E636="","",IFERROR(_xlfn.XLOOKUP(E636,SyncCodex!N:N,SyncCodex!O:O),""))</f>
        <v/>
      </c>
      <c r="G636" s="71"/>
      <c r="H636" s="71" t="str">
        <f t="shared" si="1"/>
        <v/>
      </c>
      <c r="I636" s="8" t="b">
        <v>0</v>
      </c>
      <c r="J636" s="72"/>
      <c r="K636" s="72"/>
    </row>
    <row r="637">
      <c r="A637" s="69"/>
      <c r="B637" s="8"/>
      <c r="E637" s="70"/>
      <c r="F637" s="70" t="str">
        <f t="array" ref="F637">IF(E637="","",IFERROR(_xlfn.XLOOKUP(E637,SyncCodex!N:N,SyncCodex!O:O),""))</f>
        <v/>
      </c>
      <c r="G637" s="71"/>
      <c r="H637" s="71" t="str">
        <f t="shared" si="1"/>
        <v/>
      </c>
      <c r="I637" s="8" t="b">
        <v>0</v>
      </c>
      <c r="J637" s="72"/>
      <c r="K637" s="72"/>
    </row>
    <row r="638">
      <c r="A638" s="69"/>
      <c r="B638" s="8"/>
      <c r="E638" s="70"/>
      <c r="F638" s="70" t="str">
        <f t="array" ref="F638">IF(E638="","",IFERROR(_xlfn.XLOOKUP(E638,SyncCodex!N:N,SyncCodex!O:O),""))</f>
        <v/>
      </c>
      <c r="G638" s="71"/>
      <c r="H638" s="71" t="str">
        <f t="shared" si="1"/>
        <v/>
      </c>
      <c r="I638" s="8" t="b">
        <v>0</v>
      </c>
      <c r="J638" s="72"/>
      <c r="K638" s="72"/>
    </row>
    <row r="639">
      <c r="A639" s="69"/>
      <c r="B639" s="8"/>
      <c r="E639" s="70"/>
      <c r="F639" s="70" t="str">
        <f t="array" ref="F639">IF(E639="","",IFERROR(_xlfn.XLOOKUP(E639,SyncCodex!N:N,SyncCodex!O:O),""))</f>
        <v/>
      </c>
      <c r="G639" s="71"/>
      <c r="H639" s="71" t="str">
        <f t="shared" si="1"/>
        <v/>
      </c>
      <c r="I639" s="8" t="b">
        <v>0</v>
      </c>
      <c r="J639" s="72"/>
      <c r="K639" s="72"/>
    </row>
    <row r="640">
      <c r="A640" s="69"/>
      <c r="B640" s="8"/>
      <c r="E640" s="70"/>
      <c r="F640" s="70" t="str">
        <f t="array" ref="F640">IF(E640="","",IFERROR(_xlfn.XLOOKUP(E640,SyncCodex!N:N,SyncCodex!O:O),""))</f>
        <v/>
      </c>
      <c r="G640" s="71"/>
      <c r="H640" s="71" t="str">
        <f t="shared" si="1"/>
        <v/>
      </c>
      <c r="I640" s="8" t="b">
        <v>0</v>
      </c>
      <c r="J640" s="72"/>
      <c r="K640" s="72"/>
    </row>
    <row r="641">
      <c r="A641" s="69"/>
      <c r="B641" s="8"/>
      <c r="E641" s="70"/>
      <c r="F641" s="70" t="str">
        <f t="array" ref="F641">IF(E641="","",IFERROR(_xlfn.XLOOKUP(E641,SyncCodex!N:N,SyncCodex!O:O),""))</f>
        <v/>
      </c>
      <c r="G641" s="71"/>
      <c r="H641" s="71" t="str">
        <f t="shared" si="1"/>
        <v/>
      </c>
      <c r="I641" s="8" t="b">
        <v>0</v>
      </c>
      <c r="J641" s="72"/>
      <c r="K641" s="72"/>
    </row>
    <row r="642">
      <c r="A642" s="69"/>
      <c r="B642" s="8"/>
      <c r="E642" s="70"/>
      <c r="F642" s="70" t="str">
        <f t="array" ref="F642">IF(E642="","",IFERROR(_xlfn.XLOOKUP(E642,SyncCodex!N:N,SyncCodex!O:O),""))</f>
        <v/>
      </c>
      <c r="G642" s="71"/>
      <c r="H642" s="71" t="str">
        <f t="shared" si="1"/>
        <v/>
      </c>
      <c r="I642" s="8" t="b">
        <v>0</v>
      </c>
      <c r="J642" s="72"/>
      <c r="K642" s="72"/>
    </row>
    <row r="643">
      <c r="A643" s="69"/>
      <c r="B643" s="8"/>
      <c r="E643" s="70"/>
      <c r="F643" s="70" t="str">
        <f t="array" ref="F643">IF(E643="","",IFERROR(_xlfn.XLOOKUP(E643,SyncCodex!N:N,SyncCodex!O:O),""))</f>
        <v/>
      </c>
      <c r="G643" s="71"/>
      <c r="H643" s="71" t="str">
        <f t="shared" si="1"/>
        <v/>
      </c>
      <c r="I643" s="8" t="b">
        <v>0</v>
      </c>
      <c r="J643" s="72"/>
      <c r="K643" s="72"/>
    </row>
    <row r="644">
      <c r="A644" s="69"/>
      <c r="B644" s="8"/>
      <c r="E644" s="70"/>
      <c r="F644" s="70" t="str">
        <f t="array" ref="F644">IF(E644="","",IFERROR(_xlfn.XLOOKUP(E644,SyncCodex!N:N,SyncCodex!O:O),""))</f>
        <v/>
      </c>
      <c r="G644" s="71"/>
      <c r="H644" s="71" t="str">
        <f t="shared" si="1"/>
        <v/>
      </c>
      <c r="I644" s="8" t="b">
        <v>0</v>
      </c>
      <c r="J644" s="72"/>
      <c r="K644" s="72"/>
    </row>
    <row r="645">
      <c r="A645" s="69"/>
      <c r="B645" s="8"/>
      <c r="E645" s="70"/>
      <c r="F645" s="70" t="str">
        <f t="array" ref="F645">IF(E645="","",IFERROR(_xlfn.XLOOKUP(E645,SyncCodex!N:N,SyncCodex!O:O),""))</f>
        <v/>
      </c>
      <c r="G645" s="71"/>
      <c r="H645" s="71" t="str">
        <f t="shared" si="1"/>
        <v/>
      </c>
      <c r="I645" s="8" t="b">
        <v>0</v>
      </c>
      <c r="J645" s="72"/>
      <c r="K645" s="72"/>
    </row>
    <row r="646">
      <c r="A646" s="69"/>
      <c r="B646" s="8"/>
      <c r="E646" s="70"/>
      <c r="F646" s="70" t="str">
        <f t="array" ref="F646">IF(E646="","",IFERROR(_xlfn.XLOOKUP(E646,SyncCodex!N:N,SyncCodex!O:O),""))</f>
        <v/>
      </c>
      <c r="G646" s="71"/>
      <c r="H646" s="71" t="str">
        <f t="shared" si="1"/>
        <v/>
      </c>
      <c r="I646" s="8" t="b">
        <v>0</v>
      </c>
      <c r="J646" s="72"/>
      <c r="K646" s="72"/>
    </row>
    <row r="647">
      <c r="A647" s="69"/>
      <c r="B647" s="8"/>
      <c r="E647" s="70"/>
      <c r="F647" s="70" t="str">
        <f t="array" ref="F647">IF(E647="","",IFERROR(_xlfn.XLOOKUP(E647,SyncCodex!N:N,SyncCodex!O:O),""))</f>
        <v/>
      </c>
      <c r="G647" s="71"/>
      <c r="H647" s="71" t="str">
        <f t="shared" si="1"/>
        <v/>
      </c>
      <c r="I647" s="8" t="b">
        <v>0</v>
      </c>
      <c r="J647" s="72"/>
      <c r="K647" s="72"/>
    </row>
    <row r="648">
      <c r="A648" s="69"/>
      <c r="B648" s="8"/>
      <c r="E648" s="70"/>
      <c r="F648" s="70" t="str">
        <f t="array" ref="F648">IF(E648="","",IFERROR(_xlfn.XLOOKUP(E648,SyncCodex!N:N,SyncCodex!O:O),""))</f>
        <v/>
      </c>
      <c r="G648" s="71"/>
      <c r="H648" s="71" t="str">
        <f t="shared" si="1"/>
        <v/>
      </c>
      <c r="I648" s="8" t="b">
        <v>0</v>
      </c>
      <c r="J648" s="72"/>
      <c r="K648" s="72"/>
    </row>
    <row r="649">
      <c r="A649" s="69"/>
      <c r="B649" s="8"/>
      <c r="E649" s="70"/>
      <c r="F649" s="70" t="str">
        <f t="array" ref="F649">IF(E649="","",IFERROR(_xlfn.XLOOKUP(E649,SyncCodex!N:N,SyncCodex!O:O),""))</f>
        <v/>
      </c>
      <c r="G649" s="71"/>
      <c r="H649" s="71" t="str">
        <f t="shared" si="1"/>
        <v/>
      </c>
      <c r="I649" s="8" t="b">
        <v>0</v>
      </c>
      <c r="J649" s="72"/>
      <c r="K649" s="72"/>
    </row>
    <row r="650">
      <c r="A650" s="69"/>
      <c r="B650" s="8"/>
      <c r="E650" s="70"/>
      <c r="F650" s="70" t="str">
        <f t="array" ref="F650">IF(E650="","",IFERROR(_xlfn.XLOOKUP(E650,SyncCodex!N:N,SyncCodex!O:O),""))</f>
        <v/>
      </c>
      <c r="G650" s="71"/>
      <c r="H650" s="71" t="str">
        <f t="shared" si="1"/>
        <v/>
      </c>
      <c r="I650" s="8" t="b">
        <v>0</v>
      </c>
      <c r="J650" s="72"/>
      <c r="K650" s="72"/>
    </row>
    <row r="651">
      <c r="A651" s="69"/>
      <c r="B651" s="8"/>
      <c r="E651" s="70"/>
      <c r="F651" s="70" t="str">
        <f t="array" ref="F651">IF(E651="","",IFERROR(_xlfn.XLOOKUP(E651,SyncCodex!N:N,SyncCodex!O:O),""))</f>
        <v/>
      </c>
      <c r="G651" s="71"/>
      <c r="H651" s="71" t="str">
        <f t="shared" si="1"/>
        <v/>
      </c>
      <c r="I651" s="8" t="b">
        <v>0</v>
      </c>
      <c r="J651" s="72"/>
      <c r="K651" s="72"/>
    </row>
    <row r="652">
      <c r="A652" s="69"/>
      <c r="B652" s="8"/>
      <c r="E652" s="70"/>
      <c r="F652" s="70" t="str">
        <f t="array" ref="F652">IF(E652="","",IFERROR(_xlfn.XLOOKUP(E652,SyncCodex!N:N,SyncCodex!O:O),""))</f>
        <v/>
      </c>
      <c r="G652" s="71"/>
      <c r="H652" s="71" t="str">
        <f t="shared" si="1"/>
        <v/>
      </c>
      <c r="I652" s="8" t="b">
        <v>0</v>
      </c>
      <c r="J652" s="72"/>
      <c r="K652" s="72"/>
    </row>
    <row r="653">
      <c r="A653" s="69"/>
      <c r="B653" s="8"/>
      <c r="E653" s="70"/>
      <c r="F653" s="70" t="str">
        <f t="array" ref="F653">IF(E653="","",IFERROR(_xlfn.XLOOKUP(E653,SyncCodex!N:N,SyncCodex!O:O),""))</f>
        <v/>
      </c>
      <c r="G653" s="71"/>
      <c r="H653" s="71" t="str">
        <f t="shared" si="1"/>
        <v/>
      </c>
      <c r="I653" s="8" t="b">
        <v>0</v>
      </c>
      <c r="J653" s="72"/>
      <c r="K653" s="72"/>
    </row>
    <row r="654">
      <c r="A654" s="69"/>
      <c r="B654" s="8"/>
      <c r="E654" s="70"/>
      <c r="F654" s="70" t="str">
        <f t="array" ref="F654">IF(E654="","",IFERROR(_xlfn.XLOOKUP(E654,SyncCodex!N:N,SyncCodex!O:O),""))</f>
        <v/>
      </c>
      <c r="G654" s="71"/>
      <c r="H654" s="71" t="str">
        <f t="shared" si="1"/>
        <v/>
      </c>
      <c r="I654" s="8" t="b">
        <v>0</v>
      </c>
      <c r="J654" s="72"/>
      <c r="K654" s="72"/>
    </row>
    <row r="655">
      <c r="A655" s="69"/>
      <c r="B655" s="8"/>
      <c r="E655" s="70"/>
      <c r="F655" s="70" t="str">
        <f t="array" ref="F655">IF(E655="","",IFERROR(_xlfn.XLOOKUP(E655,SyncCodex!N:N,SyncCodex!O:O),""))</f>
        <v/>
      </c>
      <c r="G655" s="71"/>
      <c r="H655" s="71" t="str">
        <f t="shared" si="1"/>
        <v/>
      </c>
      <c r="I655" s="8" t="b">
        <v>0</v>
      </c>
      <c r="J655" s="72"/>
      <c r="K655" s="72"/>
    </row>
    <row r="656">
      <c r="A656" s="69"/>
      <c r="B656" s="8"/>
      <c r="E656" s="70"/>
      <c r="F656" s="70" t="str">
        <f t="array" ref="F656">IF(E656="","",IFERROR(_xlfn.XLOOKUP(E656,SyncCodex!N:N,SyncCodex!O:O),""))</f>
        <v/>
      </c>
      <c r="G656" s="71"/>
      <c r="H656" s="71" t="str">
        <f t="shared" si="1"/>
        <v/>
      </c>
      <c r="I656" s="8" t="b">
        <v>0</v>
      </c>
      <c r="J656" s="72"/>
      <c r="K656" s="72"/>
    </row>
    <row r="657">
      <c r="A657" s="69"/>
      <c r="B657" s="8"/>
      <c r="E657" s="70"/>
      <c r="F657" s="70" t="str">
        <f t="array" ref="F657">IF(E657="","",IFERROR(_xlfn.XLOOKUP(E657,SyncCodex!N:N,SyncCodex!O:O),""))</f>
        <v/>
      </c>
      <c r="G657" s="71"/>
      <c r="H657" s="71" t="str">
        <f t="shared" si="1"/>
        <v/>
      </c>
      <c r="I657" s="8" t="b">
        <v>0</v>
      </c>
      <c r="J657" s="72"/>
      <c r="K657" s="72"/>
    </row>
    <row r="658">
      <c r="A658" s="69"/>
      <c r="B658" s="8"/>
      <c r="E658" s="70"/>
      <c r="F658" s="70" t="str">
        <f t="array" ref="F658">IF(E658="","",IFERROR(_xlfn.XLOOKUP(E658,SyncCodex!N:N,SyncCodex!O:O),""))</f>
        <v/>
      </c>
      <c r="G658" s="71"/>
      <c r="H658" s="71" t="str">
        <f t="shared" si="1"/>
        <v/>
      </c>
      <c r="I658" s="8" t="b">
        <v>0</v>
      </c>
      <c r="J658" s="72"/>
      <c r="K658" s="72"/>
    </row>
    <row r="659">
      <c r="A659" s="69"/>
      <c r="B659" s="8"/>
      <c r="E659" s="70"/>
      <c r="F659" s="70" t="str">
        <f t="array" ref="F659">IF(E659="","",IFERROR(_xlfn.XLOOKUP(E659,SyncCodex!N:N,SyncCodex!O:O),""))</f>
        <v/>
      </c>
      <c r="G659" s="71"/>
      <c r="H659" s="71" t="str">
        <f t="shared" si="1"/>
        <v/>
      </c>
      <c r="I659" s="8" t="b">
        <v>0</v>
      </c>
      <c r="J659" s="72"/>
      <c r="K659" s="72"/>
    </row>
    <row r="660">
      <c r="A660" s="69"/>
      <c r="B660" s="8"/>
      <c r="E660" s="70"/>
      <c r="F660" s="70" t="str">
        <f t="array" ref="F660">IF(E660="","",IFERROR(_xlfn.XLOOKUP(E660,SyncCodex!N:N,SyncCodex!O:O),""))</f>
        <v/>
      </c>
      <c r="G660" s="71"/>
      <c r="H660" s="71" t="str">
        <f t="shared" si="1"/>
        <v/>
      </c>
      <c r="I660" s="8" t="b">
        <v>0</v>
      </c>
      <c r="J660" s="72"/>
      <c r="K660" s="72"/>
    </row>
    <row r="661">
      <c r="A661" s="69"/>
      <c r="B661" s="8"/>
      <c r="E661" s="70"/>
      <c r="F661" s="70" t="str">
        <f t="array" ref="F661">IF(E661="","",IFERROR(_xlfn.XLOOKUP(E661,SyncCodex!N:N,SyncCodex!O:O),""))</f>
        <v/>
      </c>
      <c r="G661" s="71"/>
      <c r="H661" s="71" t="str">
        <f t="shared" si="1"/>
        <v/>
      </c>
      <c r="I661" s="8" t="b">
        <v>0</v>
      </c>
      <c r="J661" s="72"/>
      <c r="K661" s="72"/>
    </row>
    <row r="662">
      <c r="A662" s="69"/>
      <c r="B662" s="8"/>
      <c r="E662" s="70"/>
      <c r="F662" s="70" t="str">
        <f t="array" ref="F662">IF(E662="","",IFERROR(_xlfn.XLOOKUP(E662,SyncCodex!N:N,SyncCodex!O:O),""))</f>
        <v/>
      </c>
      <c r="G662" s="71"/>
      <c r="H662" s="71" t="str">
        <f t="shared" si="1"/>
        <v/>
      </c>
      <c r="I662" s="8" t="b">
        <v>0</v>
      </c>
      <c r="J662" s="72"/>
      <c r="K662" s="72"/>
    </row>
    <row r="663">
      <c r="A663" s="69"/>
      <c r="B663" s="8"/>
      <c r="E663" s="70"/>
      <c r="F663" s="70" t="str">
        <f t="array" ref="F663">IF(E663="","",IFERROR(_xlfn.XLOOKUP(E663,SyncCodex!N:N,SyncCodex!O:O),""))</f>
        <v/>
      </c>
      <c r="G663" s="71"/>
      <c r="H663" s="71" t="str">
        <f t="shared" si="1"/>
        <v/>
      </c>
      <c r="I663" s="8" t="b">
        <v>0</v>
      </c>
      <c r="J663" s="72"/>
      <c r="K663" s="72"/>
    </row>
    <row r="664">
      <c r="A664" s="69"/>
      <c r="B664" s="8"/>
      <c r="E664" s="70"/>
      <c r="F664" s="70" t="str">
        <f t="array" ref="F664">IF(E664="","",IFERROR(_xlfn.XLOOKUP(E664,SyncCodex!N:N,SyncCodex!O:O),""))</f>
        <v/>
      </c>
      <c r="G664" s="71"/>
      <c r="H664" s="71" t="str">
        <f t="shared" si="1"/>
        <v/>
      </c>
      <c r="I664" s="8" t="b">
        <v>0</v>
      </c>
      <c r="J664" s="72"/>
      <c r="K664" s="72"/>
    </row>
    <row r="665">
      <c r="A665" s="69"/>
      <c r="B665" s="8"/>
      <c r="E665" s="70"/>
      <c r="F665" s="70" t="str">
        <f t="array" ref="F665">IF(E665="","",IFERROR(_xlfn.XLOOKUP(E665,SyncCodex!N:N,SyncCodex!O:O),""))</f>
        <v/>
      </c>
      <c r="G665" s="71"/>
      <c r="H665" s="71" t="str">
        <f t="shared" si="1"/>
        <v/>
      </c>
      <c r="I665" s="8" t="b">
        <v>0</v>
      </c>
      <c r="J665" s="72"/>
      <c r="K665" s="72"/>
    </row>
    <row r="666">
      <c r="A666" s="69"/>
      <c r="B666" s="8"/>
      <c r="E666" s="70"/>
      <c r="F666" s="70" t="str">
        <f t="array" ref="F666">IF(E666="","",IFERROR(_xlfn.XLOOKUP(E666,SyncCodex!N:N,SyncCodex!O:O),""))</f>
        <v/>
      </c>
      <c r="G666" s="71"/>
      <c r="H666" s="71" t="str">
        <f t="shared" si="1"/>
        <v/>
      </c>
      <c r="I666" s="8" t="b">
        <v>0</v>
      </c>
      <c r="J666" s="72"/>
      <c r="K666" s="72"/>
    </row>
    <row r="667">
      <c r="A667" s="69"/>
      <c r="B667" s="8"/>
      <c r="E667" s="70"/>
      <c r="F667" s="70" t="str">
        <f t="array" ref="F667">IF(E667="","",IFERROR(_xlfn.XLOOKUP(E667,SyncCodex!N:N,SyncCodex!O:O),""))</f>
        <v/>
      </c>
      <c r="G667" s="71"/>
      <c r="H667" s="71" t="str">
        <f t="shared" si="1"/>
        <v/>
      </c>
      <c r="I667" s="8" t="b">
        <v>0</v>
      </c>
      <c r="J667" s="72"/>
      <c r="K667" s="72"/>
    </row>
    <row r="668">
      <c r="A668" s="69"/>
      <c r="B668" s="8"/>
      <c r="E668" s="70"/>
      <c r="F668" s="70" t="str">
        <f t="array" ref="F668">IF(E668="","",IFERROR(_xlfn.XLOOKUP(E668,SyncCodex!N:N,SyncCodex!O:O),""))</f>
        <v/>
      </c>
      <c r="G668" s="71"/>
      <c r="H668" s="71" t="str">
        <f t="shared" si="1"/>
        <v/>
      </c>
      <c r="I668" s="8" t="b">
        <v>0</v>
      </c>
      <c r="J668" s="72"/>
      <c r="K668" s="72"/>
    </row>
    <row r="669">
      <c r="A669" s="69"/>
      <c r="B669" s="8"/>
      <c r="E669" s="70"/>
      <c r="F669" s="70" t="str">
        <f t="array" ref="F669">IF(E669="","",IFERROR(_xlfn.XLOOKUP(E669,SyncCodex!N:N,SyncCodex!O:O),""))</f>
        <v/>
      </c>
      <c r="G669" s="71"/>
      <c r="H669" s="71" t="str">
        <f t="shared" si="1"/>
        <v/>
      </c>
      <c r="I669" s="8" t="b">
        <v>0</v>
      </c>
      <c r="J669" s="72"/>
      <c r="K669" s="72"/>
    </row>
    <row r="670">
      <c r="A670" s="69"/>
      <c r="B670" s="8"/>
      <c r="E670" s="70"/>
      <c r="F670" s="70" t="str">
        <f t="array" ref="F670">IF(E670="","",IFERROR(_xlfn.XLOOKUP(E670,SyncCodex!N:N,SyncCodex!O:O),""))</f>
        <v/>
      </c>
      <c r="G670" s="71"/>
      <c r="H670" s="71" t="str">
        <f t="shared" si="1"/>
        <v/>
      </c>
      <c r="I670" s="8" t="b">
        <v>0</v>
      </c>
      <c r="J670" s="72"/>
      <c r="K670" s="72"/>
    </row>
    <row r="671">
      <c r="A671" s="69"/>
      <c r="B671" s="8"/>
      <c r="E671" s="70"/>
      <c r="F671" s="70" t="str">
        <f t="array" ref="F671">IF(E671="","",IFERROR(_xlfn.XLOOKUP(E671,SyncCodex!N:N,SyncCodex!O:O),""))</f>
        <v/>
      </c>
      <c r="G671" s="71"/>
      <c r="H671" s="71" t="str">
        <f t="shared" si="1"/>
        <v/>
      </c>
      <c r="I671" s="8" t="b">
        <v>0</v>
      </c>
      <c r="J671" s="72"/>
      <c r="K671" s="72"/>
    </row>
    <row r="672">
      <c r="A672" s="69"/>
      <c r="B672" s="8"/>
      <c r="E672" s="70"/>
      <c r="F672" s="70" t="str">
        <f t="array" ref="F672">IF(E672="","",IFERROR(_xlfn.XLOOKUP(E672,SyncCodex!N:N,SyncCodex!O:O),""))</f>
        <v/>
      </c>
      <c r="G672" s="71"/>
      <c r="H672" s="71" t="str">
        <f t="shared" si="1"/>
        <v/>
      </c>
      <c r="I672" s="8" t="b">
        <v>0</v>
      </c>
      <c r="J672" s="72"/>
      <c r="K672" s="72"/>
    </row>
    <row r="673">
      <c r="A673" s="69"/>
      <c r="B673" s="8"/>
      <c r="E673" s="70"/>
      <c r="F673" s="70" t="str">
        <f t="array" ref="F673">IF(E673="","",IFERROR(_xlfn.XLOOKUP(E673,SyncCodex!N:N,SyncCodex!O:O),""))</f>
        <v/>
      </c>
      <c r="G673" s="71"/>
      <c r="H673" s="71" t="str">
        <f t="shared" si="1"/>
        <v/>
      </c>
      <c r="I673" s="8" t="b">
        <v>0</v>
      </c>
      <c r="J673" s="72"/>
      <c r="K673" s="72"/>
    </row>
    <row r="674">
      <c r="A674" s="69"/>
      <c r="B674" s="8"/>
      <c r="E674" s="70"/>
      <c r="F674" s="70" t="str">
        <f t="array" ref="F674">IF(E674="","",IFERROR(_xlfn.XLOOKUP(E674,SyncCodex!N:N,SyncCodex!O:O),""))</f>
        <v/>
      </c>
      <c r="G674" s="71"/>
      <c r="H674" s="71" t="str">
        <f t="shared" si="1"/>
        <v/>
      </c>
      <c r="I674" s="8" t="b">
        <v>0</v>
      </c>
      <c r="J674" s="72"/>
      <c r="K674" s="72"/>
    </row>
    <row r="675">
      <c r="A675" s="69"/>
      <c r="B675" s="8"/>
      <c r="E675" s="70"/>
      <c r="F675" s="70" t="str">
        <f t="array" ref="F675">IF(E675="","",IFERROR(_xlfn.XLOOKUP(E675,SyncCodex!N:N,SyncCodex!O:O),""))</f>
        <v/>
      </c>
      <c r="G675" s="71"/>
      <c r="H675" s="71" t="str">
        <f t="shared" si="1"/>
        <v/>
      </c>
      <c r="I675" s="8" t="b">
        <v>0</v>
      </c>
      <c r="J675" s="72"/>
      <c r="K675" s="72"/>
    </row>
    <row r="676">
      <c r="A676" s="69"/>
      <c r="B676" s="8"/>
      <c r="E676" s="70"/>
      <c r="F676" s="70" t="str">
        <f t="array" ref="F676">IF(E676="","",IFERROR(_xlfn.XLOOKUP(E676,SyncCodex!N:N,SyncCodex!O:O),""))</f>
        <v/>
      </c>
      <c r="G676" s="71"/>
      <c r="H676" s="71" t="str">
        <f t="shared" si="1"/>
        <v/>
      </c>
      <c r="I676" s="8" t="b">
        <v>0</v>
      </c>
      <c r="J676" s="72"/>
      <c r="K676" s="72"/>
    </row>
    <row r="677">
      <c r="A677" s="69"/>
      <c r="B677" s="8"/>
      <c r="E677" s="70"/>
      <c r="F677" s="70" t="str">
        <f t="array" ref="F677">IF(E677="","",IFERROR(_xlfn.XLOOKUP(E677,SyncCodex!N:N,SyncCodex!O:O),""))</f>
        <v/>
      </c>
      <c r="G677" s="71"/>
      <c r="H677" s="71" t="str">
        <f t="shared" si="1"/>
        <v/>
      </c>
      <c r="I677" s="8" t="b">
        <v>0</v>
      </c>
      <c r="J677" s="72"/>
      <c r="K677" s="72"/>
    </row>
    <row r="678">
      <c r="A678" s="69"/>
      <c r="B678" s="8"/>
      <c r="E678" s="70"/>
      <c r="F678" s="70" t="str">
        <f t="array" ref="F678">IF(E678="","",IFERROR(_xlfn.XLOOKUP(E678,SyncCodex!N:N,SyncCodex!O:O),""))</f>
        <v/>
      </c>
      <c r="G678" s="71"/>
      <c r="H678" s="71" t="str">
        <f t="shared" si="1"/>
        <v/>
      </c>
      <c r="I678" s="8" t="b">
        <v>0</v>
      </c>
      <c r="J678" s="72"/>
      <c r="K678" s="72"/>
    </row>
    <row r="679">
      <c r="A679" s="69"/>
      <c r="B679" s="8"/>
      <c r="E679" s="70"/>
      <c r="F679" s="70" t="str">
        <f t="array" ref="F679">IF(E679="","",IFERROR(_xlfn.XLOOKUP(E679,SyncCodex!N:N,SyncCodex!O:O),""))</f>
        <v/>
      </c>
      <c r="G679" s="71"/>
      <c r="H679" s="71" t="str">
        <f t="shared" si="1"/>
        <v/>
      </c>
      <c r="I679" s="8" t="b">
        <v>0</v>
      </c>
      <c r="J679" s="72"/>
      <c r="K679" s="72"/>
    </row>
    <row r="680">
      <c r="A680" s="69"/>
      <c r="B680" s="8"/>
      <c r="E680" s="70"/>
      <c r="F680" s="70" t="str">
        <f t="array" ref="F680">IF(E680="","",IFERROR(_xlfn.XLOOKUP(E680,SyncCodex!N:N,SyncCodex!O:O),""))</f>
        <v/>
      </c>
      <c r="G680" s="71"/>
      <c r="H680" s="71" t="str">
        <f t="shared" si="1"/>
        <v/>
      </c>
      <c r="I680" s="8" t="b">
        <v>0</v>
      </c>
      <c r="J680" s="72"/>
      <c r="K680" s="72"/>
    </row>
    <row r="681">
      <c r="A681" s="69"/>
      <c r="B681" s="8"/>
      <c r="E681" s="70"/>
      <c r="F681" s="70" t="str">
        <f t="array" ref="F681">IF(E681="","",IFERROR(_xlfn.XLOOKUP(E681,SyncCodex!N:N,SyncCodex!O:O),""))</f>
        <v/>
      </c>
      <c r="G681" s="71"/>
      <c r="H681" s="71" t="str">
        <f t="shared" si="1"/>
        <v/>
      </c>
      <c r="I681" s="8" t="b">
        <v>0</v>
      </c>
      <c r="J681" s="72"/>
      <c r="K681" s="72"/>
    </row>
    <row r="682">
      <c r="A682" s="69"/>
      <c r="B682" s="8"/>
      <c r="E682" s="70"/>
      <c r="F682" s="70" t="str">
        <f t="array" ref="F682">IF(E682="","",IFERROR(_xlfn.XLOOKUP(E682,SyncCodex!N:N,SyncCodex!O:O),""))</f>
        <v/>
      </c>
      <c r="G682" s="71"/>
      <c r="H682" s="71" t="str">
        <f t="shared" si="1"/>
        <v/>
      </c>
      <c r="I682" s="8" t="b">
        <v>0</v>
      </c>
      <c r="J682" s="72"/>
      <c r="K682" s="72"/>
    </row>
    <row r="683">
      <c r="A683" s="69"/>
      <c r="B683" s="8"/>
      <c r="E683" s="70"/>
      <c r="F683" s="70" t="str">
        <f t="array" ref="F683">IF(E683="","",IFERROR(_xlfn.XLOOKUP(E683,SyncCodex!N:N,SyncCodex!O:O),""))</f>
        <v/>
      </c>
      <c r="G683" s="71"/>
      <c r="H683" s="71" t="str">
        <f t="shared" si="1"/>
        <v/>
      </c>
      <c r="I683" s="8" t="b">
        <v>0</v>
      </c>
      <c r="J683" s="72"/>
      <c r="K683" s="72"/>
    </row>
    <row r="684">
      <c r="A684" s="69"/>
      <c r="B684" s="8"/>
      <c r="E684" s="70"/>
      <c r="F684" s="70" t="str">
        <f t="array" ref="F684">IF(E684="","",IFERROR(_xlfn.XLOOKUP(E684,SyncCodex!N:N,SyncCodex!O:O),""))</f>
        <v/>
      </c>
      <c r="G684" s="71"/>
      <c r="H684" s="71" t="str">
        <f t="shared" si="1"/>
        <v/>
      </c>
      <c r="I684" s="8" t="b">
        <v>0</v>
      </c>
      <c r="J684" s="72"/>
      <c r="K684" s="72"/>
    </row>
    <row r="685">
      <c r="A685" s="69"/>
      <c r="B685" s="8"/>
      <c r="E685" s="70"/>
      <c r="F685" s="70" t="str">
        <f t="array" ref="F685">IF(E685="","",IFERROR(_xlfn.XLOOKUP(E685,SyncCodex!N:N,SyncCodex!O:O),""))</f>
        <v/>
      </c>
      <c r="G685" s="71"/>
      <c r="H685" s="71" t="str">
        <f t="shared" si="1"/>
        <v/>
      </c>
      <c r="I685" s="8" t="b">
        <v>0</v>
      </c>
      <c r="J685" s="72"/>
      <c r="K685" s="72"/>
    </row>
    <row r="686">
      <c r="A686" s="69"/>
      <c r="B686" s="8"/>
      <c r="E686" s="70"/>
      <c r="F686" s="70" t="str">
        <f t="array" ref="F686">IF(E686="","",IFERROR(_xlfn.XLOOKUP(E686,SyncCodex!N:N,SyncCodex!O:O),""))</f>
        <v/>
      </c>
      <c r="G686" s="71"/>
      <c r="H686" s="71" t="str">
        <f t="shared" si="1"/>
        <v/>
      </c>
      <c r="I686" s="8" t="b">
        <v>0</v>
      </c>
      <c r="J686" s="72"/>
      <c r="K686" s="72"/>
    </row>
    <row r="687">
      <c r="A687" s="69"/>
      <c r="B687" s="8"/>
      <c r="E687" s="70"/>
      <c r="F687" s="70" t="str">
        <f t="array" ref="F687">IF(E687="","",IFERROR(_xlfn.XLOOKUP(E687,SyncCodex!N:N,SyncCodex!O:O),""))</f>
        <v/>
      </c>
      <c r="G687" s="71"/>
      <c r="H687" s="71" t="str">
        <f t="shared" si="1"/>
        <v/>
      </c>
      <c r="I687" s="8" t="b">
        <v>0</v>
      </c>
      <c r="J687" s="72"/>
      <c r="K687" s="72"/>
    </row>
    <row r="688">
      <c r="A688" s="69"/>
      <c r="B688" s="8"/>
      <c r="E688" s="70"/>
      <c r="F688" s="70" t="str">
        <f t="array" ref="F688">IF(E688="","",IFERROR(_xlfn.XLOOKUP(E688,SyncCodex!N:N,SyncCodex!O:O),""))</f>
        <v/>
      </c>
      <c r="G688" s="71"/>
      <c r="H688" s="71" t="str">
        <f t="shared" si="1"/>
        <v/>
      </c>
      <c r="I688" s="8" t="b">
        <v>0</v>
      </c>
      <c r="J688" s="72"/>
      <c r="K688" s="72"/>
    </row>
    <row r="689">
      <c r="A689" s="69"/>
      <c r="B689" s="8"/>
      <c r="E689" s="70"/>
      <c r="F689" s="70" t="str">
        <f t="array" ref="F689">IF(E689="","",IFERROR(_xlfn.XLOOKUP(E689,SyncCodex!N:N,SyncCodex!O:O),""))</f>
        <v/>
      </c>
      <c r="G689" s="71"/>
      <c r="H689" s="71" t="str">
        <f t="shared" si="1"/>
        <v/>
      </c>
      <c r="I689" s="8" t="b">
        <v>0</v>
      </c>
      <c r="J689" s="72"/>
      <c r="K689" s="72"/>
    </row>
    <row r="690">
      <c r="A690" s="69"/>
      <c r="B690" s="8"/>
      <c r="E690" s="70"/>
      <c r="F690" s="70" t="str">
        <f t="array" ref="F690">IF(E690="","",IFERROR(_xlfn.XLOOKUP(E690,SyncCodex!N:N,SyncCodex!O:O),""))</f>
        <v/>
      </c>
      <c r="G690" s="71"/>
      <c r="H690" s="71" t="str">
        <f t="shared" si="1"/>
        <v/>
      </c>
      <c r="I690" s="8" t="b">
        <v>0</v>
      </c>
      <c r="J690" s="72"/>
      <c r="K690" s="72"/>
    </row>
    <row r="691">
      <c r="A691" s="69"/>
      <c r="B691" s="8"/>
      <c r="E691" s="70"/>
      <c r="F691" s="70" t="str">
        <f t="array" ref="F691">IF(E691="","",IFERROR(_xlfn.XLOOKUP(E691,SyncCodex!N:N,SyncCodex!O:O),""))</f>
        <v/>
      </c>
      <c r="G691" s="71"/>
      <c r="H691" s="71" t="str">
        <f t="shared" si="1"/>
        <v/>
      </c>
      <c r="I691" s="8" t="b">
        <v>0</v>
      </c>
      <c r="J691" s="72"/>
      <c r="K691" s="72"/>
    </row>
    <row r="692">
      <c r="A692" s="69"/>
      <c r="B692" s="8"/>
      <c r="E692" s="70"/>
      <c r="F692" s="70" t="str">
        <f t="array" ref="F692">IF(E692="","",IFERROR(_xlfn.XLOOKUP(E692,SyncCodex!N:N,SyncCodex!O:O),""))</f>
        <v/>
      </c>
      <c r="G692" s="71"/>
      <c r="H692" s="71" t="str">
        <f t="shared" si="1"/>
        <v/>
      </c>
      <c r="I692" s="8" t="b">
        <v>0</v>
      </c>
      <c r="J692" s="72"/>
      <c r="K692" s="72"/>
    </row>
    <row r="693">
      <c r="A693" s="69"/>
      <c r="B693" s="8"/>
      <c r="E693" s="70"/>
      <c r="F693" s="70" t="str">
        <f t="array" ref="F693">IF(E693="","",IFERROR(_xlfn.XLOOKUP(E693,SyncCodex!N:N,SyncCodex!O:O),""))</f>
        <v/>
      </c>
      <c r="G693" s="71"/>
      <c r="H693" s="71" t="str">
        <f t="shared" si="1"/>
        <v/>
      </c>
      <c r="I693" s="8" t="b">
        <v>0</v>
      </c>
      <c r="J693" s="72"/>
      <c r="K693" s="72"/>
    </row>
    <row r="694">
      <c r="A694" s="69"/>
      <c r="B694" s="8"/>
      <c r="E694" s="70"/>
      <c r="F694" s="70" t="str">
        <f t="array" ref="F694">IF(E694="","",IFERROR(_xlfn.XLOOKUP(E694,SyncCodex!N:N,SyncCodex!O:O),""))</f>
        <v/>
      </c>
      <c r="G694" s="71"/>
      <c r="H694" s="71" t="str">
        <f t="shared" si="1"/>
        <v/>
      </c>
      <c r="I694" s="8" t="b">
        <v>0</v>
      </c>
      <c r="J694" s="72"/>
      <c r="K694" s="72"/>
    </row>
    <row r="695">
      <c r="A695" s="69"/>
      <c r="B695" s="8"/>
      <c r="E695" s="70"/>
      <c r="F695" s="70" t="str">
        <f t="array" ref="F695">IF(E695="","",IFERROR(_xlfn.XLOOKUP(E695,SyncCodex!N:N,SyncCodex!O:O),""))</f>
        <v/>
      </c>
      <c r="G695" s="71"/>
      <c r="H695" s="71" t="str">
        <f t="shared" si="1"/>
        <v/>
      </c>
      <c r="I695" s="8" t="b">
        <v>0</v>
      </c>
      <c r="J695" s="72"/>
      <c r="K695" s="72"/>
    </row>
    <row r="696">
      <c r="A696" s="69"/>
      <c r="B696" s="8"/>
      <c r="E696" s="70"/>
      <c r="F696" s="70" t="str">
        <f t="array" ref="F696">IF(E696="","",IFERROR(_xlfn.XLOOKUP(E696,SyncCodex!N:N,SyncCodex!O:O),""))</f>
        <v/>
      </c>
      <c r="G696" s="71"/>
      <c r="H696" s="71" t="str">
        <f t="shared" si="1"/>
        <v/>
      </c>
      <c r="I696" s="8" t="b">
        <v>0</v>
      </c>
      <c r="J696" s="72"/>
      <c r="K696" s="72"/>
    </row>
    <row r="697">
      <c r="A697" s="69"/>
      <c r="B697" s="8"/>
      <c r="E697" s="70"/>
      <c r="F697" s="70" t="str">
        <f t="array" ref="F697">IF(E697="","",IFERROR(_xlfn.XLOOKUP(E697,SyncCodex!N:N,SyncCodex!O:O),""))</f>
        <v/>
      </c>
      <c r="G697" s="71"/>
      <c r="H697" s="71" t="str">
        <f t="shared" si="1"/>
        <v/>
      </c>
      <c r="I697" s="8" t="b">
        <v>0</v>
      </c>
      <c r="J697" s="72"/>
      <c r="K697" s="72"/>
    </row>
    <row r="698">
      <c r="A698" s="69"/>
      <c r="B698" s="8"/>
      <c r="E698" s="70"/>
      <c r="F698" s="70" t="str">
        <f t="array" ref="F698">IF(E698="","",IFERROR(_xlfn.XLOOKUP(E698,SyncCodex!N:N,SyncCodex!O:O),""))</f>
        <v/>
      </c>
      <c r="G698" s="71"/>
      <c r="H698" s="71" t="str">
        <f t="shared" si="1"/>
        <v/>
      </c>
      <c r="I698" s="8" t="b">
        <v>0</v>
      </c>
      <c r="J698" s="72"/>
      <c r="K698" s="72"/>
    </row>
    <row r="699">
      <c r="A699" s="69"/>
      <c r="B699" s="8"/>
      <c r="E699" s="70"/>
      <c r="F699" s="70" t="str">
        <f t="array" ref="F699">IF(E699="","",IFERROR(_xlfn.XLOOKUP(E699,SyncCodex!N:N,SyncCodex!O:O),""))</f>
        <v/>
      </c>
      <c r="G699" s="71"/>
      <c r="H699" s="71" t="str">
        <f t="shared" si="1"/>
        <v/>
      </c>
      <c r="I699" s="8" t="b">
        <v>0</v>
      </c>
      <c r="J699" s="72"/>
      <c r="K699" s="72"/>
    </row>
    <row r="700">
      <c r="A700" s="69"/>
      <c r="B700" s="8"/>
      <c r="E700" s="70"/>
      <c r="F700" s="70" t="str">
        <f t="array" ref="F700">IF(E700="","",IFERROR(_xlfn.XLOOKUP(E700,SyncCodex!N:N,SyncCodex!O:O),""))</f>
        <v/>
      </c>
      <c r="G700" s="71"/>
      <c r="H700" s="71" t="str">
        <f t="shared" si="1"/>
        <v/>
      </c>
      <c r="I700" s="8" t="b">
        <v>0</v>
      </c>
      <c r="J700" s="72"/>
      <c r="K700" s="72"/>
    </row>
    <row r="701">
      <c r="A701" s="69"/>
      <c r="B701" s="8"/>
      <c r="E701" s="70"/>
      <c r="F701" s="70" t="str">
        <f t="array" ref="F701">IF(E701="","",IFERROR(_xlfn.XLOOKUP(E701,SyncCodex!N:N,SyncCodex!O:O),""))</f>
        <v/>
      </c>
      <c r="G701" s="71"/>
      <c r="H701" s="71" t="str">
        <f t="shared" si="1"/>
        <v/>
      </c>
      <c r="I701" s="8" t="b">
        <v>0</v>
      </c>
      <c r="J701" s="72"/>
      <c r="K701" s="72"/>
    </row>
    <row r="702">
      <c r="A702" s="69"/>
      <c r="B702" s="8"/>
      <c r="E702" s="70"/>
      <c r="F702" s="70" t="str">
        <f t="array" ref="F702">IF(E702="","",IFERROR(_xlfn.XLOOKUP(E702,SyncCodex!N:N,SyncCodex!O:O),""))</f>
        <v/>
      </c>
      <c r="G702" s="71"/>
      <c r="H702" s="71" t="str">
        <f t="shared" si="1"/>
        <v/>
      </c>
      <c r="I702" s="8" t="b">
        <v>0</v>
      </c>
      <c r="J702" s="72"/>
      <c r="K702" s="72"/>
    </row>
    <row r="703">
      <c r="A703" s="69"/>
      <c r="B703" s="8"/>
      <c r="E703" s="70"/>
      <c r="F703" s="70" t="str">
        <f t="array" ref="F703">IF(E703="","",IFERROR(_xlfn.XLOOKUP(E703,SyncCodex!N:N,SyncCodex!O:O),""))</f>
        <v/>
      </c>
      <c r="G703" s="71"/>
      <c r="H703" s="71" t="str">
        <f t="shared" si="1"/>
        <v/>
      </c>
      <c r="I703" s="8" t="b">
        <v>0</v>
      </c>
      <c r="J703" s="72"/>
      <c r="K703" s="72"/>
    </row>
    <row r="704">
      <c r="A704" s="69"/>
      <c r="B704" s="8"/>
      <c r="E704" s="70"/>
      <c r="F704" s="70" t="str">
        <f t="array" ref="F704">IF(E704="","",IFERROR(_xlfn.XLOOKUP(E704,SyncCodex!N:N,SyncCodex!O:O),""))</f>
        <v/>
      </c>
      <c r="G704" s="71"/>
      <c r="H704" s="71" t="str">
        <f t="shared" si="1"/>
        <v/>
      </c>
      <c r="I704" s="8" t="b">
        <v>0</v>
      </c>
      <c r="J704" s="72"/>
      <c r="K704" s="72"/>
    </row>
    <row r="705">
      <c r="A705" s="69"/>
      <c r="B705" s="8"/>
      <c r="E705" s="70"/>
      <c r="F705" s="70" t="str">
        <f t="array" ref="F705">IF(E705="","",IFERROR(_xlfn.XLOOKUP(E705,SyncCodex!N:N,SyncCodex!O:O),""))</f>
        <v/>
      </c>
      <c r="G705" s="71"/>
      <c r="H705" s="71" t="str">
        <f t="shared" si="1"/>
        <v/>
      </c>
      <c r="I705" s="8" t="b">
        <v>0</v>
      </c>
      <c r="J705" s="72"/>
      <c r="K705" s="72"/>
    </row>
    <row r="706">
      <c r="A706" s="69"/>
      <c r="B706" s="8"/>
      <c r="E706" s="70"/>
      <c r="F706" s="70" t="str">
        <f t="array" ref="F706">IF(E706="","",IFERROR(_xlfn.XLOOKUP(E706,SyncCodex!N:N,SyncCodex!O:O),""))</f>
        <v/>
      </c>
      <c r="G706" s="71"/>
      <c r="H706" s="71" t="str">
        <f t="shared" si="1"/>
        <v/>
      </c>
      <c r="I706" s="8" t="b">
        <v>0</v>
      </c>
      <c r="J706" s="72"/>
      <c r="K706" s="72"/>
    </row>
    <row r="707">
      <c r="A707" s="69"/>
      <c r="B707" s="8"/>
      <c r="E707" s="70"/>
      <c r="F707" s="70" t="str">
        <f t="array" ref="F707">IF(E707="","",IFERROR(_xlfn.XLOOKUP(E707,SyncCodex!N:N,SyncCodex!O:O),""))</f>
        <v/>
      </c>
      <c r="G707" s="71"/>
      <c r="H707" s="71" t="str">
        <f t="shared" si="1"/>
        <v/>
      </c>
      <c r="I707" s="8" t="b">
        <v>0</v>
      </c>
      <c r="J707" s="72"/>
      <c r="K707" s="72"/>
    </row>
    <row r="708">
      <c r="A708" s="69"/>
      <c r="B708" s="8"/>
      <c r="E708" s="70"/>
      <c r="F708" s="70" t="str">
        <f t="array" ref="F708">IF(E708="","",IFERROR(_xlfn.XLOOKUP(E708,SyncCodex!N:N,SyncCodex!O:O),""))</f>
        <v/>
      </c>
      <c r="G708" s="71"/>
      <c r="H708" s="71" t="str">
        <f t="shared" si="1"/>
        <v/>
      </c>
      <c r="I708" s="8" t="b">
        <v>0</v>
      </c>
      <c r="J708" s="72"/>
      <c r="K708" s="72"/>
    </row>
    <row r="709">
      <c r="A709" s="69"/>
      <c r="B709" s="8"/>
      <c r="E709" s="70"/>
      <c r="F709" s="70" t="str">
        <f t="array" ref="F709">IF(E709="","",IFERROR(_xlfn.XLOOKUP(E709,SyncCodex!N:N,SyncCodex!O:O),""))</f>
        <v/>
      </c>
      <c r="G709" s="71"/>
      <c r="H709" s="71" t="str">
        <f t="shared" si="1"/>
        <v/>
      </c>
      <c r="I709" s="8" t="b">
        <v>0</v>
      </c>
      <c r="J709" s="72"/>
      <c r="K709" s="72"/>
    </row>
    <row r="710">
      <c r="A710" s="69"/>
      <c r="B710" s="8"/>
      <c r="E710" s="70"/>
      <c r="F710" s="70" t="str">
        <f t="array" ref="F710">IF(E710="","",IFERROR(_xlfn.XLOOKUP(E710,SyncCodex!N:N,SyncCodex!O:O),""))</f>
        <v/>
      </c>
      <c r="G710" s="71"/>
      <c r="H710" s="71" t="str">
        <f t="shared" si="1"/>
        <v/>
      </c>
      <c r="I710" s="8" t="b">
        <v>0</v>
      </c>
      <c r="J710" s="72"/>
      <c r="K710" s="72"/>
    </row>
    <row r="711">
      <c r="A711" s="69"/>
      <c r="B711" s="8"/>
      <c r="E711" s="70"/>
      <c r="F711" s="70" t="str">
        <f t="array" ref="F711">IF(E711="","",IFERROR(_xlfn.XLOOKUP(E711,SyncCodex!N:N,SyncCodex!O:O),""))</f>
        <v/>
      </c>
      <c r="G711" s="71"/>
      <c r="H711" s="71" t="str">
        <f t="shared" si="1"/>
        <v/>
      </c>
      <c r="I711" s="8" t="b">
        <v>0</v>
      </c>
      <c r="J711" s="72"/>
      <c r="K711" s="72"/>
    </row>
    <row r="712">
      <c r="A712" s="69"/>
      <c r="B712" s="8"/>
      <c r="E712" s="70"/>
      <c r="F712" s="70" t="str">
        <f t="array" ref="F712">IF(E712="","",IFERROR(_xlfn.XLOOKUP(E712,SyncCodex!N:N,SyncCodex!O:O),""))</f>
        <v/>
      </c>
      <c r="G712" s="71"/>
      <c r="H712" s="71" t="str">
        <f t="shared" si="1"/>
        <v/>
      </c>
      <c r="I712" s="8" t="b">
        <v>0</v>
      </c>
      <c r="J712" s="72"/>
      <c r="K712" s="72"/>
    </row>
    <row r="713">
      <c r="A713" s="69"/>
      <c r="B713" s="8"/>
      <c r="E713" s="70"/>
      <c r="F713" s="70" t="str">
        <f t="array" ref="F713">IF(E713="","",IFERROR(_xlfn.XLOOKUP(E713,SyncCodex!N:N,SyncCodex!O:O),""))</f>
        <v/>
      </c>
      <c r="G713" s="71"/>
      <c r="H713" s="71" t="str">
        <f t="shared" si="1"/>
        <v/>
      </c>
      <c r="I713" s="8" t="b">
        <v>0</v>
      </c>
      <c r="J713" s="72"/>
      <c r="K713" s="72"/>
    </row>
    <row r="714">
      <c r="A714" s="69"/>
      <c r="B714" s="8"/>
      <c r="E714" s="70"/>
      <c r="F714" s="70" t="str">
        <f t="array" ref="F714">IF(E714="","",IFERROR(_xlfn.XLOOKUP(E714,SyncCodex!N:N,SyncCodex!O:O),""))</f>
        <v/>
      </c>
      <c r="G714" s="71"/>
      <c r="H714" s="71" t="str">
        <f t="shared" si="1"/>
        <v/>
      </c>
      <c r="I714" s="8" t="b">
        <v>0</v>
      </c>
      <c r="J714" s="72"/>
      <c r="K714" s="72"/>
    </row>
    <row r="715">
      <c r="A715" s="69"/>
      <c r="B715" s="8"/>
      <c r="E715" s="70"/>
      <c r="F715" s="70" t="str">
        <f t="array" ref="F715">IF(E715="","",IFERROR(_xlfn.XLOOKUP(E715,SyncCodex!N:N,SyncCodex!O:O),""))</f>
        <v/>
      </c>
      <c r="G715" s="71"/>
      <c r="H715" s="71" t="str">
        <f t="shared" si="1"/>
        <v/>
      </c>
      <c r="I715" s="8" t="b">
        <v>0</v>
      </c>
      <c r="J715" s="72"/>
      <c r="K715" s="72"/>
    </row>
    <row r="716">
      <c r="A716" s="69"/>
      <c r="B716" s="8"/>
      <c r="E716" s="70"/>
      <c r="F716" s="70" t="str">
        <f t="array" ref="F716">IF(E716="","",IFERROR(_xlfn.XLOOKUP(E716,SyncCodex!N:N,SyncCodex!O:O),""))</f>
        <v/>
      </c>
      <c r="G716" s="71"/>
      <c r="H716" s="71" t="str">
        <f t="shared" si="1"/>
        <v/>
      </c>
      <c r="I716" s="8" t="b">
        <v>0</v>
      </c>
      <c r="J716" s="72"/>
      <c r="K716" s="72"/>
    </row>
    <row r="717">
      <c r="A717" s="69"/>
      <c r="B717" s="8"/>
      <c r="E717" s="70"/>
      <c r="F717" s="70" t="str">
        <f t="array" ref="F717">IF(E717="","",IFERROR(_xlfn.XLOOKUP(E717,SyncCodex!N:N,SyncCodex!O:O),""))</f>
        <v/>
      </c>
      <c r="G717" s="71"/>
      <c r="H717" s="71" t="str">
        <f t="shared" si="1"/>
        <v/>
      </c>
      <c r="I717" s="8" t="b">
        <v>0</v>
      </c>
      <c r="J717" s="72"/>
      <c r="K717" s="72"/>
    </row>
    <row r="718">
      <c r="A718" s="69"/>
      <c r="B718" s="8"/>
      <c r="E718" s="70"/>
      <c r="F718" s="70" t="str">
        <f t="array" ref="F718">IF(E718="","",IFERROR(_xlfn.XLOOKUP(E718,SyncCodex!N:N,SyncCodex!O:O),""))</f>
        <v/>
      </c>
      <c r="G718" s="71"/>
      <c r="H718" s="71" t="str">
        <f t="shared" si="1"/>
        <v/>
      </c>
      <c r="I718" s="8" t="b">
        <v>0</v>
      </c>
      <c r="J718" s="72"/>
      <c r="K718" s="72"/>
    </row>
    <row r="719">
      <c r="A719" s="69"/>
      <c r="B719" s="8"/>
      <c r="E719" s="70"/>
      <c r="F719" s="70" t="str">
        <f t="array" ref="F719">IF(E719="","",IFERROR(_xlfn.XLOOKUP(E719,SyncCodex!N:N,SyncCodex!O:O),""))</f>
        <v/>
      </c>
      <c r="G719" s="71"/>
      <c r="H719" s="71" t="str">
        <f t="shared" si="1"/>
        <v/>
      </c>
      <c r="I719" s="8" t="b">
        <v>0</v>
      </c>
      <c r="J719" s="72"/>
      <c r="K719" s="72"/>
    </row>
    <row r="720">
      <c r="A720" s="69"/>
      <c r="B720" s="8"/>
      <c r="E720" s="70"/>
      <c r="F720" s="70" t="str">
        <f t="array" ref="F720">IF(E720="","",IFERROR(_xlfn.XLOOKUP(E720,SyncCodex!N:N,SyncCodex!O:O),""))</f>
        <v/>
      </c>
      <c r="G720" s="71"/>
      <c r="H720" s="71" t="str">
        <f t="shared" si="1"/>
        <v/>
      </c>
      <c r="I720" s="8" t="b">
        <v>0</v>
      </c>
      <c r="J720" s="72"/>
      <c r="K720" s="72"/>
    </row>
    <row r="721">
      <c r="A721" s="69"/>
      <c r="B721" s="8"/>
      <c r="E721" s="70"/>
      <c r="F721" s="70" t="str">
        <f t="array" ref="F721">IF(E721="","",IFERROR(_xlfn.XLOOKUP(E721,SyncCodex!N:N,SyncCodex!O:O),""))</f>
        <v/>
      </c>
      <c r="G721" s="71"/>
      <c r="H721" s="71" t="str">
        <f t="shared" si="1"/>
        <v/>
      </c>
      <c r="I721" s="8" t="b">
        <v>0</v>
      </c>
      <c r="J721" s="72"/>
      <c r="K721" s="72"/>
    </row>
    <row r="722">
      <c r="A722" s="69"/>
      <c r="B722" s="8"/>
      <c r="E722" s="70"/>
      <c r="F722" s="70" t="str">
        <f t="array" ref="F722">IF(E722="","",IFERROR(_xlfn.XLOOKUP(E722,SyncCodex!N:N,SyncCodex!O:O),""))</f>
        <v/>
      </c>
      <c r="G722" s="71"/>
      <c r="H722" s="71" t="str">
        <f t="shared" si="1"/>
        <v/>
      </c>
      <c r="I722" s="8" t="b">
        <v>0</v>
      </c>
      <c r="J722" s="72"/>
      <c r="K722" s="72"/>
    </row>
    <row r="723">
      <c r="A723" s="69"/>
      <c r="B723" s="8"/>
      <c r="E723" s="70"/>
      <c r="F723" s="70" t="str">
        <f t="array" ref="F723">IF(E723="","",IFERROR(_xlfn.XLOOKUP(E723,SyncCodex!N:N,SyncCodex!O:O),""))</f>
        <v/>
      </c>
      <c r="G723" s="71"/>
      <c r="H723" s="71" t="str">
        <f t="shared" si="1"/>
        <v/>
      </c>
      <c r="I723" s="8" t="b">
        <v>0</v>
      </c>
      <c r="J723" s="72"/>
      <c r="K723" s="72"/>
    </row>
    <row r="724">
      <c r="A724" s="69"/>
      <c r="B724" s="8"/>
      <c r="E724" s="70"/>
      <c r="F724" s="70" t="str">
        <f t="array" ref="F724">IF(E724="","",IFERROR(_xlfn.XLOOKUP(E724,SyncCodex!N:N,SyncCodex!O:O),""))</f>
        <v/>
      </c>
      <c r="G724" s="71"/>
      <c r="H724" s="71" t="str">
        <f t="shared" si="1"/>
        <v/>
      </c>
      <c r="I724" s="8" t="b">
        <v>0</v>
      </c>
      <c r="J724" s="72"/>
      <c r="K724" s="72"/>
    </row>
    <row r="725">
      <c r="A725" s="69"/>
      <c r="B725" s="8"/>
      <c r="E725" s="70"/>
      <c r="F725" s="70" t="str">
        <f t="array" ref="F725">IF(E725="","",IFERROR(_xlfn.XLOOKUP(E725,SyncCodex!N:N,SyncCodex!O:O),""))</f>
        <v/>
      </c>
      <c r="G725" s="71"/>
      <c r="H725" s="71" t="str">
        <f t="shared" si="1"/>
        <v/>
      </c>
      <c r="I725" s="8" t="b">
        <v>0</v>
      </c>
      <c r="J725" s="72"/>
      <c r="K725" s="72"/>
    </row>
    <row r="726">
      <c r="A726" s="69"/>
      <c r="B726" s="8"/>
      <c r="E726" s="70"/>
      <c r="F726" s="70" t="str">
        <f t="array" ref="F726">IF(E726="","",IFERROR(_xlfn.XLOOKUP(E726,SyncCodex!N:N,SyncCodex!O:O),""))</f>
        <v/>
      </c>
      <c r="G726" s="71"/>
      <c r="H726" s="71" t="str">
        <f t="shared" si="1"/>
        <v/>
      </c>
      <c r="I726" s="8" t="b">
        <v>0</v>
      </c>
      <c r="J726" s="72"/>
      <c r="K726" s="72"/>
    </row>
    <row r="727">
      <c r="A727" s="69"/>
      <c r="B727" s="8"/>
      <c r="E727" s="70"/>
      <c r="F727" s="70" t="str">
        <f t="array" ref="F727">IF(E727="","",IFERROR(_xlfn.XLOOKUP(E727,SyncCodex!N:N,SyncCodex!O:O),""))</f>
        <v/>
      </c>
      <c r="G727" s="71"/>
      <c r="H727" s="71" t="str">
        <f t="shared" si="1"/>
        <v/>
      </c>
      <c r="I727" s="8" t="b">
        <v>0</v>
      </c>
      <c r="J727" s="72"/>
      <c r="K727" s="72"/>
    </row>
    <row r="728">
      <c r="A728" s="69"/>
      <c r="B728" s="8"/>
      <c r="E728" s="70"/>
      <c r="F728" s="70" t="str">
        <f t="array" ref="F728">IF(E728="","",IFERROR(_xlfn.XLOOKUP(E728,SyncCodex!N:N,SyncCodex!O:O),""))</f>
        <v/>
      </c>
      <c r="G728" s="71"/>
      <c r="H728" s="71" t="str">
        <f t="shared" si="1"/>
        <v/>
      </c>
      <c r="I728" s="8" t="b">
        <v>0</v>
      </c>
      <c r="J728" s="72"/>
      <c r="K728" s="72"/>
    </row>
    <row r="729">
      <c r="A729" s="69"/>
      <c r="B729" s="8"/>
      <c r="E729" s="70"/>
      <c r="F729" s="70" t="str">
        <f t="array" ref="F729">IF(E729="","",IFERROR(_xlfn.XLOOKUP(E729,SyncCodex!N:N,SyncCodex!O:O),""))</f>
        <v/>
      </c>
      <c r="G729" s="71"/>
      <c r="H729" s="71" t="str">
        <f t="shared" si="1"/>
        <v/>
      </c>
      <c r="I729" s="8" t="b">
        <v>0</v>
      </c>
      <c r="J729" s="72"/>
      <c r="K729" s="72"/>
    </row>
    <row r="730">
      <c r="A730" s="69"/>
      <c r="B730" s="8"/>
      <c r="E730" s="70"/>
      <c r="F730" s="70" t="str">
        <f t="array" ref="F730">IF(E730="","",IFERROR(_xlfn.XLOOKUP(E730,SyncCodex!N:N,SyncCodex!O:O),""))</f>
        <v/>
      </c>
      <c r="G730" s="71"/>
      <c r="H730" s="71" t="str">
        <f t="shared" si="1"/>
        <v/>
      </c>
      <c r="I730" s="8" t="b">
        <v>0</v>
      </c>
      <c r="J730" s="72"/>
      <c r="K730" s="72"/>
    </row>
    <row r="731">
      <c r="A731" s="69"/>
      <c r="B731" s="8"/>
      <c r="E731" s="70"/>
      <c r="F731" s="70" t="str">
        <f t="array" ref="F731">IF(E731="","",IFERROR(_xlfn.XLOOKUP(E731,SyncCodex!N:N,SyncCodex!O:O),""))</f>
        <v/>
      </c>
      <c r="G731" s="71"/>
      <c r="H731" s="71" t="str">
        <f t="shared" si="1"/>
        <v/>
      </c>
      <c r="I731" s="8" t="b">
        <v>0</v>
      </c>
      <c r="J731" s="72"/>
      <c r="K731" s="72"/>
    </row>
    <row r="732">
      <c r="A732" s="69"/>
      <c r="B732" s="8"/>
      <c r="E732" s="70"/>
      <c r="F732" s="70" t="str">
        <f t="array" ref="F732">IF(E732="","",IFERROR(_xlfn.XLOOKUP(E732,SyncCodex!N:N,SyncCodex!O:O),""))</f>
        <v/>
      </c>
      <c r="G732" s="71"/>
      <c r="H732" s="71" t="str">
        <f t="shared" si="1"/>
        <v/>
      </c>
      <c r="I732" s="8" t="b">
        <v>0</v>
      </c>
      <c r="J732" s="72"/>
      <c r="K732" s="72"/>
    </row>
    <row r="733">
      <c r="A733" s="69"/>
      <c r="B733" s="8"/>
      <c r="E733" s="70"/>
      <c r="F733" s="70" t="str">
        <f t="array" ref="F733">IF(E733="","",IFERROR(_xlfn.XLOOKUP(E733,SyncCodex!N:N,SyncCodex!O:O),""))</f>
        <v/>
      </c>
      <c r="G733" s="71"/>
      <c r="H733" s="71" t="str">
        <f t="shared" si="1"/>
        <v/>
      </c>
      <c r="I733" s="8" t="b">
        <v>0</v>
      </c>
      <c r="J733" s="72"/>
      <c r="K733" s="72"/>
    </row>
    <row r="734">
      <c r="A734" s="69"/>
      <c r="B734" s="8"/>
      <c r="E734" s="70"/>
      <c r="F734" s="70" t="str">
        <f t="array" ref="F734">IF(E734="","",IFERROR(_xlfn.XLOOKUP(E734,SyncCodex!N:N,SyncCodex!O:O),""))</f>
        <v/>
      </c>
      <c r="G734" s="71"/>
      <c r="H734" s="71" t="str">
        <f t="shared" si="1"/>
        <v/>
      </c>
      <c r="I734" s="8" t="b">
        <v>0</v>
      </c>
      <c r="J734" s="72"/>
      <c r="K734" s="72"/>
    </row>
    <row r="735">
      <c r="A735" s="69"/>
      <c r="B735" s="8"/>
      <c r="E735" s="70"/>
      <c r="F735" s="70" t="str">
        <f t="array" ref="F735">IF(E735="","",IFERROR(_xlfn.XLOOKUP(E735,SyncCodex!N:N,SyncCodex!O:O),""))</f>
        <v/>
      </c>
      <c r="G735" s="71"/>
      <c r="H735" s="71" t="str">
        <f t="shared" si="1"/>
        <v/>
      </c>
      <c r="I735" s="8" t="b">
        <v>0</v>
      </c>
      <c r="J735" s="72"/>
      <c r="K735" s="72"/>
    </row>
    <row r="736">
      <c r="A736" s="69"/>
      <c r="B736" s="8"/>
      <c r="E736" s="70"/>
      <c r="F736" s="70" t="str">
        <f t="array" ref="F736">IF(E736="","",IFERROR(_xlfn.XLOOKUP(E736,SyncCodex!N:N,SyncCodex!O:O),""))</f>
        <v/>
      </c>
      <c r="G736" s="71"/>
      <c r="H736" s="71" t="str">
        <f t="shared" si="1"/>
        <v/>
      </c>
      <c r="I736" s="8" t="b">
        <v>0</v>
      </c>
      <c r="J736" s="72"/>
      <c r="K736" s="72"/>
    </row>
    <row r="737">
      <c r="A737" s="69"/>
      <c r="B737" s="8"/>
      <c r="E737" s="70"/>
      <c r="F737" s="70" t="str">
        <f t="array" ref="F737">IF(E737="","",IFERROR(_xlfn.XLOOKUP(E737,SyncCodex!N:N,SyncCodex!O:O),""))</f>
        <v/>
      </c>
      <c r="G737" s="71"/>
      <c r="H737" s="71" t="str">
        <f t="shared" si="1"/>
        <v/>
      </c>
      <c r="I737" s="8" t="b">
        <v>0</v>
      </c>
      <c r="J737" s="72"/>
      <c r="K737" s="72"/>
    </row>
    <row r="738">
      <c r="A738" s="69"/>
      <c r="B738" s="8"/>
      <c r="E738" s="70"/>
      <c r="F738" s="70" t="str">
        <f t="array" ref="F738">IF(E738="","",IFERROR(_xlfn.XLOOKUP(E738,SyncCodex!N:N,SyncCodex!O:O),""))</f>
        <v/>
      </c>
      <c r="G738" s="71"/>
      <c r="H738" s="71" t="str">
        <f t="shared" si="1"/>
        <v/>
      </c>
      <c r="I738" s="8" t="b">
        <v>0</v>
      </c>
      <c r="J738" s="72"/>
      <c r="K738" s="72"/>
    </row>
    <row r="739">
      <c r="A739" s="69"/>
      <c r="B739" s="8"/>
      <c r="E739" s="70"/>
      <c r="F739" s="70" t="str">
        <f t="array" ref="F739">IF(E739="","",IFERROR(_xlfn.XLOOKUP(E739,SyncCodex!N:N,SyncCodex!O:O),""))</f>
        <v/>
      </c>
      <c r="G739" s="71"/>
      <c r="H739" s="71" t="str">
        <f t="shared" si="1"/>
        <v/>
      </c>
      <c r="I739" s="8" t="b">
        <v>0</v>
      </c>
      <c r="J739" s="72"/>
      <c r="K739" s="72"/>
    </row>
    <row r="740">
      <c r="A740" s="69"/>
      <c r="B740" s="8"/>
      <c r="E740" s="70"/>
      <c r="F740" s="70" t="str">
        <f t="array" ref="F740">IF(E740="","",IFERROR(_xlfn.XLOOKUP(E740,SyncCodex!N:N,SyncCodex!O:O),""))</f>
        <v/>
      </c>
      <c r="G740" s="71"/>
      <c r="H740" s="71" t="str">
        <f t="shared" si="1"/>
        <v/>
      </c>
      <c r="I740" s="8" t="b">
        <v>0</v>
      </c>
      <c r="J740" s="72"/>
      <c r="K740" s="72"/>
    </row>
    <row r="741">
      <c r="A741" s="69"/>
      <c r="B741" s="8"/>
      <c r="E741" s="70"/>
      <c r="F741" s="70" t="str">
        <f t="array" ref="F741">IF(E741="","",IFERROR(_xlfn.XLOOKUP(E741,SyncCodex!N:N,SyncCodex!O:O),""))</f>
        <v/>
      </c>
      <c r="G741" s="71"/>
      <c r="H741" s="71" t="str">
        <f t="shared" si="1"/>
        <v/>
      </c>
      <c r="I741" s="8" t="b">
        <v>0</v>
      </c>
      <c r="J741" s="72"/>
      <c r="K741" s="72"/>
    </row>
    <row r="742">
      <c r="A742" s="69"/>
      <c r="B742" s="8"/>
      <c r="E742" s="70"/>
      <c r="F742" s="70" t="str">
        <f t="array" ref="F742">IF(E742="","",IFERROR(_xlfn.XLOOKUP(E742,SyncCodex!N:N,SyncCodex!O:O),""))</f>
        <v/>
      </c>
      <c r="G742" s="71"/>
      <c r="H742" s="71" t="str">
        <f t="shared" si="1"/>
        <v/>
      </c>
      <c r="I742" s="8" t="b">
        <v>0</v>
      </c>
      <c r="J742" s="72"/>
      <c r="K742" s="72"/>
    </row>
    <row r="743">
      <c r="A743" s="69"/>
      <c r="B743" s="8"/>
      <c r="E743" s="70"/>
      <c r="F743" s="70" t="str">
        <f t="array" ref="F743">IF(E743="","",IFERROR(_xlfn.XLOOKUP(E743,SyncCodex!N:N,SyncCodex!O:O),""))</f>
        <v/>
      </c>
      <c r="G743" s="71"/>
      <c r="H743" s="71" t="str">
        <f t="shared" si="1"/>
        <v/>
      </c>
      <c r="I743" s="8" t="b">
        <v>0</v>
      </c>
      <c r="J743" s="72"/>
      <c r="K743" s="72"/>
    </row>
    <row r="744">
      <c r="A744" s="69"/>
      <c r="B744" s="8"/>
      <c r="E744" s="70"/>
      <c r="F744" s="70" t="str">
        <f t="array" ref="F744">IF(E744="","",IFERROR(_xlfn.XLOOKUP(E744,SyncCodex!N:N,SyncCodex!O:O),""))</f>
        <v/>
      </c>
      <c r="G744" s="71"/>
      <c r="H744" s="71" t="str">
        <f t="shared" si="1"/>
        <v/>
      </c>
      <c r="I744" s="8" t="b">
        <v>0</v>
      </c>
      <c r="J744" s="72"/>
      <c r="K744" s="72"/>
    </row>
    <row r="745">
      <c r="A745" s="69"/>
      <c r="B745" s="8"/>
      <c r="E745" s="70"/>
      <c r="F745" s="70" t="str">
        <f t="array" ref="F745">IF(E745="","",IFERROR(_xlfn.XLOOKUP(E745,SyncCodex!N:N,SyncCodex!O:O),""))</f>
        <v/>
      </c>
      <c r="G745" s="71"/>
      <c r="H745" s="71" t="str">
        <f t="shared" si="1"/>
        <v/>
      </c>
      <c r="I745" s="8" t="b">
        <v>0</v>
      </c>
      <c r="J745" s="72"/>
      <c r="K745" s="72"/>
    </row>
    <row r="746">
      <c r="A746" s="69"/>
      <c r="B746" s="8"/>
      <c r="E746" s="70"/>
      <c r="F746" s="70" t="str">
        <f t="array" ref="F746">IF(E746="","",IFERROR(_xlfn.XLOOKUP(E746,SyncCodex!N:N,SyncCodex!O:O),""))</f>
        <v/>
      </c>
      <c r="G746" s="71"/>
      <c r="H746" s="71" t="str">
        <f t="shared" si="1"/>
        <v/>
      </c>
      <c r="I746" s="8" t="b">
        <v>0</v>
      </c>
      <c r="J746" s="72"/>
      <c r="K746" s="72"/>
    </row>
    <row r="747">
      <c r="A747" s="69"/>
      <c r="B747" s="8"/>
      <c r="E747" s="70"/>
      <c r="F747" s="70" t="str">
        <f t="array" ref="F747">IF(E747="","",IFERROR(_xlfn.XLOOKUP(E747,SyncCodex!N:N,SyncCodex!O:O),""))</f>
        <v/>
      </c>
      <c r="G747" s="71"/>
      <c r="H747" s="71" t="str">
        <f t="shared" si="1"/>
        <v/>
      </c>
      <c r="I747" s="8" t="b">
        <v>0</v>
      </c>
      <c r="J747" s="72"/>
      <c r="K747" s="72"/>
    </row>
    <row r="748">
      <c r="A748" s="69"/>
      <c r="B748" s="8"/>
      <c r="E748" s="70"/>
      <c r="F748" s="70" t="str">
        <f t="array" ref="F748">IF(E748="","",IFERROR(_xlfn.XLOOKUP(E748,SyncCodex!N:N,SyncCodex!O:O),""))</f>
        <v/>
      </c>
      <c r="G748" s="71"/>
      <c r="H748" s="71" t="str">
        <f t="shared" si="1"/>
        <v/>
      </c>
      <c r="I748" s="8" t="b">
        <v>0</v>
      </c>
      <c r="J748" s="72"/>
      <c r="K748" s="72"/>
    </row>
    <row r="749">
      <c r="A749" s="69"/>
      <c r="B749" s="8"/>
      <c r="E749" s="70"/>
      <c r="F749" s="70" t="str">
        <f t="array" ref="F749">IF(E749="","",IFERROR(_xlfn.XLOOKUP(E749,SyncCodex!N:N,SyncCodex!O:O),""))</f>
        <v/>
      </c>
      <c r="G749" s="71"/>
      <c r="H749" s="71" t="str">
        <f t="shared" si="1"/>
        <v/>
      </c>
      <c r="I749" s="8" t="b">
        <v>0</v>
      </c>
      <c r="J749" s="72"/>
      <c r="K749" s="72"/>
    </row>
    <row r="750">
      <c r="A750" s="69"/>
      <c r="B750" s="8"/>
      <c r="E750" s="70"/>
      <c r="F750" s="70" t="str">
        <f t="array" ref="F750">IF(E750="","",IFERROR(_xlfn.XLOOKUP(E750,SyncCodex!N:N,SyncCodex!O:O),""))</f>
        <v/>
      </c>
      <c r="G750" s="71"/>
      <c r="H750" s="71" t="str">
        <f t="shared" si="1"/>
        <v/>
      </c>
      <c r="I750" s="8" t="b">
        <v>0</v>
      </c>
      <c r="J750" s="72"/>
      <c r="K750" s="72"/>
    </row>
    <row r="751">
      <c r="A751" s="69"/>
      <c r="B751" s="8"/>
      <c r="E751" s="70"/>
      <c r="F751" s="70" t="str">
        <f t="array" ref="F751">IF(E751="","",IFERROR(_xlfn.XLOOKUP(E751,SyncCodex!N:N,SyncCodex!O:O),""))</f>
        <v/>
      </c>
      <c r="G751" s="71"/>
      <c r="H751" s="71" t="str">
        <f t="shared" si="1"/>
        <v/>
      </c>
      <c r="I751" s="8" t="b">
        <v>0</v>
      </c>
      <c r="J751" s="72"/>
      <c r="K751" s="72"/>
    </row>
    <row r="752">
      <c r="A752" s="69"/>
      <c r="B752" s="8"/>
      <c r="E752" s="70"/>
      <c r="F752" s="70" t="str">
        <f t="array" ref="F752">IF(E752="","",IFERROR(_xlfn.XLOOKUP(E752,SyncCodex!N:N,SyncCodex!O:O),""))</f>
        <v/>
      </c>
      <c r="G752" s="71"/>
      <c r="H752" s="71" t="str">
        <f t="shared" si="1"/>
        <v/>
      </c>
      <c r="I752" s="8" t="b">
        <v>0</v>
      </c>
      <c r="J752" s="72"/>
      <c r="K752" s="72"/>
    </row>
    <row r="753">
      <c r="A753" s="69"/>
      <c r="B753" s="8"/>
      <c r="E753" s="70"/>
      <c r="F753" s="70" t="str">
        <f t="array" ref="F753">IF(E753="","",IFERROR(_xlfn.XLOOKUP(E753,SyncCodex!N:N,SyncCodex!O:O),""))</f>
        <v/>
      </c>
      <c r="G753" s="71"/>
      <c r="H753" s="71" t="str">
        <f t="shared" si="1"/>
        <v/>
      </c>
      <c r="I753" s="8" t="b">
        <v>0</v>
      </c>
      <c r="J753" s="72"/>
      <c r="K753" s="72"/>
    </row>
    <row r="754">
      <c r="A754" s="69"/>
      <c r="B754" s="8"/>
      <c r="E754" s="70"/>
      <c r="F754" s="70" t="str">
        <f t="array" ref="F754">IF(E754="","",IFERROR(_xlfn.XLOOKUP(E754,SyncCodex!N:N,SyncCodex!O:O),""))</f>
        <v/>
      </c>
      <c r="G754" s="71"/>
      <c r="H754" s="71" t="str">
        <f t="shared" si="1"/>
        <v/>
      </c>
      <c r="I754" s="8" t="b">
        <v>0</v>
      </c>
      <c r="J754" s="72"/>
      <c r="K754" s="72"/>
    </row>
    <row r="755">
      <c r="A755" s="69"/>
      <c r="B755" s="8"/>
      <c r="E755" s="70"/>
      <c r="F755" s="70" t="str">
        <f t="array" ref="F755">IF(E755="","",IFERROR(_xlfn.XLOOKUP(E755,SyncCodex!N:N,SyncCodex!O:O),""))</f>
        <v/>
      </c>
      <c r="G755" s="71"/>
      <c r="H755" s="71" t="str">
        <f t="shared" si="1"/>
        <v/>
      </c>
      <c r="I755" s="8" t="b">
        <v>0</v>
      </c>
      <c r="J755" s="72"/>
      <c r="K755" s="72"/>
    </row>
    <row r="756">
      <c r="A756" s="69"/>
      <c r="B756" s="8"/>
      <c r="E756" s="70"/>
      <c r="F756" s="70" t="str">
        <f t="array" ref="F756">IF(E756="","",IFERROR(_xlfn.XLOOKUP(E756,SyncCodex!N:N,SyncCodex!O:O),""))</f>
        <v/>
      </c>
      <c r="G756" s="71"/>
      <c r="H756" s="71" t="str">
        <f t="shared" si="1"/>
        <v/>
      </c>
      <c r="I756" s="8" t="b">
        <v>0</v>
      </c>
      <c r="J756" s="72"/>
      <c r="K756" s="72"/>
    </row>
    <row r="757">
      <c r="A757" s="69"/>
      <c r="B757" s="8"/>
      <c r="E757" s="70"/>
      <c r="F757" s="70" t="str">
        <f t="array" ref="F757">IF(E757="","",IFERROR(_xlfn.XLOOKUP(E757,SyncCodex!N:N,SyncCodex!O:O),""))</f>
        <v/>
      </c>
      <c r="G757" s="71"/>
      <c r="H757" s="71" t="str">
        <f t="shared" si="1"/>
        <v/>
      </c>
      <c r="I757" s="8" t="b">
        <v>0</v>
      </c>
      <c r="J757" s="72"/>
      <c r="K757" s="72"/>
    </row>
    <row r="758">
      <c r="A758" s="69"/>
      <c r="B758" s="8"/>
      <c r="E758" s="70"/>
      <c r="F758" s="70" t="str">
        <f t="array" ref="F758">IF(E758="","",IFERROR(_xlfn.XLOOKUP(E758,SyncCodex!N:N,SyncCodex!O:O),""))</f>
        <v/>
      </c>
      <c r="G758" s="71"/>
      <c r="H758" s="71" t="str">
        <f t="shared" si="1"/>
        <v/>
      </c>
      <c r="I758" s="8" t="b">
        <v>0</v>
      </c>
      <c r="J758" s="72"/>
      <c r="K758" s="72"/>
    </row>
    <row r="759">
      <c r="A759" s="69"/>
      <c r="B759" s="8"/>
      <c r="E759" s="70"/>
      <c r="F759" s="70" t="str">
        <f t="array" ref="F759">IF(E759="","",IFERROR(_xlfn.XLOOKUP(E759,SyncCodex!N:N,SyncCodex!O:O),""))</f>
        <v/>
      </c>
      <c r="G759" s="71"/>
      <c r="H759" s="71" t="str">
        <f t="shared" si="1"/>
        <v/>
      </c>
      <c r="I759" s="8" t="b">
        <v>0</v>
      </c>
      <c r="J759" s="72"/>
      <c r="K759" s="72"/>
    </row>
    <row r="760">
      <c r="A760" s="69"/>
      <c r="B760" s="8"/>
      <c r="E760" s="70"/>
      <c r="F760" s="70" t="str">
        <f t="array" ref="F760">IF(E760="","",IFERROR(_xlfn.XLOOKUP(E760,SyncCodex!N:N,SyncCodex!O:O),""))</f>
        <v/>
      </c>
      <c r="G760" s="71"/>
      <c r="H760" s="71" t="str">
        <f t="shared" si="1"/>
        <v/>
      </c>
      <c r="I760" s="8" t="b">
        <v>0</v>
      </c>
      <c r="J760" s="72"/>
      <c r="K760" s="72"/>
    </row>
    <row r="761">
      <c r="A761" s="69"/>
      <c r="B761" s="8"/>
      <c r="E761" s="70"/>
      <c r="F761" s="70" t="str">
        <f t="array" ref="F761">IF(E761="","",IFERROR(_xlfn.XLOOKUP(E761,SyncCodex!N:N,SyncCodex!O:O),""))</f>
        <v/>
      </c>
      <c r="G761" s="71"/>
      <c r="H761" s="71" t="str">
        <f t="shared" si="1"/>
        <v/>
      </c>
      <c r="I761" s="8" t="b">
        <v>0</v>
      </c>
      <c r="J761" s="72"/>
      <c r="K761" s="72"/>
    </row>
    <row r="762">
      <c r="A762" s="69"/>
      <c r="B762" s="8"/>
      <c r="E762" s="70"/>
      <c r="F762" s="70" t="str">
        <f t="array" ref="F762">IF(E762="","",IFERROR(_xlfn.XLOOKUP(E762,SyncCodex!N:N,SyncCodex!O:O),""))</f>
        <v/>
      </c>
      <c r="G762" s="71"/>
      <c r="H762" s="71" t="str">
        <f t="shared" si="1"/>
        <v/>
      </c>
      <c r="I762" s="8" t="b">
        <v>0</v>
      </c>
      <c r="J762" s="72"/>
      <c r="K762" s="72"/>
    </row>
    <row r="763">
      <c r="A763" s="69"/>
      <c r="B763" s="8"/>
      <c r="E763" s="70"/>
      <c r="F763" s="70" t="str">
        <f t="array" ref="F763">IF(E763="","",IFERROR(_xlfn.XLOOKUP(E763,SyncCodex!N:N,SyncCodex!O:O),""))</f>
        <v/>
      </c>
      <c r="G763" s="71"/>
      <c r="H763" s="71" t="str">
        <f t="shared" si="1"/>
        <v/>
      </c>
      <c r="I763" s="8" t="b">
        <v>0</v>
      </c>
      <c r="J763" s="72"/>
      <c r="K763" s="72"/>
    </row>
    <row r="764">
      <c r="A764" s="69"/>
      <c r="B764" s="8"/>
      <c r="E764" s="70"/>
      <c r="F764" s="70" t="str">
        <f t="array" ref="F764">IF(E764="","",IFERROR(_xlfn.XLOOKUP(E764,SyncCodex!N:N,SyncCodex!O:O),""))</f>
        <v/>
      </c>
      <c r="G764" s="71"/>
      <c r="H764" s="71" t="str">
        <f t="shared" si="1"/>
        <v/>
      </c>
      <c r="I764" s="8" t="b">
        <v>0</v>
      </c>
      <c r="J764" s="72"/>
      <c r="K764" s="72"/>
    </row>
    <row r="765">
      <c r="A765" s="69"/>
      <c r="B765" s="8"/>
      <c r="E765" s="70"/>
      <c r="F765" s="70" t="str">
        <f t="array" ref="F765">IF(E765="","",IFERROR(_xlfn.XLOOKUP(E765,SyncCodex!N:N,SyncCodex!O:O),""))</f>
        <v/>
      </c>
      <c r="G765" s="71"/>
      <c r="H765" s="71" t="str">
        <f t="shared" si="1"/>
        <v/>
      </c>
      <c r="I765" s="8" t="b">
        <v>0</v>
      </c>
      <c r="J765" s="72"/>
      <c r="K765" s="72"/>
    </row>
    <row r="766">
      <c r="A766" s="69"/>
      <c r="B766" s="8"/>
      <c r="E766" s="70"/>
      <c r="F766" s="70" t="str">
        <f t="array" ref="F766">IF(E766="","",IFERROR(_xlfn.XLOOKUP(E766,SyncCodex!N:N,SyncCodex!O:O),""))</f>
        <v/>
      </c>
      <c r="G766" s="71"/>
      <c r="H766" s="71" t="str">
        <f t="shared" si="1"/>
        <v/>
      </c>
      <c r="I766" s="8" t="b">
        <v>0</v>
      </c>
      <c r="J766" s="72"/>
      <c r="K766" s="72"/>
    </row>
    <row r="767">
      <c r="A767" s="69"/>
      <c r="B767" s="8"/>
      <c r="E767" s="70"/>
      <c r="F767" s="70" t="str">
        <f t="array" ref="F767">IF(E767="","",IFERROR(_xlfn.XLOOKUP(E767,SyncCodex!N:N,SyncCodex!O:O),""))</f>
        <v/>
      </c>
      <c r="G767" s="71"/>
      <c r="H767" s="71" t="str">
        <f t="shared" si="1"/>
        <v/>
      </c>
      <c r="I767" s="8" t="b">
        <v>0</v>
      </c>
      <c r="J767" s="72"/>
      <c r="K767" s="72"/>
    </row>
    <row r="768">
      <c r="A768" s="69"/>
      <c r="B768" s="8"/>
      <c r="E768" s="70"/>
      <c r="F768" s="70" t="str">
        <f t="array" ref="F768">IF(E768="","",IFERROR(_xlfn.XLOOKUP(E768,SyncCodex!N:N,SyncCodex!O:O),""))</f>
        <v/>
      </c>
      <c r="G768" s="71"/>
      <c r="H768" s="71" t="str">
        <f t="shared" si="1"/>
        <v/>
      </c>
      <c r="I768" s="8" t="b">
        <v>0</v>
      </c>
      <c r="J768" s="72"/>
      <c r="K768" s="72"/>
    </row>
    <row r="769">
      <c r="A769" s="69"/>
      <c r="B769" s="8"/>
      <c r="E769" s="70"/>
      <c r="F769" s="70" t="str">
        <f t="array" ref="F769">IF(E769="","",IFERROR(_xlfn.XLOOKUP(E769,SyncCodex!N:N,SyncCodex!O:O),""))</f>
        <v/>
      </c>
      <c r="G769" s="71"/>
      <c r="H769" s="71" t="str">
        <f t="shared" si="1"/>
        <v/>
      </c>
      <c r="I769" s="8" t="b">
        <v>0</v>
      </c>
      <c r="J769" s="72"/>
      <c r="K769" s="72"/>
    </row>
    <row r="770">
      <c r="A770" s="69"/>
      <c r="B770" s="8"/>
      <c r="E770" s="70"/>
      <c r="F770" s="70" t="str">
        <f t="array" ref="F770">IF(E770="","",IFERROR(_xlfn.XLOOKUP(E770,SyncCodex!N:N,SyncCodex!O:O),""))</f>
        <v/>
      </c>
      <c r="G770" s="71"/>
      <c r="H770" s="71" t="str">
        <f t="shared" si="1"/>
        <v/>
      </c>
      <c r="I770" s="8" t="b">
        <v>0</v>
      </c>
      <c r="J770" s="72"/>
      <c r="K770" s="72"/>
    </row>
    <row r="771">
      <c r="A771" s="69"/>
      <c r="B771" s="8"/>
      <c r="E771" s="70"/>
      <c r="F771" s="70" t="str">
        <f t="array" ref="F771">IF(E771="","",IFERROR(_xlfn.XLOOKUP(E771,SyncCodex!N:N,SyncCodex!O:O),""))</f>
        <v/>
      </c>
      <c r="G771" s="71"/>
      <c r="H771" s="71" t="str">
        <f t="shared" si="1"/>
        <v/>
      </c>
      <c r="I771" s="8" t="b">
        <v>0</v>
      </c>
      <c r="J771" s="72"/>
      <c r="K771" s="72"/>
    </row>
    <row r="772">
      <c r="A772" s="69"/>
      <c r="B772" s="8"/>
      <c r="E772" s="70"/>
      <c r="F772" s="70" t="str">
        <f t="array" ref="F772">IF(E772="","",IFERROR(_xlfn.XLOOKUP(E772,SyncCodex!N:N,SyncCodex!O:O),""))</f>
        <v/>
      </c>
      <c r="G772" s="71"/>
      <c r="H772" s="71" t="str">
        <f t="shared" si="1"/>
        <v/>
      </c>
      <c r="I772" s="8" t="b">
        <v>0</v>
      </c>
      <c r="J772" s="72"/>
      <c r="K772" s="72"/>
    </row>
    <row r="773">
      <c r="A773" s="69"/>
      <c r="B773" s="8"/>
      <c r="E773" s="70"/>
      <c r="F773" s="70" t="str">
        <f t="array" ref="F773">IF(E773="","",IFERROR(_xlfn.XLOOKUP(E773,SyncCodex!N:N,SyncCodex!O:O),""))</f>
        <v/>
      </c>
      <c r="G773" s="71"/>
      <c r="H773" s="71" t="str">
        <f t="shared" si="1"/>
        <v/>
      </c>
      <c r="I773" s="8" t="b">
        <v>0</v>
      </c>
      <c r="J773" s="72"/>
      <c r="K773" s="72"/>
    </row>
    <row r="774">
      <c r="A774" s="69"/>
      <c r="B774" s="8"/>
      <c r="E774" s="70"/>
      <c r="F774" s="70" t="str">
        <f t="array" ref="F774">IF(E774="","",IFERROR(_xlfn.XLOOKUP(E774,SyncCodex!N:N,SyncCodex!O:O),""))</f>
        <v/>
      </c>
      <c r="G774" s="71"/>
      <c r="H774" s="71" t="str">
        <f t="shared" si="1"/>
        <v/>
      </c>
      <c r="I774" s="8" t="b">
        <v>0</v>
      </c>
      <c r="J774" s="72"/>
      <c r="K774" s="72"/>
    </row>
    <row r="775">
      <c r="A775" s="69"/>
      <c r="B775" s="8"/>
      <c r="E775" s="70"/>
      <c r="F775" s="70" t="str">
        <f t="array" ref="F775">IF(E775="","",IFERROR(_xlfn.XLOOKUP(E775,SyncCodex!N:N,SyncCodex!O:O),""))</f>
        <v/>
      </c>
      <c r="G775" s="71"/>
      <c r="H775" s="71" t="str">
        <f t="shared" si="1"/>
        <v/>
      </c>
      <c r="I775" s="8" t="b">
        <v>0</v>
      </c>
      <c r="J775" s="72"/>
      <c r="K775" s="72"/>
    </row>
    <row r="776">
      <c r="A776" s="69"/>
      <c r="B776" s="8"/>
      <c r="E776" s="70"/>
      <c r="F776" s="70" t="str">
        <f t="array" ref="F776">IF(E776="","",IFERROR(_xlfn.XLOOKUP(E776,SyncCodex!N:N,SyncCodex!O:O),""))</f>
        <v/>
      </c>
      <c r="G776" s="71"/>
      <c r="H776" s="71" t="str">
        <f t="shared" si="1"/>
        <v/>
      </c>
      <c r="I776" s="8" t="b">
        <v>0</v>
      </c>
      <c r="J776" s="72"/>
      <c r="K776" s="72"/>
    </row>
    <row r="777">
      <c r="A777" s="69"/>
      <c r="B777" s="8"/>
      <c r="E777" s="70"/>
      <c r="F777" s="70" t="str">
        <f t="array" ref="F777">IF(E777="","",IFERROR(_xlfn.XLOOKUP(E777,SyncCodex!N:N,SyncCodex!O:O),""))</f>
        <v/>
      </c>
      <c r="G777" s="71"/>
      <c r="H777" s="71" t="str">
        <f t="shared" si="1"/>
        <v/>
      </c>
      <c r="I777" s="8" t="b">
        <v>0</v>
      </c>
      <c r="J777" s="72"/>
      <c r="K777" s="72"/>
    </row>
    <row r="778">
      <c r="A778" s="69"/>
      <c r="B778" s="8"/>
      <c r="E778" s="70"/>
      <c r="F778" s="70" t="str">
        <f t="array" ref="F778">IF(E778="","",IFERROR(_xlfn.XLOOKUP(E778,SyncCodex!N:N,SyncCodex!O:O),""))</f>
        <v/>
      </c>
      <c r="G778" s="71"/>
      <c r="H778" s="71" t="str">
        <f t="shared" si="1"/>
        <v/>
      </c>
      <c r="I778" s="8" t="b">
        <v>0</v>
      </c>
      <c r="J778" s="72"/>
      <c r="K778" s="72"/>
    </row>
    <row r="779">
      <c r="A779" s="69"/>
      <c r="B779" s="8"/>
      <c r="E779" s="70"/>
      <c r="F779" s="70" t="str">
        <f t="array" ref="F779">IF(E779="","",IFERROR(_xlfn.XLOOKUP(E779,SyncCodex!N:N,SyncCodex!O:O),""))</f>
        <v/>
      </c>
      <c r="G779" s="71"/>
      <c r="H779" s="71" t="str">
        <f t="shared" si="1"/>
        <v/>
      </c>
      <c r="I779" s="8" t="b">
        <v>0</v>
      </c>
      <c r="J779" s="72"/>
      <c r="K779" s="72"/>
    </row>
    <row r="780">
      <c r="A780" s="69"/>
      <c r="B780" s="8"/>
      <c r="E780" s="70"/>
      <c r="F780" s="70" t="str">
        <f t="array" ref="F780">IF(E780="","",IFERROR(_xlfn.XLOOKUP(E780,SyncCodex!N:N,SyncCodex!O:O),""))</f>
        <v/>
      </c>
      <c r="G780" s="71"/>
      <c r="H780" s="71" t="str">
        <f t="shared" si="1"/>
        <v/>
      </c>
      <c r="I780" s="8" t="b">
        <v>0</v>
      </c>
      <c r="J780" s="72"/>
      <c r="K780" s="72"/>
    </row>
    <row r="781">
      <c r="A781" s="69"/>
      <c r="B781" s="8"/>
      <c r="E781" s="70"/>
      <c r="F781" s="70" t="str">
        <f t="array" ref="F781">IF(E781="","",IFERROR(_xlfn.XLOOKUP(E781,SyncCodex!N:N,SyncCodex!O:O),""))</f>
        <v/>
      </c>
      <c r="G781" s="71"/>
      <c r="H781" s="71" t="str">
        <f t="shared" si="1"/>
        <v/>
      </c>
      <c r="I781" s="8" t="b">
        <v>0</v>
      </c>
      <c r="J781" s="72"/>
      <c r="K781" s="72"/>
    </row>
    <row r="782">
      <c r="A782" s="69"/>
      <c r="B782" s="8"/>
      <c r="E782" s="70"/>
      <c r="F782" s="70" t="str">
        <f t="array" ref="F782">IF(E782="","",IFERROR(_xlfn.XLOOKUP(E782,SyncCodex!N:N,SyncCodex!O:O),""))</f>
        <v/>
      </c>
      <c r="G782" s="71"/>
      <c r="H782" s="71" t="str">
        <f t="shared" si="1"/>
        <v/>
      </c>
      <c r="I782" s="8" t="b">
        <v>0</v>
      </c>
      <c r="J782" s="72"/>
      <c r="K782" s="72"/>
    </row>
    <row r="783">
      <c r="A783" s="69"/>
      <c r="B783" s="8"/>
      <c r="E783" s="70"/>
      <c r="F783" s="70" t="str">
        <f t="array" ref="F783">IF(E783="","",IFERROR(_xlfn.XLOOKUP(E783,SyncCodex!N:N,SyncCodex!O:O),""))</f>
        <v/>
      </c>
      <c r="G783" s="71"/>
      <c r="H783" s="71" t="str">
        <f t="shared" si="1"/>
        <v/>
      </c>
      <c r="I783" s="8" t="b">
        <v>0</v>
      </c>
      <c r="J783" s="72"/>
      <c r="K783" s="72"/>
    </row>
    <row r="784">
      <c r="A784" s="69"/>
      <c r="B784" s="8"/>
      <c r="E784" s="70"/>
      <c r="F784" s="70" t="str">
        <f t="array" ref="F784">IF(E784="","",IFERROR(_xlfn.XLOOKUP(E784,SyncCodex!N:N,SyncCodex!O:O),""))</f>
        <v/>
      </c>
      <c r="G784" s="71"/>
      <c r="H784" s="71" t="str">
        <f t="shared" si="1"/>
        <v/>
      </c>
      <c r="I784" s="8" t="b">
        <v>0</v>
      </c>
      <c r="J784" s="72"/>
      <c r="K784" s="72"/>
    </row>
    <row r="785">
      <c r="A785" s="69"/>
      <c r="B785" s="8"/>
      <c r="E785" s="70"/>
      <c r="F785" s="70" t="str">
        <f t="array" ref="F785">IF(E785="","",IFERROR(_xlfn.XLOOKUP(E785,SyncCodex!N:N,SyncCodex!O:O),""))</f>
        <v/>
      </c>
      <c r="G785" s="71"/>
      <c r="H785" s="71" t="str">
        <f t="shared" si="1"/>
        <v/>
      </c>
      <c r="I785" s="8" t="b">
        <v>0</v>
      </c>
      <c r="J785" s="72"/>
      <c r="K785" s="72"/>
    </row>
    <row r="786">
      <c r="A786" s="69"/>
      <c r="B786" s="8"/>
      <c r="E786" s="70"/>
      <c r="F786" s="70" t="str">
        <f t="array" ref="F786">IF(E786="","",IFERROR(_xlfn.XLOOKUP(E786,SyncCodex!N:N,SyncCodex!O:O),""))</f>
        <v/>
      </c>
      <c r="G786" s="71"/>
      <c r="H786" s="71" t="str">
        <f t="shared" si="1"/>
        <v/>
      </c>
      <c r="I786" s="8" t="b">
        <v>0</v>
      </c>
      <c r="J786" s="72"/>
      <c r="K786" s="72"/>
    </row>
    <row r="787">
      <c r="A787" s="69"/>
      <c r="B787" s="8"/>
      <c r="E787" s="70"/>
      <c r="F787" s="70" t="str">
        <f t="array" ref="F787">IF(E787="","",IFERROR(_xlfn.XLOOKUP(E787,SyncCodex!N:N,SyncCodex!O:O),""))</f>
        <v/>
      </c>
      <c r="G787" s="71"/>
      <c r="H787" s="71" t="str">
        <f t="shared" si="1"/>
        <v/>
      </c>
      <c r="I787" s="8" t="b">
        <v>0</v>
      </c>
      <c r="J787" s="72"/>
      <c r="K787" s="72"/>
    </row>
    <row r="788">
      <c r="A788" s="69"/>
      <c r="B788" s="8"/>
      <c r="E788" s="70"/>
      <c r="F788" s="70" t="str">
        <f t="array" ref="F788">IF(E788="","",IFERROR(_xlfn.XLOOKUP(E788,SyncCodex!N:N,SyncCodex!O:O),""))</f>
        <v/>
      </c>
      <c r="G788" s="71"/>
      <c r="H788" s="71" t="str">
        <f t="shared" si="1"/>
        <v/>
      </c>
      <c r="I788" s="8" t="b">
        <v>0</v>
      </c>
      <c r="J788" s="72"/>
      <c r="K788" s="72"/>
    </row>
    <row r="789">
      <c r="A789" s="69"/>
      <c r="B789" s="8"/>
      <c r="E789" s="70"/>
      <c r="F789" s="70" t="str">
        <f t="array" ref="F789">IF(E789="","",IFERROR(_xlfn.XLOOKUP(E789,SyncCodex!N:N,SyncCodex!O:O),""))</f>
        <v/>
      </c>
      <c r="G789" s="71"/>
      <c r="H789" s="71" t="str">
        <f t="shared" si="1"/>
        <v/>
      </c>
      <c r="I789" s="8" t="b">
        <v>0</v>
      </c>
      <c r="J789" s="72"/>
      <c r="K789" s="72"/>
    </row>
    <row r="790">
      <c r="A790" s="69"/>
      <c r="B790" s="8"/>
      <c r="E790" s="70"/>
      <c r="F790" s="70" t="str">
        <f t="array" ref="F790">IF(E790="","",IFERROR(_xlfn.XLOOKUP(E790,SyncCodex!N:N,SyncCodex!O:O),""))</f>
        <v/>
      </c>
      <c r="G790" s="71"/>
      <c r="H790" s="71" t="str">
        <f t="shared" si="1"/>
        <v/>
      </c>
      <c r="I790" s="8" t="b">
        <v>0</v>
      </c>
      <c r="J790" s="72"/>
      <c r="K790" s="72"/>
    </row>
    <row r="791">
      <c r="A791" s="69"/>
      <c r="B791" s="8"/>
      <c r="E791" s="70"/>
      <c r="F791" s="70" t="str">
        <f t="array" ref="F791">IF(E791="","",IFERROR(_xlfn.XLOOKUP(E791,SyncCodex!N:N,SyncCodex!O:O),""))</f>
        <v/>
      </c>
      <c r="G791" s="71"/>
      <c r="H791" s="71" t="str">
        <f t="shared" si="1"/>
        <v/>
      </c>
      <c r="I791" s="8" t="b">
        <v>0</v>
      </c>
      <c r="J791" s="72"/>
      <c r="K791" s="72"/>
    </row>
    <row r="792">
      <c r="A792" s="69"/>
      <c r="B792" s="8"/>
      <c r="E792" s="70"/>
      <c r="F792" s="70" t="str">
        <f t="array" ref="F792">IF(E792="","",IFERROR(_xlfn.XLOOKUP(E792,SyncCodex!N:N,SyncCodex!O:O),""))</f>
        <v/>
      </c>
      <c r="G792" s="71"/>
      <c r="H792" s="71" t="str">
        <f t="shared" si="1"/>
        <v/>
      </c>
      <c r="I792" s="8" t="b">
        <v>0</v>
      </c>
      <c r="J792" s="72"/>
      <c r="K792" s="72"/>
    </row>
    <row r="793">
      <c r="A793" s="69"/>
      <c r="B793" s="8"/>
      <c r="E793" s="70"/>
      <c r="F793" s="70" t="str">
        <f t="array" ref="F793">IF(E793="","",IFERROR(_xlfn.XLOOKUP(E793,SyncCodex!N:N,SyncCodex!O:O),""))</f>
        <v/>
      </c>
      <c r="G793" s="71"/>
      <c r="H793" s="71" t="str">
        <f t="shared" si="1"/>
        <v/>
      </c>
      <c r="I793" s="8" t="b">
        <v>0</v>
      </c>
      <c r="J793" s="72"/>
      <c r="K793" s="72"/>
    </row>
    <row r="794">
      <c r="A794" s="69"/>
      <c r="B794" s="8"/>
      <c r="E794" s="70"/>
      <c r="F794" s="70" t="str">
        <f t="array" ref="F794">IF(E794="","",IFERROR(_xlfn.XLOOKUP(E794,SyncCodex!N:N,SyncCodex!O:O),""))</f>
        <v/>
      </c>
      <c r="G794" s="71"/>
      <c r="H794" s="71" t="str">
        <f t="shared" si="1"/>
        <v/>
      </c>
      <c r="I794" s="8" t="b">
        <v>0</v>
      </c>
      <c r="J794" s="72"/>
      <c r="K794" s="72"/>
    </row>
    <row r="795">
      <c r="A795" s="69"/>
      <c r="B795" s="8"/>
      <c r="E795" s="70"/>
      <c r="F795" s="70" t="str">
        <f t="array" ref="F795">IF(E795="","",IFERROR(_xlfn.XLOOKUP(E795,SyncCodex!N:N,SyncCodex!O:O),""))</f>
        <v/>
      </c>
      <c r="G795" s="71"/>
      <c r="H795" s="71" t="str">
        <f t="shared" si="1"/>
        <v/>
      </c>
      <c r="I795" s="8" t="b">
        <v>0</v>
      </c>
      <c r="J795" s="72"/>
      <c r="K795" s="72"/>
    </row>
    <row r="796">
      <c r="A796" s="69"/>
      <c r="B796" s="8"/>
      <c r="E796" s="70"/>
      <c r="F796" s="70" t="str">
        <f t="array" ref="F796">IF(E796="","",IFERROR(_xlfn.XLOOKUP(E796,SyncCodex!N:N,SyncCodex!O:O),""))</f>
        <v/>
      </c>
      <c r="G796" s="71"/>
      <c r="H796" s="71" t="str">
        <f t="shared" si="1"/>
        <v/>
      </c>
      <c r="I796" s="8" t="b">
        <v>0</v>
      </c>
      <c r="J796" s="72"/>
      <c r="K796" s="72"/>
    </row>
    <row r="797">
      <c r="A797" s="69"/>
      <c r="B797" s="8"/>
      <c r="E797" s="70"/>
      <c r="F797" s="70" t="str">
        <f t="array" ref="F797">IF(E797="","",IFERROR(_xlfn.XLOOKUP(E797,SyncCodex!N:N,SyncCodex!O:O),""))</f>
        <v/>
      </c>
      <c r="G797" s="71"/>
      <c r="H797" s="71" t="str">
        <f t="shared" si="1"/>
        <v/>
      </c>
      <c r="I797" s="8" t="b">
        <v>0</v>
      </c>
      <c r="J797" s="72"/>
      <c r="K797" s="72"/>
    </row>
    <row r="798">
      <c r="A798" s="69"/>
      <c r="B798" s="8"/>
      <c r="E798" s="70"/>
      <c r="F798" s="70" t="str">
        <f t="array" ref="F798">IF(E798="","",IFERROR(_xlfn.XLOOKUP(E798,SyncCodex!N:N,SyncCodex!O:O),""))</f>
        <v/>
      </c>
      <c r="G798" s="71"/>
      <c r="H798" s="71" t="str">
        <f t="shared" si="1"/>
        <v/>
      </c>
      <c r="I798" s="8" t="b">
        <v>0</v>
      </c>
      <c r="J798" s="72"/>
      <c r="K798" s="72"/>
    </row>
    <row r="799">
      <c r="A799" s="69"/>
      <c r="B799" s="8"/>
      <c r="E799" s="70"/>
      <c r="F799" s="70" t="str">
        <f t="array" ref="F799">IF(E799="","",IFERROR(_xlfn.XLOOKUP(E799,SyncCodex!N:N,SyncCodex!O:O),""))</f>
        <v/>
      </c>
      <c r="G799" s="71"/>
      <c r="H799" s="71" t="str">
        <f t="shared" si="1"/>
        <v/>
      </c>
      <c r="I799" s="8" t="b">
        <v>0</v>
      </c>
      <c r="J799" s="72"/>
      <c r="K799" s="72"/>
    </row>
    <row r="800">
      <c r="A800" s="69"/>
      <c r="B800" s="8"/>
      <c r="E800" s="70"/>
      <c r="F800" s="70" t="str">
        <f t="array" ref="F800">IF(E800="","",IFERROR(_xlfn.XLOOKUP(E800,SyncCodex!N:N,SyncCodex!O:O),""))</f>
        <v/>
      </c>
      <c r="G800" s="71"/>
      <c r="H800" s="71" t="str">
        <f t="shared" si="1"/>
        <v/>
      </c>
      <c r="I800" s="8" t="b">
        <v>0</v>
      </c>
      <c r="J800" s="72"/>
      <c r="K800" s="72"/>
    </row>
    <row r="801">
      <c r="A801" s="69"/>
      <c r="B801" s="8"/>
      <c r="E801" s="70"/>
      <c r="F801" s="70" t="str">
        <f t="array" ref="F801">IF(E801="","",IFERROR(_xlfn.XLOOKUP(E801,SyncCodex!N:N,SyncCodex!O:O),""))</f>
        <v/>
      </c>
      <c r="G801" s="71"/>
      <c r="H801" s="71" t="str">
        <f t="shared" si="1"/>
        <v/>
      </c>
      <c r="I801" s="8" t="b">
        <v>0</v>
      </c>
      <c r="J801" s="72"/>
      <c r="K801" s="72"/>
    </row>
    <row r="802">
      <c r="A802" s="69"/>
      <c r="B802" s="8"/>
      <c r="E802" s="70"/>
      <c r="F802" s="70" t="str">
        <f t="array" ref="F802">IF(E802="","",IFERROR(_xlfn.XLOOKUP(E802,SyncCodex!N:N,SyncCodex!O:O),""))</f>
        <v/>
      </c>
      <c r="G802" s="71"/>
      <c r="H802" s="71" t="str">
        <f t="shared" si="1"/>
        <v/>
      </c>
      <c r="I802" s="8" t="b">
        <v>0</v>
      </c>
      <c r="J802" s="72"/>
      <c r="K802" s="72"/>
    </row>
    <row r="803">
      <c r="A803" s="69"/>
      <c r="B803" s="8"/>
      <c r="E803" s="70"/>
      <c r="F803" s="70" t="str">
        <f t="array" ref="F803">IF(E803="","",IFERROR(_xlfn.XLOOKUP(E803,SyncCodex!N:N,SyncCodex!O:O),""))</f>
        <v/>
      </c>
      <c r="G803" s="71"/>
      <c r="H803" s="71" t="str">
        <f t="shared" si="1"/>
        <v/>
      </c>
      <c r="I803" s="8" t="b">
        <v>0</v>
      </c>
      <c r="J803" s="72"/>
      <c r="K803" s="72"/>
    </row>
    <row r="804">
      <c r="A804" s="69"/>
      <c r="B804" s="8"/>
      <c r="E804" s="70"/>
      <c r="F804" s="70" t="str">
        <f t="array" ref="F804">IF(E804="","",IFERROR(_xlfn.XLOOKUP(E804,SyncCodex!N:N,SyncCodex!O:O),""))</f>
        <v/>
      </c>
      <c r="G804" s="71"/>
      <c r="H804" s="71" t="str">
        <f t="shared" si="1"/>
        <v/>
      </c>
      <c r="I804" s="8" t="b">
        <v>0</v>
      </c>
      <c r="J804" s="72"/>
      <c r="K804" s="72"/>
    </row>
    <row r="805">
      <c r="A805" s="69"/>
      <c r="B805" s="8"/>
      <c r="E805" s="70"/>
      <c r="F805" s="70" t="str">
        <f t="array" ref="F805">IF(E805="","",IFERROR(_xlfn.XLOOKUP(E805,SyncCodex!N:N,SyncCodex!O:O),""))</f>
        <v/>
      </c>
      <c r="G805" s="71"/>
      <c r="H805" s="71" t="str">
        <f t="shared" si="1"/>
        <v/>
      </c>
      <c r="I805" s="8" t="b">
        <v>0</v>
      </c>
      <c r="J805" s="72"/>
      <c r="K805" s="72"/>
    </row>
    <row r="806">
      <c r="A806" s="69"/>
      <c r="B806" s="8"/>
      <c r="E806" s="70"/>
      <c r="F806" s="70" t="str">
        <f t="array" ref="F806">IF(E806="","",IFERROR(_xlfn.XLOOKUP(E806,SyncCodex!N:N,SyncCodex!O:O),""))</f>
        <v/>
      </c>
      <c r="G806" s="71"/>
      <c r="H806" s="71" t="str">
        <f t="shared" si="1"/>
        <v/>
      </c>
      <c r="I806" s="8" t="b">
        <v>0</v>
      </c>
      <c r="J806" s="72"/>
      <c r="K806" s="72"/>
    </row>
    <row r="807">
      <c r="A807" s="69"/>
      <c r="B807" s="8"/>
      <c r="E807" s="70"/>
      <c r="F807" s="70" t="str">
        <f t="array" ref="F807">IF(E807="","",IFERROR(_xlfn.XLOOKUP(E807,SyncCodex!N:N,SyncCodex!O:O),""))</f>
        <v/>
      </c>
      <c r="G807" s="71"/>
      <c r="H807" s="71" t="str">
        <f t="shared" si="1"/>
        <v/>
      </c>
      <c r="I807" s="8" t="b">
        <v>0</v>
      </c>
      <c r="J807" s="72"/>
      <c r="K807" s="72"/>
    </row>
    <row r="808">
      <c r="A808" s="69"/>
      <c r="B808" s="8"/>
      <c r="E808" s="70"/>
      <c r="F808" s="70" t="str">
        <f t="array" ref="F808">IF(E808="","",IFERROR(_xlfn.XLOOKUP(E808,SyncCodex!N:N,SyncCodex!O:O),""))</f>
        <v/>
      </c>
      <c r="G808" s="71"/>
      <c r="H808" s="71" t="str">
        <f t="shared" si="1"/>
        <v/>
      </c>
      <c r="I808" s="8" t="b">
        <v>0</v>
      </c>
      <c r="J808" s="72"/>
      <c r="K808" s="72"/>
    </row>
    <row r="809">
      <c r="A809" s="69"/>
      <c r="B809" s="8"/>
      <c r="E809" s="70"/>
      <c r="F809" s="70" t="str">
        <f t="array" ref="F809">IF(E809="","",IFERROR(_xlfn.XLOOKUP(E809,SyncCodex!N:N,SyncCodex!O:O),""))</f>
        <v/>
      </c>
      <c r="G809" s="71"/>
      <c r="H809" s="71" t="str">
        <f t="shared" si="1"/>
        <v/>
      </c>
      <c r="I809" s="8" t="b">
        <v>0</v>
      </c>
      <c r="J809" s="72"/>
      <c r="K809" s="72"/>
    </row>
    <row r="810">
      <c r="A810" s="69"/>
      <c r="B810" s="8"/>
      <c r="E810" s="70"/>
      <c r="F810" s="70" t="str">
        <f t="array" ref="F810">IF(E810="","",IFERROR(_xlfn.XLOOKUP(E810,SyncCodex!N:N,SyncCodex!O:O),""))</f>
        <v/>
      </c>
      <c r="G810" s="71"/>
      <c r="H810" s="71" t="str">
        <f t="shared" si="1"/>
        <v/>
      </c>
      <c r="I810" s="8" t="b">
        <v>0</v>
      </c>
      <c r="J810" s="72"/>
      <c r="K810" s="72"/>
    </row>
    <row r="811">
      <c r="A811" s="69"/>
      <c r="B811" s="8"/>
      <c r="E811" s="70"/>
      <c r="F811" s="70" t="str">
        <f t="array" ref="F811">IF(E811="","",IFERROR(_xlfn.XLOOKUP(E811,SyncCodex!N:N,SyncCodex!O:O),""))</f>
        <v/>
      </c>
      <c r="G811" s="71"/>
      <c r="H811" s="71" t="str">
        <f t="shared" si="1"/>
        <v/>
      </c>
      <c r="I811" s="8" t="b">
        <v>0</v>
      </c>
      <c r="J811" s="72"/>
      <c r="K811" s="72"/>
    </row>
    <row r="812">
      <c r="A812" s="69"/>
      <c r="B812" s="8"/>
      <c r="E812" s="70"/>
      <c r="F812" s="70" t="str">
        <f t="array" ref="F812">IF(E812="","",IFERROR(_xlfn.XLOOKUP(E812,SyncCodex!N:N,SyncCodex!O:O),""))</f>
        <v/>
      </c>
      <c r="G812" s="71"/>
      <c r="H812" s="71" t="str">
        <f t="shared" si="1"/>
        <v/>
      </c>
      <c r="I812" s="8" t="b">
        <v>0</v>
      </c>
      <c r="J812" s="72"/>
      <c r="K812" s="72"/>
    </row>
    <row r="813">
      <c r="A813" s="69"/>
      <c r="B813" s="8"/>
      <c r="E813" s="70"/>
      <c r="F813" s="70" t="str">
        <f t="array" ref="F813">IF(E813="","",IFERROR(_xlfn.XLOOKUP(E813,SyncCodex!N:N,SyncCodex!O:O),""))</f>
        <v/>
      </c>
      <c r="G813" s="71"/>
      <c r="H813" s="71" t="str">
        <f t="shared" si="1"/>
        <v/>
      </c>
      <c r="I813" s="8" t="b">
        <v>0</v>
      </c>
      <c r="J813" s="72"/>
      <c r="K813" s="72"/>
    </row>
    <row r="814">
      <c r="A814" s="69"/>
      <c r="B814" s="8"/>
      <c r="E814" s="70"/>
      <c r="F814" s="70" t="str">
        <f t="array" ref="F814">IF(E814="","",IFERROR(_xlfn.XLOOKUP(E814,SyncCodex!N:N,SyncCodex!O:O),""))</f>
        <v/>
      </c>
      <c r="G814" s="71"/>
      <c r="H814" s="71" t="str">
        <f t="shared" si="1"/>
        <v/>
      </c>
      <c r="I814" s="8" t="b">
        <v>0</v>
      </c>
      <c r="J814" s="72"/>
      <c r="K814" s="72"/>
    </row>
    <row r="815">
      <c r="A815" s="69"/>
      <c r="B815" s="8"/>
      <c r="E815" s="70"/>
      <c r="F815" s="70" t="str">
        <f t="array" ref="F815">IF(E815="","",IFERROR(_xlfn.XLOOKUP(E815,SyncCodex!N:N,SyncCodex!O:O),""))</f>
        <v/>
      </c>
      <c r="G815" s="71"/>
      <c r="H815" s="71" t="str">
        <f t="shared" si="1"/>
        <v/>
      </c>
      <c r="I815" s="8" t="b">
        <v>0</v>
      </c>
      <c r="J815" s="72"/>
      <c r="K815" s="72"/>
    </row>
    <row r="816">
      <c r="A816" s="69"/>
      <c r="B816" s="8"/>
      <c r="E816" s="70"/>
      <c r="F816" s="70" t="str">
        <f t="array" ref="F816">IF(E816="","",IFERROR(_xlfn.XLOOKUP(E816,SyncCodex!N:N,SyncCodex!O:O),""))</f>
        <v/>
      </c>
      <c r="G816" s="71"/>
      <c r="H816" s="71" t="str">
        <f t="shared" si="1"/>
        <v/>
      </c>
      <c r="I816" s="8" t="b">
        <v>0</v>
      </c>
      <c r="J816" s="72"/>
      <c r="K816" s="72"/>
    </row>
    <row r="817">
      <c r="A817" s="69"/>
      <c r="B817" s="8"/>
      <c r="E817" s="70"/>
      <c r="F817" s="70" t="str">
        <f t="array" ref="F817">IF(E817="","",IFERROR(_xlfn.XLOOKUP(E817,SyncCodex!N:N,SyncCodex!O:O),""))</f>
        <v/>
      </c>
      <c r="G817" s="71"/>
      <c r="H817" s="71" t="str">
        <f t="shared" si="1"/>
        <v/>
      </c>
      <c r="I817" s="8" t="b">
        <v>0</v>
      </c>
      <c r="J817" s="72"/>
      <c r="K817" s="72"/>
    </row>
    <row r="818">
      <c r="A818" s="69"/>
      <c r="B818" s="8"/>
      <c r="E818" s="70"/>
      <c r="F818" s="70" t="str">
        <f t="array" ref="F818">IF(E818="","",IFERROR(_xlfn.XLOOKUP(E818,SyncCodex!N:N,SyncCodex!O:O),""))</f>
        <v/>
      </c>
      <c r="G818" s="71"/>
      <c r="H818" s="71" t="str">
        <f t="shared" si="1"/>
        <v/>
      </c>
      <c r="I818" s="8" t="b">
        <v>0</v>
      </c>
      <c r="J818" s="72"/>
      <c r="K818" s="72"/>
    </row>
    <row r="819">
      <c r="A819" s="69"/>
      <c r="B819" s="8"/>
      <c r="E819" s="70"/>
      <c r="F819" s="70" t="str">
        <f t="array" ref="F819">IF(E819="","",IFERROR(_xlfn.XLOOKUP(E819,SyncCodex!N:N,SyncCodex!O:O),""))</f>
        <v/>
      </c>
      <c r="G819" s="71"/>
      <c r="H819" s="71" t="str">
        <f t="shared" si="1"/>
        <v/>
      </c>
      <c r="I819" s="8" t="b">
        <v>0</v>
      </c>
      <c r="J819" s="72"/>
      <c r="K819" s="72"/>
    </row>
    <row r="820">
      <c r="A820" s="69"/>
      <c r="B820" s="8"/>
      <c r="E820" s="70"/>
      <c r="F820" s="70" t="str">
        <f t="array" ref="F820">IF(E820="","",IFERROR(_xlfn.XLOOKUP(E820,SyncCodex!N:N,SyncCodex!O:O),""))</f>
        <v/>
      </c>
      <c r="G820" s="71"/>
      <c r="H820" s="71" t="str">
        <f t="shared" si="1"/>
        <v/>
      </c>
      <c r="I820" s="8" t="b">
        <v>0</v>
      </c>
      <c r="J820" s="72"/>
      <c r="K820" s="72"/>
    </row>
    <row r="821">
      <c r="A821" s="69"/>
      <c r="B821" s="8"/>
      <c r="E821" s="70"/>
      <c r="F821" s="70" t="str">
        <f t="array" ref="F821">IF(E821="","",IFERROR(_xlfn.XLOOKUP(E821,SyncCodex!N:N,SyncCodex!O:O),""))</f>
        <v/>
      </c>
      <c r="G821" s="71"/>
      <c r="H821" s="71" t="str">
        <f t="shared" si="1"/>
        <v/>
      </c>
      <c r="I821" s="8" t="b">
        <v>0</v>
      </c>
      <c r="J821" s="72"/>
      <c r="K821" s="72"/>
    </row>
    <row r="822">
      <c r="A822" s="69"/>
      <c r="B822" s="8"/>
      <c r="E822" s="70"/>
      <c r="F822" s="70" t="str">
        <f t="array" ref="F822">IF(E822="","",IFERROR(_xlfn.XLOOKUP(E822,SyncCodex!N:N,SyncCodex!O:O),""))</f>
        <v/>
      </c>
      <c r="G822" s="71"/>
      <c r="H822" s="71" t="str">
        <f t="shared" si="1"/>
        <v/>
      </c>
      <c r="I822" s="8" t="b">
        <v>0</v>
      </c>
      <c r="J822" s="72"/>
      <c r="K822" s="72"/>
    </row>
    <row r="823">
      <c r="A823" s="69"/>
      <c r="B823" s="8"/>
      <c r="E823" s="70"/>
      <c r="F823" s="70" t="str">
        <f t="array" ref="F823">IF(E823="","",IFERROR(_xlfn.XLOOKUP(E823,SyncCodex!N:N,SyncCodex!O:O),""))</f>
        <v/>
      </c>
      <c r="G823" s="71"/>
      <c r="H823" s="71" t="str">
        <f t="shared" si="1"/>
        <v/>
      </c>
      <c r="I823" s="8" t="b">
        <v>0</v>
      </c>
      <c r="J823" s="72"/>
      <c r="K823" s="72"/>
    </row>
    <row r="824">
      <c r="A824" s="69"/>
      <c r="B824" s="8"/>
      <c r="E824" s="70"/>
      <c r="F824" s="70" t="str">
        <f t="array" ref="F824">IF(E824="","",IFERROR(_xlfn.XLOOKUP(E824,SyncCodex!N:N,SyncCodex!O:O),""))</f>
        <v/>
      </c>
      <c r="G824" s="71"/>
      <c r="H824" s="71" t="str">
        <f t="shared" si="1"/>
        <v/>
      </c>
      <c r="I824" s="8" t="b">
        <v>0</v>
      </c>
      <c r="J824" s="72"/>
      <c r="K824" s="72"/>
    </row>
    <row r="825">
      <c r="A825" s="69"/>
      <c r="B825" s="8"/>
      <c r="E825" s="70"/>
      <c r="F825" s="70" t="str">
        <f t="array" ref="F825">IF(E825="","",IFERROR(_xlfn.XLOOKUP(E825,SyncCodex!N:N,SyncCodex!O:O),""))</f>
        <v/>
      </c>
      <c r="G825" s="71"/>
      <c r="H825" s="71" t="str">
        <f t="shared" si="1"/>
        <v/>
      </c>
      <c r="I825" s="8" t="b">
        <v>0</v>
      </c>
      <c r="J825" s="72"/>
      <c r="K825" s="72"/>
    </row>
    <row r="826">
      <c r="A826" s="69"/>
      <c r="B826" s="8"/>
      <c r="E826" s="70"/>
      <c r="F826" s="70" t="str">
        <f t="array" ref="F826">IF(E826="","",IFERROR(_xlfn.XLOOKUP(E826,SyncCodex!N:N,SyncCodex!O:O),""))</f>
        <v/>
      </c>
      <c r="G826" s="71"/>
      <c r="H826" s="71" t="str">
        <f t="shared" si="1"/>
        <v/>
      </c>
      <c r="I826" s="8" t="b">
        <v>0</v>
      </c>
      <c r="J826" s="72"/>
      <c r="K826" s="72"/>
    </row>
    <row r="827">
      <c r="A827" s="69"/>
      <c r="B827" s="8"/>
      <c r="E827" s="70"/>
      <c r="F827" s="70" t="str">
        <f t="array" ref="F827">IF(E827="","",IFERROR(_xlfn.XLOOKUP(E827,SyncCodex!N:N,SyncCodex!O:O),""))</f>
        <v/>
      </c>
      <c r="G827" s="71"/>
      <c r="H827" s="71" t="str">
        <f t="shared" si="1"/>
        <v/>
      </c>
      <c r="I827" s="8" t="b">
        <v>0</v>
      </c>
      <c r="J827" s="72"/>
      <c r="K827" s="72"/>
    </row>
    <row r="828">
      <c r="A828" s="69"/>
      <c r="B828" s="8"/>
      <c r="E828" s="70"/>
      <c r="F828" s="70" t="str">
        <f t="array" ref="F828">IF(E828="","",IFERROR(_xlfn.XLOOKUP(E828,SyncCodex!N:N,SyncCodex!O:O),""))</f>
        <v/>
      </c>
      <c r="G828" s="71"/>
      <c r="H828" s="71" t="str">
        <f t="shared" si="1"/>
        <v/>
      </c>
      <c r="I828" s="8" t="b">
        <v>0</v>
      </c>
      <c r="J828" s="72"/>
      <c r="K828" s="72"/>
    </row>
    <row r="829">
      <c r="A829" s="69"/>
      <c r="B829" s="8"/>
      <c r="E829" s="70"/>
      <c r="F829" s="70" t="str">
        <f t="array" ref="F829">IF(E829="","",IFERROR(_xlfn.XLOOKUP(E829,SyncCodex!N:N,SyncCodex!O:O),""))</f>
        <v/>
      </c>
      <c r="G829" s="71"/>
      <c r="H829" s="71" t="str">
        <f t="shared" si="1"/>
        <v/>
      </c>
      <c r="I829" s="8" t="b">
        <v>0</v>
      </c>
      <c r="J829" s="72"/>
      <c r="K829" s="72"/>
    </row>
    <row r="830">
      <c r="A830" s="69"/>
      <c r="B830" s="8"/>
      <c r="E830" s="70"/>
      <c r="F830" s="70" t="str">
        <f t="array" ref="F830">IF(E830="","",IFERROR(_xlfn.XLOOKUP(E830,SyncCodex!N:N,SyncCodex!O:O),""))</f>
        <v/>
      </c>
      <c r="G830" s="71"/>
      <c r="H830" s="71" t="str">
        <f t="shared" si="1"/>
        <v/>
      </c>
      <c r="I830" s="8" t="b">
        <v>0</v>
      </c>
      <c r="J830" s="72"/>
      <c r="K830" s="72"/>
    </row>
    <row r="831">
      <c r="A831" s="69"/>
      <c r="B831" s="8"/>
      <c r="E831" s="70"/>
      <c r="F831" s="70" t="str">
        <f t="array" ref="F831">IF(E831="","",IFERROR(_xlfn.XLOOKUP(E831,SyncCodex!N:N,SyncCodex!O:O),""))</f>
        <v/>
      </c>
      <c r="G831" s="71"/>
      <c r="H831" s="71" t="str">
        <f t="shared" si="1"/>
        <v/>
      </c>
      <c r="I831" s="8" t="b">
        <v>0</v>
      </c>
      <c r="J831" s="72"/>
      <c r="K831" s="72"/>
    </row>
    <row r="832">
      <c r="A832" s="69"/>
      <c r="B832" s="8"/>
      <c r="E832" s="70"/>
      <c r="F832" s="70" t="str">
        <f t="array" ref="F832">IF(E832="","",IFERROR(_xlfn.XLOOKUP(E832,SyncCodex!N:N,SyncCodex!O:O),""))</f>
        <v/>
      </c>
      <c r="G832" s="71"/>
      <c r="H832" s="71" t="str">
        <f t="shared" si="1"/>
        <v/>
      </c>
      <c r="I832" s="8" t="b">
        <v>0</v>
      </c>
      <c r="J832" s="72"/>
      <c r="K832" s="72"/>
    </row>
    <row r="833">
      <c r="A833" s="69"/>
      <c r="B833" s="8"/>
      <c r="E833" s="70"/>
      <c r="F833" s="70" t="str">
        <f t="array" ref="F833">IF(E833="","",IFERROR(_xlfn.XLOOKUP(E833,SyncCodex!N:N,SyncCodex!O:O),""))</f>
        <v/>
      </c>
      <c r="G833" s="71"/>
      <c r="H833" s="71" t="str">
        <f t="shared" si="1"/>
        <v/>
      </c>
      <c r="I833" s="8" t="b">
        <v>0</v>
      </c>
      <c r="J833" s="72"/>
      <c r="K833" s="72"/>
    </row>
    <row r="834">
      <c r="A834" s="69"/>
      <c r="B834" s="8"/>
      <c r="E834" s="70"/>
      <c r="F834" s="70" t="str">
        <f t="array" ref="F834">IF(E834="","",IFERROR(_xlfn.XLOOKUP(E834,SyncCodex!N:N,SyncCodex!O:O),""))</f>
        <v/>
      </c>
      <c r="G834" s="71"/>
      <c r="H834" s="71" t="str">
        <f t="shared" si="1"/>
        <v/>
      </c>
      <c r="I834" s="8" t="b">
        <v>0</v>
      </c>
      <c r="J834" s="72"/>
      <c r="K834" s="72"/>
    </row>
    <row r="835">
      <c r="A835" s="69"/>
      <c r="B835" s="8"/>
      <c r="E835" s="70"/>
      <c r="F835" s="70" t="str">
        <f t="array" ref="F835">IF(E835="","",IFERROR(_xlfn.XLOOKUP(E835,SyncCodex!N:N,SyncCodex!O:O),""))</f>
        <v/>
      </c>
      <c r="G835" s="71"/>
      <c r="H835" s="71" t="str">
        <f t="shared" si="1"/>
        <v/>
      </c>
      <c r="I835" s="8" t="b">
        <v>0</v>
      </c>
      <c r="J835" s="72"/>
      <c r="K835" s="72"/>
    </row>
    <row r="836">
      <c r="A836" s="69"/>
      <c r="B836" s="8"/>
      <c r="E836" s="70"/>
      <c r="F836" s="70" t="str">
        <f t="array" ref="F836">IF(E836="","",IFERROR(_xlfn.XLOOKUP(E836,SyncCodex!N:N,SyncCodex!O:O),""))</f>
        <v/>
      </c>
      <c r="G836" s="71"/>
      <c r="H836" s="71" t="str">
        <f t="shared" si="1"/>
        <v/>
      </c>
      <c r="I836" s="8" t="b">
        <v>0</v>
      </c>
      <c r="J836" s="72"/>
      <c r="K836" s="72"/>
    </row>
    <row r="837">
      <c r="A837" s="69"/>
      <c r="B837" s="8"/>
      <c r="E837" s="70"/>
      <c r="F837" s="70" t="str">
        <f t="array" ref="F837">IF(E837="","",IFERROR(_xlfn.XLOOKUP(E837,SyncCodex!N:N,SyncCodex!O:O),""))</f>
        <v/>
      </c>
      <c r="G837" s="71"/>
      <c r="H837" s="71" t="str">
        <f t="shared" si="1"/>
        <v/>
      </c>
      <c r="I837" s="8" t="b">
        <v>0</v>
      </c>
      <c r="J837" s="72"/>
      <c r="K837" s="72"/>
    </row>
    <row r="838">
      <c r="A838" s="69"/>
      <c r="B838" s="8"/>
      <c r="E838" s="70"/>
      <c r="F838" s="70" t="str">
        <f t="array" ref="F838">IF(E838="","",IFERROR(_xlfn.XLOOKUP(E838,SyncCodex!N:N,SyncCodex!O:O),""))</f>
        <v/>
      </c>
      <c r="G838" s="71"/>
      <c r="H838" s="71" t="str">
        <f t="shared" si="1"/>
        <v/>
      </c>
      <c r="I838" s="8" t="b">
        <v>0</v>
      </c>
      <c r="J838" s="72"/>
      <c r="K838" s="72"/>
    </row>
    <row r="839">
      <c r="A839" s="69"/>
      <c r="B839" s="8"/>
      <c r="E839" s="70"/>
      <c r="F839" s="70" t="str">
        <f t="array" ref="F839">IF(E839="","",IFERROR(_xlfn.XLOOKUP(E839,SyncCodex!N:N,SyncCodex!O:O),""))</f>
        <v/>
      </c>
      <c r="G839" s="71"/>
      <c r="H839" s="71" t="str">
        <f t="shared" si="1"/>
        <v/>
      </c>
      <c r="I839" s="8" t="b">
        <v>0</v>
      </c>
      <c r="J839" s="72"/>
      <c r="K839" s="72"/>
    </row>
    <row r="840">
      <c r="A840" s="69"/>
      <c r="B840" s="8"/>
      <c r="E840" s="70"/>
      <c r="F840" s="70" t="str">
        <f t="array" ref="F840">IF(E840="","",IFERROR(_xlfn.XLOOKUP(E840,SyncCodex!N:N,SyncCodex!O:O),""))</f>
        <v/>
      </c>
      <c r="G840" s="71"/>
      <c r="H840" s="71" t="str">
        <f t="shared" si="1"/>
        <v/>
      </c>
      <c r="I840" s="8" t="b">
        <v>0</v>
      </c>
      <c r="J840" s="72"/>
      <c r="K840" s="72"/>
    </row>
    <row r="841">
      <c r="A841" s="69"/>
      <c r="B841" s="8"/>
      <c r="E841" s="70"/>
      <c r="F841" s="70" t="str">
        <f t="array" ref="F841">IF(E841="","",IFERROR(_xlfn.XLOOKUP(E841,SyncCodex!N:N,SyncCodex!O:O),""))</f>
        <v/>
      </c>
      <c r="G841" s="71"/>
      <c r="H841" s="71" t="str">
        <f t="shared" si="1"/>
        <v/>
      </c>
      <c r="I841" s="8" t="b">
        <v>0</v>
      </c>
      <c r="J841" s="72"/>
      <c r="K841" s="72"/>
    </row>
    <row r="842">
      <c r="A842" s="69"/>
      <c r="B842" s="8"/>
      <c r="E842" s="70"/>
      <c r="F842" s="70" t="str">
        <f t="array" ref="F842">IF(E842="","",IFERROR(_xlfn.XLOOKUP(E842,SyncCodex!N:N,SyncCodex!O:O),""))</f>
        <v/>
      </c>
      <c r="G842" s="71"/>
      <c r="H842" s="71" t="str">
        <f t="shared" si="1"/>
        <v/>
      </c>
      <c r="I842" s="8" t="b">
        <v>0</v>
      </c>
      <c r="J842" s="72"/>
      <c r="K842" s="72"/>
    </row>
    <row r="843">
      <c r="A843" s="69"/>
      <c r="B843" s="8"/>
      <c r="E843" s="70"/>
      <c r="F843" s="70" t="str">
        <f t="array" ref="F843">IF(E843="","",IFERROR(_xlfn.XLOOKUP(E843,SyncCodex!N:N,SyncCodex!O:O),""))</f>
        <v/>
      </c>
      <c r="G843" s="71"/>
      <c r="H843" s="71" t="str">
        <f t="shared" si="1"/>
        <v/>
      </c>
      <c r="I843" s="8" t="b">
        <v>0</v>
      </c>
      <c r="J843" s="72"/>
      <c r="K843" s="72"/>
    </row>
    <row r="844">
      <c r="A844" s="69"/>
      <c r="B844" s="8"/>
      <c r="E844" s="70"/>
      <c r="F844" s="70" t="str">
        <f t="array" ref="F844">IF(E844="","",IFERROR(_xlfn.XLOOKUP(E844,SyncCodex!N:N,SyncCodex!O:O),""))</f>
        <v/>
      </c>
      <c r="G844" s="71"/>
      <c r="H844" s="71" t="str">
        <f t="shared" si="1"/>
        <v/>
      </c>
      <c r="I844" s="8" t="b">
        <v>0</v>
      </c>
      <c r="J844" s="72"/>
      <c r="K844" s="72"/>
    </row>
    <row r="845">
      <c r="A845" s="69"/>
      <c r="B845" s="8"/>
      <c r="E845" s="70"/>
      <c r="F845" s="70" t="str">
        <f t="array" ref="F845">IF(E845="","",IFERROR(_xlfn.XLOOKUP(E845,SyncCodex!N:N,SyncCodex!O:O),""))</f>
        <v/>
      </c>
      <c r="G845" s="71"/>
      <c r="H845" s="71" t="str">
        <f t="shared" si="1"/>
        <v/>
      </c>
      <c r="I845" s="8" t="b">
        <v>0</v>
      </c>
      <c r="J845" s="72"/>
      <c r="K845" s="72"/>
    </row>
    <row r="846">
      <c r="A846" s="69"/>
      <c r="B846" s="8"/>
      <c r="E846" s="70"/>
      <c r="F846" s="70" t="str">
        <f t="array" ref="F846">IF(E846="","",IFERROR(_xlfn.XLOOKUP(E846,SyncCodex!N:N,SyncCodex!O:O),""))</f>
        <v/>
      </c>
      <c r="G846" s="71"/>
      <c r="H846" s="71" t="str">
        <f t="shared" si="1"/>
        <v/>
      </c>
      <c r="I846" s="8" t="b">
        <v>0</v>
      </c>
      <c r="J846" s="72"/>
      <c r="K846" s="72"/>
    </row>
    <row r="847">
      <c r="A847" s="69"/>
      <c r="B847" s="8"/>
      <c r="E847" s="70"/>
      <c r="F847" s="70" t="str">
        <f t="array" ref="F847">IF(E847="","",IFERROR(_xlfn.XLOOKUP(E847,SyncCodex!N:N,SyncCodex!O:O),""))</f>
        <v/>
      </c>
      <c r="G847" s="71"/>
      <c r="H847" s="71" t="str">
        <f t="shared" si="1"/>
        <v/>
      </c>
      <c r="I847" s="8" t="b">
        <v>0</v>
      </c>
      <c r="J847" s="72"/>
      <c r="K847" s="72"/>
    </row>
    <row r="848">
      <c r="A848" s="69"/>
      <c r="B848" s="8"/>
      <c r="E848" s="70"/>
      <c r="F848" s="70" t="str">
        <f t="array" ref="F848">IF(E848="","",IFERROR(_xlfn.XLOOKUP(E848,SyncCodex!N:N,SyncCodex!O:O),""))</f>
        <v/>
      </c>
      <c r="G848" s="71"/>
      <c r="H848" s="71" t="str">
        <f t="shared" si="1"/>
        <v/>
      </c>
      <c r="I848" s="8" t="b">
        <v>0</v>
      </c>
      <c r="J848" s="72"/>
      <c r="K848" s="72"/>
    </row>
    <row r="849">
      <c r="A849" s="69"/>
      <c r="B849" s="8"/>
      <c r="E849" s="70"/>
      <c r="F849" s="70" t="str">
        <f t="array" ref="F849">IF(E849="","",IFERROR(_xlfn.XLOOKUP(E849,SyncCodex!N:N,SyncCodex!O:O),""))</f>
        <v/>
      </c>
      <c r="G849" s="71"/>
      <c r="H849" s="71" t="str">
        <f t="shared" si="1"/>
        <v/>
      </c>
      <c r="I849" s="8" t="b">
        <v>0</v>
      </c>
      <c r="J849" s="72"/>
      <c r="K849" s="72"/>
    </row>
    <row r="850">
      <c r="A850" s="69"/>
      <c r="B850" s="8"/>
      <c r="E850" s="70"/>
      <c r="F850" s="70" t="str">
        <f t="array" ref="F850">IF(E850="","",IFERROR(_xlfn.XLOOKUP(E850,SyncCodex!N:N,SyncCodex!O:O),""))</f>
        <v/>
      </c>
      <c r="G850" s="71"/>
      <c r="H850" s="71" t="str">
        <f t="shared" si="1"/>
        <v/>
      </c>
      <c r="I850" s="8" t="b">
        <v>0</v>
      </c>
      <c r="J850" s="72"/>
      <c r="K850" s="72"/>
    </row>
    <row r="851">
      <c r="A851" s="69"/>
      <c r="B851" s="8"/>
      <c r="E851" s="70"/>
      <c r="F851" s="70" t="str">
        <f t="array" ref="F851">IF(E851="","",IFERROR(_xlfn.XLOOKUP(E851,SyncCodex!N:N,SyncCodex!O:O),""))</f>
        <v/>
      </c>
      <c r="G851" s="71"/>
      <c r="H851" s="71" t="str">
        <f t="shared" si="1"/>
        <v/>
      </c>
      <c r="I851" s="8" t="b">
        <v>0</v>
      </c>
      <c r="J851" s="72"/>
      <c r="K851" s="72"/>
    </row>
    <row r="852">
      <c r="A852" s="69"/>
      <c r="B852" s="8"/>
      <c r="E852" s="70"/>
      <c r="F852" s="70" t="str">
        <f t="array" ref="F852">IF(E852="","",IFERROR(_xlfn.XLOOKUP(E852,SyncCodex!N:N,SyncCodex!O:O),""))</f>
        <v/>
      </c>
      <c r="G852" s="71"/>
      <c r="H852" s="71" t="str">
        <f t="shared" si="1"/>
        <v/>
      </c>
      <c r="I852" s="8" t="b">
        <v>0</v>
      </c>
      <c r="J852" s="72"/>
      <c r="K852" s="72"/>
    </row>
    <row r="853">
      <c r="A853" s="69"/>
      <c r="B853" s="8"/>
      <c r="E853" s="70"/>
      <c r="F853" s="70" t="str">
        <f t="array" ref="F853">IF(E853="","",IFERROR(_xlfn.XLOOKUP(E853,SyncCodex!N:N,SyncCodex!O:O),""))</f>
        <v/>
      </c>
      <c r="G853" s="71"/>
      <c r="H853" s="71" t="str">
        <f t="shared" si="1"/>
        <v/>
      </c>
      <c r="I853" s="8" t="b">
        <v>0</v>
      </c>
      <c r="J853" s="72"/>
      <c r="K853" s="72"/>
    </row>
    <row r="854">
      <c r="A854" s="69"/>
      <c r="B854" s="8"/>
      <c r="E854" s="70"/>
      <c r="F854" s="70" t="str">
        <f t="array" ref="F854">IF(E854="","",IFERROR(_xlfn.XLOOKUP(E854,SyncCodex!N:N,SyncCodex!O:O),""))</f>
        <v/>
      </c>
      <c r="G854" s="71"/>
      <c r="H854" s="71" t="str">
        <f t="shared" si="1"/>
        <v/>
      </c>
      <c r="I854" s="8" t="b">
        <v>0</v>
      </c>
      <c r="J854" s="72"/>
      <c r="K854" s="72"/>
    </row>
    <row r="855">
      <c r="A855" s="69"/>
      <c r="B855" s="8"/>
      <c r="E855" s="70"/>
      <c r="F855" s="70" t="str">
        <f t="array" ref="F855">IF(E855="","",IFERROR(_xlfn.XLOOKUP(E855,SyncCodex!N:N,SyncCodex!O:O),""))</f>
        <v/>
      </c>
      <c r="G855" s="71"/>
      <c r="H855" s="71" t="str">
        <f t="shared" si="1"/>
        <v/>
      </c>
      <c r="I855" s="8" t="b">
        <v>0</v>
      </c>
      <c r="J855" s="72"/>
      <c r="K855" s="72"/>
    </row>
    <row r="856">
      <c r="A856" s="69"/>
      <c r="B856" s="8"/>
      <c r="E856" s="70"/>
      <c r="F856" s="70" t="str">
        <f t="array" ref="F856">IF(E856="","",IFERROR(_xlfn.XLOOKUP(E856,SyncCodex!N:N,SyncCodex!O:O),""))</f>
        <v/>
      </c>
      <c r="G856" s="71"/>
      <c r="H856" s="71" t="str">
        <f t="shared" si="1"/>
        <v/>
      </c>
      <c r="I856" s="8" t="b">
        <v>0</v>
      </c>
      <c r="J856" s="72"/>
      <c r="K856" s="72"/>
    </row>
    <row r="857">
      <c r="A857" s="69"/>
      <c r="B857" s="8"/>
      <c r="E857" s="70"/>
      <c r="F857" s="70" t="str">
        <f t="array" ref="F857">IF(E857="","",IFERROR(_xlfn.XLOOKUP(E857,SyncCodex!N:N,SyncCodex!O:O),""))</f>
        <v/>
      </c>
      <c r="G857" s="71"/>
      <c r="H857" s="71" t="str">
        <f t="shared" si="1"/>
        <v/>
      </c>
      <c r="I857" s="8" t="b">
        <v>0</v>
      </c>
      <c r="J857" s="72"/>
      <c r="K857" s="72"/>
    </row>
    <row r="858">
      <c r="A858" s="69"/>
      <c r="B858" s="8"/>
      <c r="E858" s="70"/>
      <c r="F858" s="70" t="str">
        <f t="array" ref="F858">IF(E858="","",IFERROR(_xlfn.XLOOKUP(E858,SyncCodex!N:N,SyncCodex!O:O),""))</f>
        <v/>
      </c>
      <c r="G858" s="71"/>
      <c r="H858" s="71" t="str">
        <f t="shared" si="1"/>
        <v/>
      </c>
      <c r="I858" s="8" t="b">
        <v>0</v>
      </c>
      <c r="J858" s="72"/>
      <c r="K858" s="72"/>
    </row>
    <row r="859">
      <c r="A859" s="69"/>
      <c r="B859" s="8"/>
      <c r="E859" s="70"/>
      <c r="F859" s="70" t="str">
        <f t="array" ref="F859">IF(E859="","",IFERROR(_xlfn.XLOOKUP(E859,SyncCodex!N:N,SyncCodex!O:O),""))</f>
        <v/>
      </c>
      <c r="G859" s="71"/>
      <c r="H859" s="71" t="str">
        <f t="shared" si="1"/>
        <v/>
      </c>
      <c r="I859" s="8" t="b">
        <v>0</v>
      </c>
      <c r="J859" s="72"/>
      <c r="K859" s="72"/>
    </row>
    <row r="860">
      <c r="A860" s="69"/>
      <c r="B860" s="8"/>
      <c r="E860" s="70"/>
      <c r="F860" s="70" t="str">
        <f t="array" ref="F860">IF(E860="","",IFERROR(_xlfn.XLOOKUP(E860,SyncCodex!N:N,SyncCodex!O:O),""))</f>
        <v/>
      </c>
      <c r="G860" s="71"/>
      <c r="H860" s="71" t="str">
        <f t="shared" si="1"/>
        <v/>
      </c>
      <c r="I860" s="8" t="b">
        <v>0</v>
      </c>
      <c r="J860" s="72"/>
      <c r="K860" s="72"/>
    </row>
    <row r="861">
      <c r="A861" s="69"/>
      <c r="B861" s="8"/>
      <c r="E861" s="70"/>
      <c r="F861" s="70" t="str">
        <f t="array" ref="F861">IF(E861="","",IFERROR(_xlfn.XLOOKUP(E861,SyncCodex!N:N,SyncCodex!O:O),""))</f>
        <v/>
      </c>
      <c r="G861" s="71"/>
      <c r="H861" s="71" t="str">
        <f t="shared" si="1"/>
        <v/>
      </c>
      <c r="I861" s="8" t="b">
        <v>0</v>
      </c>
      <c r="J861" s="72"/>
      <c r="K861" s="72"/>
    </row>
    <row r="862">
      <c r="A862" s="69"/>
      <c r="B862" s="8"/>
      <c r="E862" s="70"/>
      <c r="F862" s="70" t="str">
        <f t="array" ref="F862">IF(E862="","",IFERROR(_xlfn.XLOOKUP(E862,SyncCodex!N:N,SyncCodex!O:O),""))</f>
        <v/>
      </c>
      <c r="G862" s="71"/>
      <c r="H862" s="71" t="str">
        <f t="shared" si="1"/>
        <v/>
      </c>
      <c r="I862" s="8" t="b">
        <v>0</v>
      </c>
      <c r="J862" s="72"/>
      <c r="K862" s="72"/>
    </row>
    <row r="863">
      <c r="A863" s="69"/>
      <c r="B863" s="8"/>
      <c r="E863" s="70"/>
      <c r="F863" s="70" t="str">
        <f t="array" ref="F863">IF(E863="","",IFERROR(_xlfn.XLOOKUP(E863,SyncCodex!N:N,SyncCodex!O:O),""))</f>
        <v/>
      </c>
      <c r="G863" s="71"/>
      <c r="H863" s="71" t="str">
        <f t="shared" si="1"/>
        <v/>
      </c>
      <c r="I863" s="8" t="b">
        <v>0</v>
      </c>
      <c r="J863" s="72"/>
      <c r="K863" s="72"/>
    </row>
    <row r="864">
      <c r="A864" s="69"/>
      <c r="B864" s="8"/>
      <c r="E864" s="70"/>
      <c r="F864" s="70" t="str">
        <f t="array" ref="F864">IF(E864="","",IFERROR(_xlfn.XLOOKUP(E864,SyncCodex!N:N,SyncCodex!O:O),""))</f>
        <v/>
      </c>
      <c r="G864" s="71"/>
      <c r="H864" s="71" t="str">
        <f t="shared" si="1"/>
        <v/>
      </c>
      <c r="I864" s="8" t="b">
        <v>0</v>
      </c>
      <c r="J864" s="72"/>
      <c r="K864" s="72"/>
    </row>
    <row r="865">
      <c r="A865" s="69"/>
      <c r="B865" s="8"/>
      <c r="E865" s="70"/>
      <c r="F865" s="70" t="str">
        <f t="array" ref="F865">IF(E865="","",IFERROR(_xlfn.XLOOKUP(E865,SyncCodex!N:N,SyncCodex!O:O),""))</f>
        <v/>
      </c>
      <c r="G865" s="71"/>
      <c r="H865" s="71" t="str">
        <f t="shared" si="1"/>
        <v/>
      </c>
      <c r="I865" s="8" t="b">
        <v>0</v>
      </c>
      <c r="J865" s="72"/>
      <c r="K865" s="72"/>
    </row>
    <row r="866">
      <c r="A866" s="69"/>
      <c r="B866" s="8"/>
      <c r="E866" s="70"/>
      <c r="F866" s="70" t="str">
        <f t="array" ref="F866">IF(E866="","",IFERROR(_xlfn.XLOOKUP(E866,SyncCodex!N:N,SyncCodex!O:O),""))</f>
        <v/>
      </c>
      <c r="G866" s="71"/>
      <c r="H866" s="71" t="str">
        <f t="shared" si="1"/>
        <v/>
      </c>
      <c r="I866" s="8" t="b">
        <v>0</v>
      </c>
      <c r="J866" s="72"/>
      <c r="K866" s="72"/>
    </row>
    <row r="867">
      <c r="A867" s="69"/>
      <c r="B867" s="8"/>
      <c r="E867" s="70"/>
      <c r="F867" s="70" t="str">
        <f t="array" ref="F867">IF(E867="","",IFERROR(_xlfn.XLOOKUP(E867,SyncCodex!N:N,SyncCodex!O:O),""))</f>
        <v/>
      </c>
      <c r="G867" s="71"/>
      <c r="H867" s="71" t="str">
        <f t="shared" si="1"/>
        <v/>
      </c>
      <c r="I867" s="8" t="b">
        <v>0</v>
      </c>
      <c r="J867" s="72"/>
      <c r="K867" s="72"/>
    </row>
    <row r="868">
      <c r="A868" s="69"/>
      <c r="B868" s="8"/>
      <c r="E868" s="70"/>
      <c r="F868" s="70" t="str">
        <f t="array" ref="F868">IF(E868="","",IFERROR(_xlfn.XLOOKUP(E868,SyncCodex!N:N,SyncCodex!O:O),""))</f>
        <v/>
      </c>
      <c r="G868" s="71"/>
      <c r="H868" s="71" t="str">
        <f t="shared" si="1"/>
        <v/>
      </c>
      <c r="I868" s="8" t="b">
        <v>0</v>
      </c>
      <c r="J868" s="72"/>
      <c r="K868" s="72"/>
    </row>
    <row r="869">
      <c r="A869" s="69"/>
      <c r="B869" s="8"/>
      <c r="E869" s="70"/>
      <c r="F869" s="70" t="str">
        <f t="array" ref="F869">IF(E869="","",IFERROR(_xlfn.XLOOKUP(E869,SyncCodex!N:N,SyncCodex!O:O),""))</f>
        <v/>
      </c>
      <c r="G869" s="71"/>
      <c r="H869" s="71" t="str">
        <f t="shared" si="1"/>
        <v/>
      </c>
      <c r="I869" s="8" t="b">
        <v>0</v>
      </c>
      <c r="J869" s="72"/>
      <c r="K869" s="72"/>
    </row>
    <row r="870">
      <c r="A870" s="69"/>
      <c r="B870" s="8"/>
      <c r="E870" s="70"/>
      <c r="F870" s="70" t="str">
        <f t="array" ref="F870">IF(E870="","",IFERROR(_xlfn.XLOOKUP(E870,SyncCodex!N:N,SyncCodex!O:O),""))</f>
        <v/>
      </c>
      <c r="G870" s="71"/>
      <c r="H870" s="71" t="str">
        <f t="shared" si="1"/>
        <v/>
      </c>
      <c r="I870" s="8" t="b">
        <v>0</v>
      </c>
      <c r="J870" s="72"/>
      <c r="K870" s="72"/>
    </row>
    <row r="871">
      <c r="A871" s="69"/>
      <c r="B871" s="8"/>
      <c r="E871" s="70"/>
      <c r="F871" s="70" t="str">
        <f t="array" ref="F871">IF(E871="","",IFERROR(_xlfn.XLOOKUP(E871,SyncCodex!N:N,SyncCodex!O:O),""))</f>
        <v/>
      </c>
      <c r="G871" s="71"/>
      <c r="H871" s="71" t="str">
        <f t="shared" si="1"/>
        <v/>
      </c>
      <c r="I871" s="8" t="b">
        <v>0</v>
      </c>
      <c r="J871" s="72"/>
      <c r="K871" s="72"/>
    </row>
    <row r="872">
      <c r="A872" s="69"/>
      <c r="B872" s="8"/>
      <c r="E872" s="70"/>
      <c r="F872" s="70" t="str">
        <f t="array" ref="F872">IF(E872="","",IFERROR(_xlfn.XLOOKUP(E872,SyncCodex!N:N,SyncCodex!O:O),""))</f>
        <v/>
      </c>
      <c r="G872" s="71"/>
      <c r="H872" s="71" t="str">
        <f t="shared" si="1"/>
        <v/>
      </c>
      <c r="I872" s="8" t="b">
        <v>0</v>
      </c>
      <c r="J872" s="72"/>
      <c r="K872" s="72"/>
    </row>
    <row r="873">
      <c r="A873" s="69"/>
      <c r="B873" s="8"/>
      <c r="E873" s="70"/>
      <c r="F873" s="70" t="str">
        <f t="array" ref="F873">IF(E873="","",IFERROR(_xlfn.XLOOKUP(E873,SyncCodex!N:N,SyncCodex!O:O),""))</f>
        <v/>
      </c>
      <c r="G873" s="71"/>
      <c r="H873" s="71" t="str">
        <f t="shared" si="1"/>
        <v/>
      </c>
      <c r="I873" s="8" t="b">
        <v>0</v>
      </c>
      <c r="J873" s="72"/>
      <c r="K873" s="72"/>
    </row>
    <row r="874">
      <c r="A874" s="69"/>
      <c r="B874" s="8"/>
      <c r="E874" s="70"/>
      <c r="F874" s="70" t="str">
        <f t="array" ref="F874">IF(E874="","",IFERROR(_xlfn.XLOOKUP(E874,SyncCodex!N:N,SyncCodex!O:O),""))</f>
        <v/>
      </c>
      <c r="G874" s="71"/>
      <c r="H874" s="71" t="str">
        <f t="shared" si="1"/>
        <v/>
      </c>
      <c r="I874" s="8" t="b">
        <v>0</v>
      </c>
      <c r="J874" s="72"/>
      <c r="K874" s="72"/>
    </row>
    <row r="875">
      <c r="A875" s="69"/>
      <c r="B875" s="8"/>
      <c r="E875" s="70"/>
      <c r="F875" s="70" t="str">
        <f t="array" ref="F875">IF(E875="","",IFERROR(_xlfn.XLOOKUP(E875,SyncCodex!N:N,SyncCodex!O:O),""))</f>
        <v/>
      </c>
      <c r="G875" s="71"/>
      <c r="H875" s="71" t="str">
        <f t="shared" si="1"/>
        <v/>
      </c>
      <c r="I875" s="8" t="b">
        <v>0</v>
      </c>
      <c r="J875" s="72"/>
      <c r="K875" s="72"/>
    </row>
    <row r="876">
      <c r="A876" s="69"/>
      <c r="B876" s="8"/>
      <c r="E876" s="70"/>
      <c r="F876" s="70" t="str">
        <f t="array" ref="F876">IF(E876="","",IFERROR(_xlfn.XLOOKUP(E876,SyncCodex!N:N,SyncCodex!O:O),""))</f>
        <v/>
      </c>
      <c r="G876" s="71"/>
      <c r="H876" s="71" t="str">
        <f t="shared" si="1"/>
        <v/>
      </c>
      <c r="I876" s="8" t="b">
        <v>0</v>
      </c>
      <c r="J876" s="72"/>
      <c r="K876" s="72"/>
    </row>
    <row r="877">
      <c r="A877" s="69"/>
      <c r="B877" s="8"/>
      <c r="E877" s="70"/>
      <c r="F877" s="70" t="str">
        <f t="array" ref="F877">IF(E877="","",IFERROR(_xlfn.XLOOKUP(E877,SyncCodex!N:N,SyncCodex!O:O),""))</f>
        <v/>
      </c>
      <c r="G877" s="71"/>
      <c r="H877" s="71" t="str">
        <f t="shared" si="1"/>
        <v/>
      </c>
      <c r="I877" s="8" t="b">
        <v>0</v>
      </c>
      <c r="J877" s="72"/>
      <c r="K877" s="72"/>
    </row>
    <row r="878">
      <c r="A878" s="69"/>
      <c r="B878" s="8"/>
      <c r="E878" s="70"/>
      <c r="F878" s="70" t="str">
        <f t="array" ref="F878">IF(E878="","",IFERROR(_xlfn.XLOOKUP(E878,SyncCodex!N:N,SyncCodex!O:O),""))</f>
        <v/>
      </c>
      <c r="G878" s="71"/>
      <c r="H878" s="71" t="str">
        <f t="shared" si="1"/>
        <v/>
      </c>
      <c r="I878" s="8" t="b">
        <v>0</v>
      </c>
      <c r="J878" s="72"/>
      <c r="K878" s="72"/>
    </row>
    <row r="879">
      <c r="A879" s="69"/>
      <c r="B879" s="8"/>
      <c r="E879" s="70"/>
      <c r="F879" s="70" t="str">
        <f t="array" ref="F879">IF(E879="","",IFERROR(_xlfn.XLOOKUP(E879,SyncCodex!N:N,SyncCodex!O:O),""))</f>
        <v/>
      </c>
      <c r="G879" s="71"/>
      <c r="H879" s="71" t="str">
        <f t="shared" si="1"/>
        <v/>
      </c>
      <c r="I879" s="8" t="b">
        <v>0</v>
      </c>
      <c r="J879" s="72"/>
      <c r="K879" s="72"/>
    </row>
    <row r="880">
      <c r="A880" s="69"/>
      <c r="B880" s="8"/>
      <c r="E880" s="70"/>
      <c r="F880" s="70" t="str">
        <f t="array" ref="F880">IF(E880="","",IFERROR(_xlfn.XLOOKUP(E880,SyncCodex!N:N,SyncCodex!O:O),""))</f>
        <v/>
      </c>
      <c r="G880" s="71"/>
      <c r="H880" s="71" t="str">
        <f t="shared" si="1"/>
        <v/>
      </c>
      <c r="I880" s="8" t="b">
        <v>0</v>
      </c>
      <c r="J880" s="72"/>
      <c r="K880" s="72"/>
    </row>
    <row r="881">
      <c r="A881" s="69"/>
      <c r="B881" s="8"/>
      <c r="E881" s="70"/>
      <c r="F881" s="70" t="str">
        <f t="array" ref="F881">IF(E881="","",IFERROR(_xlfn.XLOOKUP(E881,SyncCodex!N:N,SyncCodex!O:O),""))</f>
        <v/>
      </c>
      <c r="G881" s="71"/>
      <c r="H881" s="71" t="str">
        <f t="shared" si="1"/>
        <v/>
      </c>
      <c r="I881" s="8" t="b">
        <v>0</v>
      </c>
      <c r="J881" s="72"/>
      <c r="K881" s="72"/>
    </row>
    <row r="882">
      <c r="A882" s="69"/>
      <c r="B882" s="8"/>
      <c r="E882" s="70"/>
      <c r="F882" s="70" t="str">
        <f t="array" ref="F882">IF(E882="","",IFERROR(_xlfn.XLOOKUP(E882,SyncCodex!N:N,SyncCodex!O:O),""))</f>
        <v/>
      </c>
      <c r="G882" s="71"/>
      <c r="H882" s="71" t="str">
        <f t="shared" si="1"/>
        <v/>
      </c>
      <c r="I882" s="8" t="b">
        <v>0</v>
      </c>
      <c r="J882" s="72"/>
      <c r="K882" s="72"/>
    </row>
    <row r="883">
      <c r="A883" s="69"/>
      <c r="B883" s="8"/>
      <c r="E883" s="70"/>
      <c r="F883" s="70" t="str">
        <f t="array" ref="F883">IF(E883="","",IFERROR(_xlfn.XLOOKUP(E883,SyncCodex!N:N,SyncCodex!O:O),""))</f>
        <v/>
      </c>
      <c r="G883" s="71"/>
      <c r="H883" s="71" t="str">
        <f t="shared" si="1"/>
        <v/>
      </c>
      <c r="I883" s="8" t="b">
        <v>0</v>
      </c>
      <c r="J883" s="72"/>
      <c r="K883" s="72"/>
    </row>
    <row r="884">
      <c r="A884" s="69"/>
      <c r="B884" s="8"/>
      <c r="E884" s="70"/>
      <c r="F884" s="70" t="str">
        <f t="array" ref="F884">IF(E884="","",IFERROR(_xlfn.XLOOKUP(E884,SyncCodex!N:N,SyncCodex!O:O),""))</f>
        <v/>
      </c>
      <c r="G884" s="71"/>
      <c r="H884" s="71" t="str">
        <f t="shared" si="1"/>
        <v/>
      </c>
      <c r="I884" s="8" t="b">
        <v>0</v>
      </c>
      <c r="J884" s="72"/>
      <c r="K884" s="72"/>
    </row>
    <row r="885">
      <c r="A885" s="69"/>
      <c r="B885" s="8"/>
      <c r="E885" s="70"/>
      <c r="F885" s="70" t="str">
        <f t="array" ref="F885">IF(E885="","",IFERROR(_xlfn.XLOOKUP(E885,SyncCodex!N:N,SyncCodex!O:O),""))</f>
        <v/>
      </c>
      <c r="G885" s="71"/>
      <c r="H885" s="71" t="str">
        <f t="shared" si="1"/>
        <v/>
      </c>
      <c r="I885" s="8" t="b">
        <v>0</v>
      </c>
      <c r="J885" s="72"/>
      <c r="K885" s="72"/>
    </row>
    <row r="886">
      <c r="A886" s="69"/>
      <c r="B886" s="8"/>
      <c r="E886" s="70"/>
      <c r="F886" s="70" t="str">
        <f t="array" ref="F886">IF(E886="","",IFERROR(_xlfn.XLOOKUP(E886,SyncCodex!N:N,SyncCodex!O:O),""))</f>
        <v/>
      </c>
      <c r="G886" s="71"/>
      <c r="H886" s="71" t="str">
        <f t="shared" si="1"/>
        <v/>
      </c>
      <c r="I886" s="8" t="b">
        <v>0</v>
      </c>
      <c r="J886" s="72"/>
      <c r="K886" s="72"/>
    </row>
    <row r="887">
      <c r="A887" s="69"/>
      <c r="B887" s="8"/>
      <c r="E887" s="70"/>
      <c r="F887" s="70" t="str">
        <f t="array" ref="F887">IF(E887="","",IFERROR(_xlfn.XLOOKUP(E887,SyncCodex!N:N,SyncCodex!O:O),""))</f>
        <v/>
      </c>
      <c r="G887" s="71"/>
      <c r="H887" s="71" t="str">
        <f t="shared" si="1"/>
        <v/>
      </c>
      <c r="I887" s="8" t="b">
        <v>0</v>
      </c>
      <c r="J887" s="72"/>
      <c r="K887" s="72"/>
    </row>
    <row r="888">
      <c r="A888" s="69"/>
      <c r="B888" s="8"/>
      <c r="E888" s="70"/>
      <c r="F888" s="70" t="str">
        <f t="array" ref="F888">IF(E888="","",IFERROR(_xlfn.XLOOKUP(E888,SyncCodex!N:N,SyncCodex!O:O),""))</f>
        <v/>
      </c>
      <c r="G888" s="71"/>
      <c r="H888" s="71" t="str">
        <f t="shared" si="1"/>
        <v/>
      </c>
      <c r="I888" s="8" t="b">
        <v>0</v>
      </c>
      <c r="J888" s="72"/>
      <c r="K888" s="72"/>
    </row>
    <row r="889">
      <c r="A889" s="69"/>
      <c r="B889" s="8"/>
      <c r="E889" s="70"/>
      <c r="F889" s="70" t="str">
        <f t="array" ref="F889">IF(E889="","",IFERROR(_xlfn.XLOOKUP(E889,SyncCodex!N:N,SyncCodex!O:O),""))</f>
        <v/>
      </c>
      <c r="G889" s="71"/>
      <c r="H889" s="71" t="str">
        <f t="shared" si="1"/>
        <v/>
      </c>
      <c r="I889" s="8" t="b">
        <v>0</v>
      </c>
      <c r="J889" s="72"/>
      <c r="K889" s="72"/>
    </row>
    <row r="890">
      <c r="A890" s="69"/>
      <c r="B890" s="8"/>
      <c r="E890" s="70"/>
      <c r="F890" s="70" t="str">
        <f t="array" ref="F890">IF(E890="","",IFERROR(_xlfn.XLOOKUP(E890,SyncCodex!N:N,SyncCodex!O:O),""))</f>
        <v/>
      </c>
      <c r="G890" s="71"/>
      <c r="H890" s="71" t="str">
        <f t="shared" si="1"/>
        <v/>
      </c>
      <c r="I890" s="8" t="b">
        <v>0</v>
      </c>
      <c r="J890" s="72"/>
      <c r="K890" s="72"/>
    </row>
    <row r="891">
      <c r="A891" s="69"/>
      <c r="B891" s="8"/>
      <c r="E891" s="70"/>
      <c r="F891" s="70" t="str">
        <f t="array" ref="F891">IF(E891="","",IFERROR(_xlfn.XLOOKUP(E891,SyncCodex!N:N,SyncCodex!O:O),""))</f>
        <v/>
      </c>
      <c r="G891" s="71"/>
      <c r="H891" s="71" t="str">
        <f t="shared" si="1"/>
        <v/>
      </c>
      <c r="I891" s="8" t="b">
        <v>0</v>
      </c>
      <c r="J891" s="72"/>
      <c r="K891" s="72"/>
    </row>
    <row r="892">
      <c r="A892" s="69"/>
      <c r="B892" s="8"/>
      <c r="E892" s="70"/>
      <c r="F892" s="70" t="str">
        <f t="array" ref="F892">IF(E892="","",IFERROR(_xlfn.XLOOKUP(E892,SyncCodex!N:N,SyncCodex!O:O),""))</f>
        <v/>
      </c>
      <c r="G892" s="71"/>
      <c r="H892" s="71" t="str">
        <f t="shared" si="1"/>
        <v/>
      </c>
      <c r="I892" s="8" t="b">
        <v>0</v>
      </c>
      <c r="J892" s="72"/>
      <c r="K892" s="72"/>
    </row>
    <row r="893">
      <c r="A893" s="69"/>
      <c r="B893" s="8"/>
      <c r="E893" s="70"/>
      <c r="F893" s="70" t="str">
        <f t="array" ref="F893">IF(E893="","",IFERROR(_xlfn.XLOOKUP(E893,SyncCodex!N:N,SyncCodex!O:O),""))</f>
        <v/>
      </c>
      <c r="G893" s="71"/>
      <c r="H893" s="71" t="str">
        <f t="shared" si="1"/>
        <v/>
      </c>
      <c r="I893" s="8" t="b">
        <v>0</v>
      </c>
      <c r="J893" s="72"/>
      <c r="K893" s="72"/>
    </row>
    <row r="894">
      <c r="A894" s="69"/>
      <c r="B894" s="8"/>
      <c r="E894" s="70"/>
      <c r="F894" s="70" t="str">
        <f t="array" ref="F894">IF(E894="","",IFERROR(_xlfn.XLOOKUP(E894,SyncCodex!N:N,SyncCodex!O:O),""))</f>
        <v/>
      </c>
      <c r="G894" s="71"/>
      <c r="H894" s="71" t="str">
        <f t="shared" si="1"/>
        <v/>
      </c>
      <c r="I894" s="8" t="b">
        <v>0</v>
      </c>
      <c r="J894" s="72"/>
      <c r="K894" s="72"/>
    </row>
    <row r="895">
      <c r="A895" s="69"/>
      <c r="B895" s="8"/>
      <c r="E895" s="70"/>
      <c r="F895" s="70" t="str">
        <f t="array" ref="F895">IF(E895="","",IFERROR(_xlfn.XLOOKUP(E895,SyncCodex!N:N,SyncCodex!O:O),""))</f>
        <v/>
      </c>
      <c r="G895" s="71"/>
      <c r="H895" s="71" t="str">
        <f t="shared" si="1"/>
        <v/>
      </c>
      <c r="I895" s="8" t="b">
        <v>0</v>
      </c>
      <c r="J895" s="72"/>
      <c r="K895" s="72"/>
    </row>
    <row r="896">
      <c r="A896" s="69"/>
      <c r="B896" s="8"/>
      <c r="E896" s="70"/>
      <c r="F896" s="70" t="str">
        <f t="array" ref="F896">IF(E896="","",IFERROR(_xlfn.XLOOKUP(E896,SyncCodex!N:N,SyncCodex!O:O),""))</f>
        <v/>
      </c>
      <c r="G896" s="71"/>
      <c r="H896" s="71" t="str">
        <f t="shared" si="1"/>
        <v/>
      </c>
      <c r="I896" s="8" t="b">
        <v>0</v>
      </c>
      <c r="J896" s="72"/>
      <c r="K896" s="72"/>
    </row>
    <row r="897">
      <c r="A897" s="69"/>
      <c r="B897" s="8"/>
      <c r="E897" s="70"/>
      <c r="F897" s="70" t="str">
        <f t="array" ref="F897">IF(E897="","",IFERROR(_xlfn.XLOOKUP(E897,SyncCodex!N:N,SyncCodex!O:O),""))</f>
        <v/>
      </c>
      <c r="G897" s="71"/>
      <c r="H897" s="71" t="str">
        <f t="shared" si="1"/>
        <v/>
      </c>
      <c r="I897" s="8" t="b">
        <v>0</v>
      </c>
      <c r="J897" s="72"/>
      <c r="K897" s="72"/>
    </row>
    <row r="898">
      <c r="A898" s="69"/>
      <c r="B898" s="8"/>
      <c r="E898" s="70"/>
      <c r="F898" s="70" t="str">
        <f t="array" ref="F898">IF(E898="","",IFERROR(_xlfn.XLOOKUP(E898,SyncCodex!N:N,SyncCodex!O:O),""))</f>
        <v/>
      </c>
      <c r="G898" s="71"/>
      <c r="H898" s="71" t="str">
        <f t="shared" si="1"/>
        <v/>
      </c>
      <c r="I898" s="8" t="b">
        <v>0</v>
      </c>
      <c r="J898" s="72"/>
      <c r="K898" s="72"/>
    </row>
    <row r="899">
      <c r="A899" s="69"/>
      <c r="B899" s="8"/>
      <c r="E899" s="70"/>
      <c r="F899" s="70" t="str">
        <f t="array" ref="F899">IF(E899="","",IFERROR(_xlfn.XLOOKUP(E899,SyncCodex!N:N,SyncCodex!O:O),""))</f>
        <v/>
      </c>
      <c r="G899" s="71"/>
      <c r="H899" s="71" t="str">
        <f t="shared" si="1"/>
        <v/>
      </c>
      <c r="I899" s="8" t="b">
        <v>0</v>
      </c>
      <c r="J899" s="72"/>
      <c r="K899" s="72"/>
    </row>
    <row r="900">
      <c r="A900" s="69"/>
      <c r="B900" s="8"/>
      <c r="E900" s="70"/>
      <c r="F900" s="70" t="str">
        <f t="array" ref="F900">IF(E900="","",IFERROR(_xlfn.XLOOKUP(E900,SyncCodex!N:N,SyncCodex!O:O),""))</f>
        <v/>
      </c>
      <c r="G900" s="71"/>
      <c r="H900" s="71" t="str">
        <f t="shared" si="1"/>
        <v/>
      </c>
      <c r="I900" s="8" t="b">
        <v>0</v>
      </c>
      <c r="J900" s="72"/>
      <c r="K900" s="72"/>
    </row>
    <row r="901">
      <c r="A901" s="69"/>
      <c r="B901" s="8"/>
      <c r="E901" s="70"/>
      <c r="F901" s="70" t="str">
        <f t="array" ref="F901">IF(E901="","",IFERROR(_xlfn.XLOOKUP(E901,SyncCodex!N:N,SyncCodex!O:O),""))</f>
        <v/>
      </c>
      <c r="G901" s="71"/>
      <c r="H901" s="71" t="str">
        <f t="shared" si="1"/>
        <v/>
      </c>
      <c r="I901" s="8" t="b">
        <v>0</v>
      </c>
      <c r="J901" s="72"/>
      <c r="K901" s="72"/>
    </row>
    <row r="902">
      <c r="A902" s="69"/>
      <c r="B902" s="8"/>
      <c r="E902" s="70"/>
      <c r="F902" s="70" t="str">
        <f t="array" ref="F902">IF(E902="","",IFERROR(_xlfn.XLOOKUP(E902,SyncCodex!N:N,SyncCodex!O:O),""))</f>
        <v/>
      </c>
      <c r="G902" s="71"/>
      <c r="H902" s="71" t="str">
        <f t="shared" si="1"/>
        <v/>
      </c>
      <c r="I902" s="8" t="b">
        <v>0</v>
      </c>
      <c r="J902" s="72"/>
      <c r="K902" s="72"/>
    </row>
    <row r="903">
      <c r="A903" s="69"/>
      <c r="B903" s="8"/>
      <c r="E903" s="70"/>
      <c r="F903" s="70" t="str">
        <f t="array" ref="F903">IF(E903="","",IFERROR(_xlfn.XLOOKUP(E903,SyncCodex!N:N,SyncCodex!O:O),""))</f>
        <v/>
      </c>
      <c r="G903" s="71"/>
      <c r="H903" s="71" t="str">
        <f t="shared" si="1"/>
        <v/>
      </c>
      <c r="I903" s="8" t="b">
        <v>0</v>
      </c>
      <c r="J903" s="72"/>
      <c r="K903" s="72"/>
    </row>
    <row r="904">
      <c r="A904" s="69"/>
      <c r="B904" s="8"/>
      <c r="E904" s="70"/>
      <c r="F904" s="70" t="str">
        <f t="array" ref="F904">IF(E904="","",IFERROR(_xlfn.XLOOKUP(E904,SyncCodex!N:N,SyncCodex!O:O),""))</f>
        <v/>
      </c>
      <c r="G904" s="71"/>
      <c r="H904" s="71" t="str">
        <f t="shared" si="1"/>
        <v/>
      </c>
      <c r="I904" s="8" t="b">
        <v>0</v>
      </c>
      <c r="J904" s="72"/>
      <c r="K904" s="72"/>
    </row>
    <row r="905">
      <c r="A905" s="69"/>
      <c r="B905" s="8"/>
      <c r="E905" s="70"/>
      <c r="F905" s="70" t="str">
        <f t="array" ref="F905">IF(E905="","",IFERROR(_xlfn.XLOOKUP(E905,SyncCodex!N:N,SyncCodex!O:O),""))</f>
        <v/>
      </c>
      <c r="G905" s="71"/>
      <c r="H905" s="71" t="str">
        <f t="shared" si="1"/>
        <v/>
      </c>
      <c r="I905" s="8" t="b">
        <v>0</v>
      </c>
      <c r="J905" s="72"/>
      <c r="K905" s="72"/>
    </row>
    <row r="906">
      <c r="A906" s="69"/>
      <c r="B906" s="8"/>
      <c r="E906" s="70"/>
      <c r="F906" s="70" t="str">
        <f t="array" ref="F906">IF(E906="","",IFERROR(_xlfn.XLOOKUP(E906,SyncCodex!N:N,SyncCodex!O:O),""))</f>
        <v/>
      </c>
      <c r="G906" s="71"/>
      <c r="H906" s="71" t="str">
        <f t="shared" si="1"/>
        <v/>
      </c>
      <c r="I906" s="8" t="b">
        <v>0</v>
      </c>
      <c r="J906" s="72"/>
      <c r="K906" s="72"/>
    </row>
    <row r="907">
      <c r="A907" s="69"/>
      <c r="B907" s="8"/>
      <c r="E907" s="70"/>
      <c r="F907" s="70" t="str">
        <f t="array" ref="F907">IF(E907="","",IFERROR(_xlfn.XLOOKUP(E907,SyncCodex!N:N,SyncCodex!O:O),""))</f>
        <v/>
      </c>
      <c r="G907" s="71"/>
      <c r="H907" s="71" t="str">
        <f t="shared" si="1"/>
        <v/>
      </c>
      <c r="I907" s="8" t="b">
        <v>0</v>
      </c>
      <c r="J907" s="72"/>
      <c r="K907" s="72"/>
    </row>
    <row r="908">
      <c r="A908" s="69"/>
      <c r="B908" s="8"/>
      <c r="E908" s="70"/>
      <c r="F908" s="70" t="str">
        <f t="array" ref="F908">IF(E908="","",IFERROR(_xlfn.XLOOKUP(E908,SyncCodex!N:N,SyncCodex!O:O),""))</f>
        <v/>
      </c>
      <c r="G908" s="71"/>
      <c r="H908" s="71" t="str">
        <f t="shared" si="1"/>
        <v/>
      </c>
      <c r="I908" s="8" t="b">
        <v>0</v>
      </c>
      <c r="J908" s="72"/>
      <c r="K908" s="72"/>
    </row>
    <row r="909">
      <c r="A909" s="69"/>
      <c r="B909" s="8"/>
      <c r="E909" s="70"/>
      <c r="F909" s="70" t="str">
        <f t="array" ref="F909">IF(E909="","",IFERROR(_xlfn.XLOOKUP(E909,SyncCodex!N:N,SyncCodex!O:O),""))</f>
        <v/>
      </c>
      <c r="G909" s="71"/>
      <c r="H909" s="71" t="str">
        <f t="shared" si="1"/>
        <v/>
      </c>
      <c r="I909" s="8" t="b">
        <v>0</v>
      </c>
      <c r="J909" s="72"/>
      <c r="K909" s="72"/>
    </row>
    <row r="910">
      <c r="A910" s="69"/>
      <c r="B910" s="8"/>
      <c r="E910" s="70"/>
      <c r="F910" s="70" t="str">
        <f t="array" ref="F910">IF(E910="","",IFERROR(_xlfn.XLOOKUP(E910,SyncCodex!N:N,SyncCodex!O:O),""))</f>
        <v/>
      </c>
      <c r="G910" s="71"/>
      <c r="H910" s="71" t="str">
        <f t="shared" si="1"/>
        <v/>
      </c>
      <c r="I910" s="8" t="b">
        <v>0</v>
      </c>
      <c r="J910" s="72"/>
      <c r="K910" s="72"/>
    </row>
    <row r="911">
      <c r="A911" s="69"/>
      <c r="B911" s="8"/>
      <c r="E911" s="70"/>
      <c r="F911" s="70" t="str">
        <f t="array" ref="F911">IF(E911="","",IFERROR(_xlfn.XLOOKUP(E911,SyncCodex!N:N,SyncCodex!O:O),""))</f>
        <v/>
      </c>
      <c r="G911" s="71"/>
      <c r="H911" s="71" t="str">
        <f t="shared" si="1"/>
        <v/>
      </c>
      <c r="I911" s="8" t="b">
        <v>0</v>
      </c>
      <c r="J911" s="72"/>
      <c r="K911" s="72"/>
    </row>
    <row r="912">
      <c r="A912" s="69"/>
      <c r="B912" s="8"/>
      <c r="E912" s="70"/>
      <c r="F912" s="70" t="str">
        <f t="array" ref="F912">IF(E912="","",IFERROR(_xlfn.XLOOKUP(E912,SyncCodex!N:N,SyncCodex!O:O),""))</f>
        <v/>
      </c>
      <c r="G912" s="71"/>
      <c r="H912" s="71" t="str">
        <f t="shared" si="1"/>
        <v/>
      </c>
      <c r="I912" s="8" t="b">
        <v>0</v>
      </c>
      <c r="J912" s="72"/>
      <c r="K912" s="72"/>
    </row>
    <row r="913">
      <c r="A913" s="69"/>
      <c r="B913" s="8"/>
      <c r="E913" s="70"/>
      <c r="F913" s="70" t="str">
        <f t="array" ref="F913">IF(E913="","",IFERROR(_xlfn.XLOOKUP(E913,SyncCodex!N:N,SyncCodex!O:O),""))</f>
        <v/>
      </c>
      <c r="G913" s="71"/>
      <c r="H913" s="71" t="str">
        <f t="shared" si="1"/>
        <v/>
      </c>
      <c r="I913" s="8" t="b">
        <v>0</v>
      </c>
      <c r="J913" s="72"/>
      <c r="K913" s="72"/>
    </row>
    <row r="914">
      <c r="A914" s="69"/>
      <c r="B914" s="8"/>
      <c r="E914" s="70"/>
      <c r="F914" s="70" t="str">
        <f t="array" ref="F914">IF(E914="","",IFERROR(_xlfn.XLOOKUP(E914,SyncCodex!N:N,SyncCodex!O:O),""))</f>
        <v/>
      </c>
      <c r="G914" s="71"/>
      <c r="H914" s="71" t="str">
        <f t="shared" si="1"/>
        <v/>
      </c>
      <c r="I914" s="8" t="b">
        <v>0</v>
      </c>
      <c r="J914" s="72"/>
      <c r="K914" s="72"/>
    </row>
    <row r="915">
      <c r="A915" s="69"/>
      <c r="B915" s="8"/>
      <c r="E915" s="70"/>
      <c r="F915" s="70" t="str">
        <f t="array" ref="F915">IF(E915="","",IFERROR(_xlfn.XLOOKUP(E915,SyncCodex!N:N,SyncCodex!O:O),""))</f>
        <v/>
      </c>
      <c r="G915" s="71"/>
      <c r="H915" s="71" t="str">
        <f t="shared" si="1"/>
        <v/>
      </c>
      <c r="I915" s="8" t="b">
        <v>0</v>
      </c>
      <c r="J915" s="72"/>
      <c r="K915" s="72"/>
    </row>
    <row r="916">
      <c r="A916" s="69"/>
      <c r="B916" s="8"/>
      <c r="E916" s="70"/>
      <c r="F916" s="70" t="str">
        <f t="array" ref="F916">IF(E916="","",IFERROR(_xlfn.XLOOKUP(E916,SyncCodex!N:N,SyncCodex!O:O),""))</f>
        <v/>
      </c>
      <c r="G916" s="71"/>
      <c r="H916" s="71" t="str">
        <f t="shared" si="1"/>
        <v/>
      </c>
      <c r="I916" s="8" t="b">
        <v>0</v>
      </c>
      <c r="J916" s="72"/>
      <c r="K916" s="72"/>
    </row>
    <row r="917">
      <c r="A917" s="69"/>
      <c r="B917" s="8"/>
      <c r="E917" s="70"/>
      <c r="F917" s="70" t="str">
        <f t="array" ref="F917">IF(E917="","",IFERROR(_xlfn.XLOOKUP(E917,SyncCodex!N:N,SyncCodex!O:O),""))</f>
        <v/>
      </c>
      <c r="G917" s="71"/>
      <c r="H917" s="71" t="str">
        <f t="shared" si="1"/>
        <v/>
      </c>
      <c r="I917" s="8" t="b">
        <v>0</v>
      </c>
      <c r="J917" s="72"/>
      <c r="K917" s="72"/>
    </row>
    <row r="918">
      <c r="A918" s="69"/>
      <c r="B918" s="8"/>
      <c r="E918" s="70"/>
      <c r="F918" s="70" t="str">
        <f t="array" ref="F918">IF(E918="","",IFERROR(_xlfn.XLOOKUP(E918,SyncCodex!N:N,SyncCodex!O:O),""))</f>
        <v/>
      </c>
      <c r="G918" s="71"/>
      <c r="H918" s="71" t="str">
        <f t="shared" si="1"/>
        <v/>
      </c>
      <c r="I918" s="8" t="b">
        <v>0</v>
      </c>
      <c r="J918" s="72"/>
      <c r="K918" s="72"/>
    </row>
    <row r="919">
      <c r="A919" s="69"/>
      <c r="B919" s="8"/>
      <c r="E919" s="70"/>
      <c r="F919" s="70" t="str">
        <f t="array" ref="F919">IF(E919="","",IFERROR(_xlfn.XLOOKUP(E919,SyncCodex!N:N,SyncCodex!O:O),""))</f>
        <v/>
      </c>
      <c r="G919" s="71"/>
      <c r="H919" s="71" t="str">
        <f t="shared" si="1"/>
        <v/>
      </c>
      <c r="I919" s="8" t="b">
        <v>0</v>
      </c>
      <c r="J919" s="72"/>
      <c r="K919" s="72"/>
    </row>
    <row r="920">
      <c r="A920" s="69"/>
      <c r="B920" s="8"/>
      <c r="E920" s="70"/>
      <c r="F920" s="70" t="str">
        <f t="array" ref="F920">IF(E920="","",IFERROR(_xlfn.XLOOKUP(E920,SyncCodex!N:N,SyncCodex!O:O),""))</f>
        <v/>
      </c>
      <c r="G920" s="71"/>
      <c r="H920" s="71" t="str">
        <f t="shared" si="1"/>
        <v/>
      </c>
      <c r="I920" s="8" t="b">
        <v>0</v>
      </c>
      <c r="J920" s="72"/>
      <c r="K920" s="72"/>
    </row>
    <row r="921">
      <c r="A921" s="69"/>
      <c r="B921" s="8"/>
      <c r="E921" s="70"/>
      <c r="F921" s="70" t="str">
        <f t="array" ref="F921">IF(E921="","",IFERROR(_xlfn.XLOOKUP(E921,SyncCodex!N:N,SyncCodex!O:O),""))</f>
        <v/>
      </c>
      <c r="G921" s="71"/>
      <c r="H921" s="71" t="str">
        <f t="shared" si="1"/>
        <v/>
      </c>
      <c r="I921" s="8" t="b">
        <v>0</v>
      </c>
      <c r="J921" s="72"/>
      <c r="K921" s="72"/>
    </row>
    <row r="922">
      <c r="A922" s="69"/>
      <c r="B922" s="8"/>
      <c r="E922" s="70"/>
      <c r="F922" s="70" t="str">
        <f t="array" ref="F922">IF(E922="","",IFERROR(_xlfn.XLOOKUP(E922,SyncCodex!N:N,SyncCodex!O:O),""))</f>
        <v/>
      </c>
      <c r="G922" s="71"/>
      <c r="H922" s="71" t="str">
        <f t="shared" si="1"/>
        <v/>
      </c>
      <c r="I922" s="8" t="b">
        <v>0</v>
      </c>
      <c r="J922" s="72"/>
      <c r="K922" s="72"/>
    </row>
    <row r="923">
      <c r="A923" s="69"/>
      <c r="B923" s="8"/>
      <c r="E923" s="70"/>
      <c r="F923" s="70" t="str">
        <f t="array" ref="F923">IF(E923="","",IFERROR(_xlfn.XLOOKUP(E923,SyncCodex!N:N,SyncCodex!O:O),""))</f>
        <v/>
      </c>
      <c r="G923" s="71"/>
      <c r="H923" s="71" t="str">
        <f t="shared" si="1"/>
        <v/>
      </c>
      <c r="I923" s="8" t="b">
        <v>0</v>
      </c>
      <c r="J923" s="72"/>
      <c r="K923" s="72"/>
    </row>
    <row r="924">
      <c r="A924" s="69"/>
      <c r="B924" s="8"/>
      <c r="E924" s="70"/>
      <c r="F924" s="70" t="str">
        <f t="array" ref="F924">IF(E924="","",IFERROR(_xlfn.XLOOKUP(E924,SyncCodex!N:N,SyncCodex!O:O),""))</f>
        <v/>
      </c>
      <c r="G924" s="71"/>
      <c r="H924" s="71" t="str">
        <f t="shared" si="1"/>
        <v/>
      </c>
      <c r="I924" s="8" t="b">
        <v>0</v>
      </c>
      <c r="J924" s="72"/>
      <c r="K924" s="72"/>
    </row>
    <row r="925">
      <c r="A925" s="69"/>
      <c r="B925" s="8"/>
      <c r="E925" s="70"/>
      <c r="F925" s="70" t="str">
        <f t="array" ref="F925">IF(E925="","",IFERROR(_xlfn.XLOOKUP(E925,SyncCodex!N:N,SyncCodex!O:O),""))</f>
        <v/>
      </c>
      <c r="G925" s="71"/>
      <c r="H925" s="71" t="str">
        <f t="shared" si="1"/>
        <v/>
      </c>
      <c r="I925" s="8" t="b">
        <v>0</v>
      </c>
      <c r="J925" s="72"/>
      <c r="K925" s="72"/>
    </row>
    <row r="926">
      <c r="A926" s="69"/>
      <c r="B926" s="8"/>
      <c r="E926" s="70"/>
      <c r="F926" s="70" t="str">
        <f t="array" ref="F926">IF(E926="","",IFERROR(_xlfn.XLOOKUP(E926,SyncCodex!N:N,SyncCodex!O:O),""))</f>
        <v/>
      </c>
      <c r="G926" s="71"/>
      <c r="H926" s="71" t="str">
        <f t="shared" si="1"/>
        <v/>
      </c>
      <c r="I926" s="8" t="b">
        <v>0</v>
      </c>
      <c r="J926" s="72"/>
      <c r="K926" s="72"/>
    </row>
    <row r="927">
      <c r="A927" s="69"/>
      <c r="B927" s="8"/>
      <c r="E927" s="70"/>
      <c r="F927" s="70" t="str">
        <f t="array" ref="F927">IF(E927="","",IFERROR(_xlfn.XLOOKUP(E927,SyncCodex!N:N,SyncCodex!O:O),""))</f>
        <v/>
      </c>
      <c r="G927" s="71"/>
      <c r="H927" s="71" t="str">
        <f t="shared" si="1"/>
        <v/>
      </c>
      <c r="I927" s="8" t="b">
        <v>0</v>
      </c>
      <c r="J927" s="72"/>
      <c r="K927" s="72"/>
    </row>
    <row r="928">
      <c r="A928" s="69"/>
      <c r="B928" s="8"/>
      <c r="E928" s="70"/>
      <c r="F928" s="70" t="str">
        <f t="array" ref="F928">IF(E928="","",IFERROR(_xlfn.XLOOKUP(E928,SyncCodex!N:N,SyncCodex!O:O),""))</f>
        <v/>
      </c>
      <c r="G928" s="71"/>
      <c r="H928" s="71" t="str">
        <f t="shared" si="1"/>
        <v/>
      </c>
      <c r="I928" s="8" t="b">
        <v>0</v>
      </c>
      <c r="J928" s="72"/>
      <c r="K928" s="72"/>
    </row>
    <row r="929">
      <c r="A929" s="69"/>
      <c r="B929" s="8"/>
      <c r="E929" s="70"/>
      <c r="F929" s="70" t="str">
        <f t="array" ref="F929">IF(E929="","",IFERROR(_xlfn.XLOOKUP(E929,SyncCodex!N:N,SyncCodex!O:O),""))</f>
        <v/>
      </c>
      <c r="G929" s="71"/>
      <c r="H929" s="71" t="str">
        <f t="shared" si="1"/>
        <v/>
      </c>
      <c r="I929" s="8" t="b">
        <v>0</v>
      </c>
      <c r="J929" s="72"/>
      <c r="K929" s="72"/>
    </row>
    <row r="930">
      <c r="A930" s="69"/>
      <c r="B930" s="8"/>
      <c r="E930" s="70"/>
      <c r="F930" s="70" t="str">
        <f t="array" ref="F930">IF(E930="","",IFERROR(_xlfn.XLOOKUP(E930,SyncCodex!N:N,SyncCodex!O:O),""))</f>
        <v/>
      </c>
      <c r="G930" s="71"/>
      <c r="H930" s="71" t="str">
        <f t="shared" si="1"/>
        <v/>
      </c>
      <c r="I930" s="8" t="b">
        <v>0</v>
      </c>
      <c r="J930" s="72"/>
      <c r="K930" s="72"/>
    </row>
    <row r="931">
      <c r="A931" s="69"/>
      <c r="B931" s="8"/>
      <c r="E931" s="70"/>
      <c r="F931" s="70" t="str">
        <f t="array" ref="F931">IF(E931="","",IFERROR(_xlfn.XLOOKUP(E931,SyncCodex!N:N,SyncCodex!O:O),""))</f>
        <v/>
      </c>
      <c r="G931" s="71"/>
      <c r="H931" s="71" t="str">
        <f t="shared" si="1"/>
        <v/>
      </c>
      <c r="I931" s="8" t="b">
        <v>0</v>
      </c>
      <c r="J931" s="72"/>
      <c r="K931" s="72"/>
    </row>
    <row r="932">
      <c r="A932" s="69"/>
      <c r="B932" s="8"/>
      <c r="E932" s="70"/>
      <c r="F932" s="70" t="str">
        <f t="array" ref="F932">IF(E932="","",IFERROR(_xlfn.XLOOKUP(E932,SyncCodex!N:N,SyncCodex!O:O),""))</f>
        <v/>
      </c>
      <c r="G932" s="71"/>
      <c r="H932" s="71" t="str">
        <f t="shared" si="1"/>
        <v/>
      </c>
      <c r="I932" s="8" t="b">
        <v>0</v>
      </c>
      <c r="J932" s="72"/>
      <c r="K932" s="72"/>
    </row>
    <row r="933">
      <c r="A933" s="69"/>
      <c r="B933" s="8"/>
      <c r="E933" s="70"/>
      <c r="F933" s="70" t="str">
        <f t="array" ref="F933">IF(E933="","",IFERROR(_xlfn.XLOOKUP(E933,SyncCodex!N:N,SyncCodex!O:O),""))</f>
        <v/>
      </c>
      <c r="G933" s="71"/>
      <c r="H933" s="71" t="str">
        <f t="shared" si="1"/>
        <v/>
      </c>
      <c r="I933" s="8" t="b">
        <v>0</v>
      </c>
      <c r="J933" s="72"/>
      <c r="K933" s="72"/>
    </row>
    <row r="934">
      <c r="A934" s="69"/>
      <c r="B934" s="8"/>
      <c r="E934" s="70"/>
      <c r="F934" s="70" t="str">
        <f t="array" ref="F934">IF(E934="","",IFERROR(_xlfn.XLOOKUP(E934,SyncCodex!N:N,SyncCodex!O:O),""))</f>
        <v/>
      </c>
      <c r="G934" s="71"/>
      <c r="H934" s="71" t="str">
        <f t="shared" si="1"/>
        <v/>
      </c>
      <c r="I934" s="8" t="b">
        <v>0</v>
      </c>
      <c r="J934" s="72"/>
      <c r="K934" s="72"/>
    </row>
    <row r="935">
      <c r="A935" s="69"/>
      <c r="B935" s="8"/>
      <c r="E935" s="70"/>
      <c r="F935" s="70" t="str">
        <f t="array" ref="F935">IF(E935="","",IFERROR(_xlfn.XLOOKUP(E935,SyncCodex!N:N,SyncCodex!O:O),""))</f>
        <v/>
      </c>
      <c r="G935" s="71"/>
      <c r="H935" s="71" t="str">
        <f t="shared" si="1"/>
        <v/>
      </c>
      <c r="I935" s="8" t="b">
        <v>0</v>
      </c>
      <c r="J935" s="72"/>
      <c r="K935" s="72"/>
    </row>
    <row r="936">
      <c r="A936" s="69"/>
      <c r="B936" s="8"/>
      <c r="E936" s="70"/>
      <c r="F936" s="70" t="str">
        <f t="array" ref="F936">IF(E936="","",IFERROR(_xlfn.XLOOKUP(E936,SyncCodex!N:N,SyncCodex!O:O),""))</f>
        <v/>
      </c>
      <c r="G936" s="71"/>
      <c r="H936" s="71" t="str">
        <f t="shared" si="1"/>
        <v/>
      </c>
      <c r="I936" s="8" t="b">
        <v>0</v>
      </c>
      <c r="J936" s="72"/>
      <c r="K936" s="72"/>
    </row>
    <row r="937">
      <c r="A937" s="69"/>
      <c r="B937" s="8"/>
      <c r="E937" s="70"/>
      <c r="F937" s="70" t="str">
        <f t="array" ref="F937">IF(E937="","",IFERROR(_xlfn.XLOOKUP(E937,SyncCodex!N:N,SyncCodex!O:O),""))</f>
        <v/>
      </c>
      <c r="G937" s="71"/>
      <c r="H937" s="71" t="str">
        <f t="shared" si="1"/>
        <v/>
      </c>
      <c r="I937" s="8" t="b">
        <v>0</v>
      </c>
      <c r="J937" s="72"/>
      <c r="K937" s="72"/>
    </row>
    <row r="938">
      <c r="A938" s="69"/>
      <c r="B938" s="8"/>
      <c r="E938" s="70"/>
      <c r="F938" s="70" t="str">
        <f t="array" ref="F938">IF(E938="","",IFERROR(_xlfn.XLOOKUP(E938,SyncCodex!N:N,SyncCodex!O:O),""))</f>
        <v/>
      </c>
      <c r="G938" s="71"/>
      <c r="H938" s="71" t="str">
        <f t="shared" si="1"/>
        <v/>
      </c>
      <c r="I938" s="8" t="b">
        <v>0</v>
      </c>
      <c r="J938" s="72"/>
      <c r="K938" s="72"/>
    </row>
    <row r="939">
      <c r="A939" s="69"/>
      <c r="B939" s="8"/>
      <c r="E939" s="70"/>
      <c r="F939" s="70" t="str">
        <f t="array" ref="F939">IF(E939="","",IFERROR(_xlfn.XLOOKUP(E939,SyncCodex!N:N,SyncCodex!O:O),""))</f>
        <v/>
      </c>
      <c r="G939" s="71"/>
      <c r="H939" s="71" t="str">
        <f t="shared" si="1"/>
        <v/>
      </c>
      <c r="I939" s="8" t="b">
        <v>0</v>
      </c>
      <c r="J939" s="72"/>
      <c r="K939" s="72"/>
    </row>
    <row r="940">
      <c r="A940" s="69"/>
      <c r="B940" s="8"/>
      <c r="E940" s="70"/>
      <c r="F940" s="70" t="str">
        <f t="array" ref="F940">IF(E940="","",IFERROR(_xlfn.XLOOKUP(E940,SyncCodex!N:N,SyncCodex!O:O),""))</f>
        <v/>
      </c>
      <c r="G940" s="71"/>
      <c r="H940" s="71" t="str">
        <f t="shared" si="1"/>
        <v/>
      </c>
      <c r="I940" s="8" t="b">
        <v>0</v>
      </c>
      <c r="J940" s="72"/>
      <c r="K940" s="72"/>
    </row>
    <row r="941">
      <c r="A941" s="69"/>
      <c r="B941" s="8"/>
      <c r="E941" s="70"/>
      <c r="F941" s="70" t="str">
        <f t="array" ref="F941">IF(E941="","",IFERROR(_xlfn.XLOOKUP(E941,SyncCodex!N:N,SyncCodex!O:O),""))</f>
        <v/>
      </c>
      <c r="G941" s="71"/>
      <c r="H941" s="71" t="str">
        <f t="shared" si="1"/>
        <v/>
      </c>
      <c r="I941" s="8" t="b">
        <v>0</v>
      </c>
      <c r="J941" s="72"/>
      <c r="K941" s="72"/>
    </row>
    <row r="942">
      <c r="A942" s="69"/>
      <c r="B942" s="8"/>
      <c r="E942" s="70"/>
      <c r="F942" s="70" t="str">
        <f t="array" ref="F942">IF(E942="","",IFERROR(_xlfn.XLOOKUP(E942,SyncCodex!N:N,SyncCodex!O:O),""))</f>
        <v/>
      </c>
      <c r="G942" s="71"/>
      <c r="H942" s="71" t="str">
        <f t="shared" si="1"/>
        <v/>
      </c>
      <c r="I942" s="8" t="b">
        <v>0</v>
      </c>
      <c r="J942" s="72"/>
      <c r="K942" s="72"/>
    </row>
    <row r="943">
      <c r="A943" s="69"/>
      <c r="B943" s="8"/>
      <c r="E943" s="70"/>
      <c r="F943" s="70" t="str">
        <f t="array" ref="F943">IF(E943="","",IFERROR(_xlfn.XLOOKUP(E943,SyncCodex!N:N,SyncCodex!O:O),""))</f>
        <v/>
      </c>
      <c r="G943" s="71"/>
      <c r="H943" s="71" t="str">
        <f t="shared" si="1"/>
        <v/>
      </c>
      <c r="I943" s="8" t="b">
        <v>0</v>
      </c>
      <c r="J943" s="72"/>
      <c r="K943" s="72"/>
    </row>
    <row r="944">
      <c r="A944" s="69"/>
      <c r="B944" s="8"/>
      <c r="E944" s="70"/>
      <c r="F944" s="70" t="str">
        <f t="array" ref="F944">IF(E944="","",IFERROR(_xlfn.XLOOKUP(E944,SyncCodex!N:N,SyncCodex!O:O),""))</f>
        <v/>
      </c>
      <c r="G944" s="71"/>
      <c r="H944" s="71" t="str">
        <f t="shared" si="1"/>
        <v/>
      </c>
      <c r="I944" s="8" t="b">
        <v>0</v>
      </c>
      <c r="J944" s="72"/>
      <c r="K944" s="72"/>
    </row>
    <row r="945">
      <c r="A945" s="69"/>
      <c r="B945" s="8"/>
      <c r="E945" s="70"/>
      <c r="F945" s="70" t="str">
        <f t="array" ref="F945">IF(E945="","",IFERROR(_xlfn.XLOOKUP(E945,SyncCodex!N:N,SyncCodex!O:O),""))</f>
        <v/>
      </c>
      <c r="G945" s="71"/>
      <c r="H945" s="71" t="str">
        <f t="shared" si="1"/>
        <v/>
      </c>
      <c r="I945" s="8" t="b">
        <v>0</v>
      </c>
      <c r="J945" s="72"/>
      <c r="K945" s="72"/>
    </row>
    <row r="946">
      <c r="A946" s="69"/>
      <c r="B946" s="8"/>
      <c r="E946" s="70"/>
      <c r="F946" s="70" t="str">
        <f t="array" ref="F946">IF(E946="","",IFERROR(_xlfn.XLOOKUP(E946,SyncCodex!N:N,SyncCodex!O:O),""))</f>
        <v/>
      </c>
      <c r="G946" s="71"/>
      <c r="H946" s="71" t="str">
        <f t="shared" si="1"/>
        <v/>
      </c>
      <c r="I946" s="8" t="b">
        <v>0</v>
      </c>
      <c r="J946" s="72"/>
      <c r="K946" s="72"/>
    </row>
    <row r="947">
      <c r="A947" s="69"/>
      <c r="B947" s="8"/>
      <c r="E947" s="70"/>
      <c r="F947" s="70" t="str">
        <f t="array" ref="F947">IF(E947="","",IFERROR(_xlfn.XLOOKUP(E947,SyncCodex!N:N,SyncCodex!O:O),""))</f>
        <v/>
      </c>
      <c r="G947" s="71"/>
      <c r="H947" s="71" t="str">
        <f t="shared" si="1"/>
        <v/>
      </c>
      <c r="I947" s="8" t="b">
        <v>0</v>
      </c>
      <c r="J947" s="72"/>
      <c r="K947" s="72"/>
    </row>
    <row r="948">
      <c r="A948" s="69"/>
      <c r="B948" s="8"/>
      <c r="E948" s="70"/>
      <c r="F948" s="70" t="str">
        <f t="array" ref="F948">IF(E948="","",IFERROR(_xlfn.XLOOKUP(E948,SyncCodex!N:N,SyncCodex!O:O),""))</f>
        <v/>
      </c>
      <c r="G948" s="71"/>
      <c r="H948" s="71" t="str">
        <f t="shared" si="1"/>
        <v/>
      </c>
      <c r="I948" s="8" t="b">
        <v>0</v>
      </c>
      <c r="J948" s="72"/>
      <c r="K948" s="72"/>
    </row>
    <row r="949">
      <c r="A949" s="69"/>
      <c r="B949" s="8"/>
      <c r="E949" s="70"/>
      <c r="F949" s="70" t="str">
        <f t="array" ref="F949">IF(E949="","",IFERROR(_xlfn.XLOOKUP(E949,SyncCodex!N:N,SyncCodex!O:O),""))</f>
        <v/>
      </c>
      <c r="G949" s="71"/>
      <c r="H949" s="71" t="str">
        <f t="shared" si="1"/>
        <v/>
      </c>
      <c r="I949" s="8" t="b">
        <v>0</v>
      </c>
      <c r="J949" s="72"/>
      <c r="K949" s="72"/>
    </row>
    <row r="950">
      <c r="A950" s="69"/>
      <c r="B950" s="8"/>
      <c r="E950" s="70"/>
      <c r="F950" s="70" t="str">
        <f t="array" ref="F950">IF(E950="","",IFERROR(_xlfn.XLOOKUP(E950,SyncCodex!N:N,SyncCodex!O:O),""))</f>
        <v/>
      </c>
      <c r="G950" s="71"/>
      <c r="H950" s="71" t="str">
        <f t="shared" si="1"/>
        <v/>
      </c>
      <c r="I950" s="8" t="b">
        <v>0</v>
      </c>
      <c r="J950" s="72"/>
      <c r="K950" s="72"/>
    </row>
    <row r="951">
      <c r="A951" s="69"/>
      <c r="B951" s="8"/>
      <c r="E951" s="70"/>
      <c r="F951" s="70" t="str">
        <f t="array" ref="F951">IF(E951="","",IFERROR(_xlfn.XLOOKUP(E951,SyncCodex!N:N,SyncCodex!O:O),""))</f>
        <v/>
      </c>
      <c r="G951" s="71"/>
      <c r="H951" s="71" t="str">
        <f t="shared" si="1"/>
        <v/>
      </c>
      <c r="I951" s="8" t="b">
        <v>0</v>
      </c>
      <c r="J951" s="72"/>
      <c r="K951" s="72"/>
    </row>
    <row r="952">
      <c r="A952" s="69"/>
      <c r="B952" s="8"/>
      <c r="E952" s="70"/>
      <c r="F952" s="70" t="str">
        <f t="array" ref="F952">IF(E952="","",IFERROR(_xlfn.XLOOKUP(E952,SyncCodex!N:N,SyncCodex!O:O),""))</f>
        <v/>
      </c>
      <c r="G952" s="71"/>
      <c r="H952" s="71" t="str">
        <f t="shared" si="1"/>
        <v/>
      </c>
      <c r="I952" s="8" t="b">
        <v>0</v>
      </c>
      <c r="J952" s="72"/>
      <c r="K952" s="72"/>
    </row>
    <row r="953">
      <c r="A953" s="69"/>
      <c r="B953" s="8"/>
      <c r="E953" s="70"/>
      <c r="F953" s="70" t="str">
        <f t="array" ref="F953">IF(E953="","",IFERROR(_xlfn.XLOOKUP(E953,SyncCodex!N:N,SyncCodex!O:O),""))</f>
        <v/>
      </c>
      <c r="G953" s="71"/>
      <c r="H953" s="71" t="str">
        <f t="shared" si="1"/>
        <v/>
      </c>
      <c r="I953" s="8" t="b">
        <v>0</v>
      </c>
      <c r="J953" s="72"/>
      <c r="K953" s="72"/>
    </row>
    <row r="954">
      <c r="A954" s="69"/>
      <c r="B954" s="8"/>
      <c r="E954" s="70"/>
      <c r="F954" s="70" t="str">
        <f t="array" ref="F954">IF(E954="","",IFERROR(_xlfn.XLOOKUP(E954,SyncCodex!N:N,SyncCodex!O:O),""))</f>
        <v/>
      </c>
      <c r="G954" s="71"/>
      <c r="H954" s="71" t="str">
        <f t="shared" si="1"/>
        <v/>
      </c>
      <c r="I954" s="8" t="b">
        <v>0</v>
      </c>
      <c r="J954" s="72"/>
      <c r="K954" s="72"/>
    </row>
    <row r="955">
      <c r="A955" s="69"/>
      <c r="B955" s="8"/>
      <c r="E955" s="70"/>
      <c r="F955" s="70" t="str">
        <f t="array" ref="F955">IF(E955="","",IFERROR(_xlfn.XLOOKUP(E955,SyncCodex!N:N,SyncCodex!O:O),""))</f>
        <v/>
      </c>
      <c r="G955" s="71"/>
      <c r="H955" s="71" t="str">
        <f t="shared" si="1"/>
        <v/>
      </c>
      <c r="I955" s="8" t="b">
        <v>0</v>
      </c>
      <c r="J955" s="72"/>
      <c r="K955" s="72"/>
    </row>
    <row r="956">
      <c r="A956" s="69"/>
      <c r="B956" s="8"/>
      <c r="E956" s="70"/>
      <c r="F956" s="70" t="str">
        <f t="array" ref="F956">IF(E956="","",IFERROR(_xlfn.XLOOKUP(E956,SyncCodex!N:N,SyncCodex!O:O),""))</f>
        <v/>
      </c>
      <c r="G956" s="71"/>
      <c r="H956" s="71" t="str">
        <f t="shared" si="1"/>
        <v/>
      </c>
      <c r="I956" s="8" t="b">
        <v>0</v>
      </c>
      <c r="J956" s="72"/>
      <c r="K956" s="72"/>
    </row>
    <row r="957">
      <c r="A957" s="69"/>
      <c r="B957" s="8"/>
      <c r="E957" s="70"/>
      <c r="F957" s="70" t="str">
        <f t="array" ref="F957">IF(E957="","",IFERROR(_xlfn.XLOOKUP(E957,SyncCodex!N:N,SyncCodex!O:O),""))</f>
        <v/>
      </c>
      <c r="G957" s="71"/>
      <c r="H957" s="71" t="str">
        <f t="shared" si="1"/>
        <v/>
      </c>
      <c r="I957" s="8" t="b">
        <v>0</v>
      </c>
      <c r="J957" s="72"/>
      <c r="K957" s="72"/>
    </row>
    <row r="958">
      <c r="A958" s="69"/>
      <c r="B958" s="8"/>
      <c r="E958" s="70"/>
      <c r="F958" s="70" t="str">
        <f t="array" ref="F958">IF(E958="","",IFERROR(_xlfn.XLOOKUP(E958,SyncCodex!N:N,SyncCodex!O:O),""))</f>
        <v/>
      </c>
      <c r="G958" s="71"/>
      <c r="H958" s="71" t="str">
        <f t="shared" si="1"/>
        <v/>
      </c>
      <c r="I958" s="8" t="b">
        <v>0</v>
      </c>
      <c r="J958" s="72"/>
      <c r="K958" s="72"/>
    </row>
    <row r="959">
      <c r="A959" s="69"/>
      <c r="B959" s="8"/>
      <c r="E959" s="70"/>
      <c r="F959" s="70" t="str">
        <f t="array" ref="F959">IF(E959="","",IFERROR(_xlfn.XLOOKUP(E959,SyncCodex!N:N,SyncCodex!O:O),""))</f>
        <v/>
      </c>
      <c r="G959" s="71"/>
      <c r="H959" s="71" t="str">
        <f t="shared" si="1"/>
        <v/>
      </c>
      <c r="I959" s="8" t="b">
        <v>0</v>
      </c>
      <c r="J959" s="72"/>
      <c r="K959" s="72"/>
    </row>
    <row r="960">
      <c r="A960" s="69"/>
      <c r="B960" s="8"/>
      <c r="E960" s="70"/>
      <c r="F960" s="70" t="str">
        <f t="array" ref="F960">IF(E960="","",IFERROR(_xlfn.XLOOKUP(E960,SyncCodex!N:N,SyncCodex!O:O),""))</f>
        <v/>
      </c>
      <c r="G960" s="71"/>
      <c r="H960" s="71" t="str">
        <f t="shared" si="1"/>
        <v/>
      </c>
      <c r="I960" s="8" t="b">
        <v>0</v>
      </c>
      <c r="J960" s="72"/>
      <c r="K960" s="72"/>
    </row>
    <row r="961">
      <c r="A961" s="69"/>
      <c r="B961" s="8"/>
      <c r="E961" s="70"/>
      <c r="F961" s="70" t="str">
        <f t="array" ref="F961">IF(E961="","",IFERROR(_xlfn.XLOOKUP(E961,SyncCodex!N:N,SyncCodex!O:O),""))</f>
        <v/>
      </c>
      <c r="G961" s="71"/>
      <c r="H961" s="71" t="str">
        <f t="shared" si="1"/>
        <v/>
      </c>
      <c r="I961" s="8" t="b">
        <v>0</v>
      </c>
      <c r="J961" s="72"/>
      <c r="K961" s="72"/>
    </row>
    <row r="962">
      <c r="A962" s="69"/>
      <c r="B962" s="8"/>
      <c r="E962" s="70"/>
      <c r="F962" s="70" t="str">
        <f t="array" ref="F962">IF(E962="","",IFERROR(_xlfn.XLOOKUP(E962,SyncCodex!N:N,SyncCodex!O:O),""))</f>
        <v/>
      </c>
      <c r="G962" s="71"/>
      <c r="H962" s="71" t="str">
        <f t="shared" si="1"/>
        <v/>
      </c>
      <c r="I962" s="8" t="b">
        <v>0</v>
      </c>
      <c r="J962" s="72"/>
      <c r="K962" s="72"/>
    </row>
    <row r="963">
      <c r="A963" s="69"/>
      <c r="B963" s="8"/>
      <c r="E963" s="70"/>
      <c r="F963" s="70" t="str">
        <f t="array" ref="F963">IF(E963="","",IFERROR(_xlfn.XLOOKUP(E963,SyncCodex!N:N,SyncCodex!O:O),""))</f>
        <v/>
      </c>
      <c r="G963" s="71"/>
      <c r="H963" s="71" t="str">
        <f t="shared" si="1"/>
        <v/>
      </c>
      <c r="I963" s="8" t="b">
        <v>0</v>
      </c>
      <c r="J963" s="72"/>
      <c r="K963" s="72"/>
    </row>
    <row r="964">
      <c r="A964" s="69"/>
      <c r="B964" s="8"/>
      <c r="E964" s="70"/>
      <c r="F964" s="70" t="str">
        <f t="array" ref="F964">IF(E964="","",IFERROR(_xlfn.XLOOKUP(E964,SyncCodex!N:N,SyncCodex!O:O),""))</f>
        <v/>
      </c>
      <c r="G964" s="71"/>
      <c r="H964" s="71" t="str">
        <f t="shared" si="1"/>
        <v/>
      </c>
      <c r="I964" s="8" t="b">
        <v>0</v>
      </c>
      <c r="J964" s="72"/>
      <c r="K964" s="72"/>
    </row>
    <row r="965">
      <c r="A965" s="69"/>
      <c r="B965" s="8"/>
      <c r="E965" s="70"/>
      <c r="F965" s="70" t="str">
        <f t="array" ref="F965">IF(E965="","",IFERROR(_xlfn.XLOOKUP(E965,SyncCodex!N:N,SyncCodex!O:O),""))</f>
        <v/>
      </c>
      <c r="G965" s="71"/>
      <c r="H965" s="71" t="str">
        <f t="shared" si="1"/>
        <v/>
      </c>
      <c r="I965" s="8" t="b">
        <v>0</v>
      </c>
      <c r="J965" s="72"/>
      <c r="K965" s="72"/>
    </row>
    <row r="966">
      <c r="A966" s="69"/>
      <c r="B966" s="8"/>
      <c r="E966" s="70"/>
      <c r="F966" s="70" t="str">
        <f t="array" ref="F966">IF(E966="","",IFERROR(_xlfn.XLOOKUP(E966,SyncCodex!N:N,SyncCodex!O:O),""))</f>
        <v/>
      </c>
      <c r="G966" s="71"/>
      <c r="H966" s="71" t="str">
        <f t="shared" si="1"/>
        <v/>
      </c>
      <c r="I966" s="8" t="b">
        <v>0</v>
      </c>
      <c r="J966" s="72"/>
      <c r="K966" s="72"/>
    </row>
    <row r="967">
      <c r="A967" s="69"/>
      <c r="B967" s="8"/>
      <c r="E967" s="70"/>
      <c r="F967" s="70" t="str">
        <f t="array" ref="F967">IF(E967="","",IFERROR(_xlfn.XLOOKUP(E967,SyncCodex!N:N,SyncCodex!O:O),""))</f>
        <v/>
      </c>
      <c r="G967" s="71"/>
      <c r="H967" s="71" t="str">
        <f t="shared" si="1"/>
        <v/>
      </c>
      <c r="I967" s="8" t="b">
        <v>0</v>
      </c>
      <c r="J967" s="72"/>
      <c r="K967" s="72"/>
    </row>
    <row r="968">
      <c r="A968" s="69"/>
      <c r="B968" s="8"/>
      <c r="E968" s="70"/>
      <c r="F968" s="70" t="str">
        <f t="array" ref="F968">IF(E968="","",IFERROR(_xlfn.XLOOKUP(E968,SyncCodex!N:N,SyncCodex!O:O),""))</f>
        <v/>
      </c>
      <c r="G968" s="71"/>
      <c r="H968" s="71" t="str">
        <f t="shared" si="1"/>
        <v/>
      </c>
      <c r="I968" s="8" t="b">
        <v>0</v>
      </c>
      <c r="J968" s="72"/>
      <c r="K968" s="72"/>
    </row>
    <row r="969">
      <c r="A969" s="69"/>
      <c r="B969" s="8"/>
      <c r="E969" s="70"/>
      <c r="F969" s="70" t="str">
        <f t="array" ref="F969">IF(E969="","",IFERROR(_xlfn.XLOOKUP(E969,SyncCodex!N:N,SyncCodex!O:O),""))</f>
        <v/>
      </c>
      <c r="G969" s="71"/>
      <c r="H969" s="71" t="str">
        <f t="shared" si="1"/>
        <v/>
      </c>
      <c r="I969" s="8" t="b">
        <v>0</v>
      </c>
      <c r="J969" s="72"/>
      <c r="K969" s="72"/>
    </row>
    <row r="970">
      <c r="A970" s="69"/>
      <c r="B970" s="8"/>
      <c r="E970" s="70"/>
      <c r="F970" s="70" t="str">
        <f t="array" ref="F970">IF(E970="","",IFERROR(_xlfn.XLOOKUP(E970,SyncCodex!N:N,SyncCodex!O:O),""))</f>
        <v/>
      </c>
      <c r="G970" s="71"/>
      <c r="H970" s="71" t="str">
        <f t="shared" si="1"/>
        <v/>
      </c>
      <c r="I970" s="8" t="b">
        <v>0</v>
      </c>
      <c r="J970" s="72"/>
      <c r="K970" s="72"/>
    </row>
    <row r="971">
      <c r="A971" s="69"/>
      <c r="B971" s="8"/>
      <c r="E971" s="70"/>
      <c r="F971" s="70" t="str">
        <f t="array" ref="F971">IF(E971="","",IFERROR(_xlfn.XLOOKUP(E971,SyncCodex!N:N,SyncCodex!O:O),""))</f>
        <v/>
      </c>
      <c r="G971" s="71"/>
      <c r="H971" s="71" t="str">
        <f t="shared" si="1"/>
        <v/>
      </c>
      <c r="I971" s="8" t="b">
        <v>0</v>
      </c>
      <c r="J971" s="72"/>
      <c r="K971" s="72"/>
    </row>
    <row r="972">
      <c r="A972" s="69"/>
      <c r="B972" s="8"/>
      <c r="E972" s="70"/>
      <c r="F972" s="70" t="str">
        <f t="array" ref="F972">IF(E972="","",IFERROR(_xlfn.XLOOKUP(E972,SyncCodex!N:N,SyncCodex!O:O),""))</f>
        <v/>
      </c>
      <c r="G972" s="71"/>
      <c r="H972" s="71" t="str">
        <f t="shared" si="1"/>
        <v/>
      </c>
      <c r="I972" s="8" t="b">
        <v>0</v>
      </c>
      <c r="J972" s="72"/>
      <c r="K972" s="72"/>
    </row>
    <row r="973">
      <c r="A973" s="69"/>
      <c r="B973" s="8"/>
      <c r="E973" s="70"/>
      <c r="F973" s="70" t="str">
        <f t="array" ref="F973">IF(E973="","",IFERROR(_xlfn.XLOOKUP(E973,SyncCodex!N:N,SyncCodex!O:O),""))</f>
        <v/>
      </c>
      <c r="G973" s="71"/>
      <c r="H973" s="71" t="str">
        <f t="shared" si="1"/>
        <v/>
      </c>
      <c r="I973" s="8" t="b">
        <v>0</v>
      </c>
      <c r="J973" s="72"/>
      <c r="K973" s="72"/>
    </row>
    <row r="974">
      <c r="A974" s="69"/>
      <c r="B974" s="8"/>
      <c r="E974" s="70"/>
      <c r="F974" s="70" t="str">
        <f t="array" ref="F974">IF(E974="","",IFERROR(_xlfn.XLOOKUP(E974,SyncCodex!N:N,SyncCodex!O:O),""))</f>
        <v/>
      </c>
      <c r="G974" s="71"/>
      <c r="H974" s="71" t="str">
        <f t="shared" si="1"/>
        <v/>
      </c>
      <c r="I974" s="8" t="b">
        <v>0</v>
      </c>
      <c r="J974" s="72"/>
      <c r="K974" s="72"/>
    </row>
    <row r="975">
      <c r="A975" s="69"/>
      <c r="B975" s="8"/>
      <c r="E975" s="70"/>
      <c r="F975" s="70" t="str">
        <f t="array" ref="F975">IF(E975="","",IFERROR(_xlfn.XLOOKUP(E975,SyncCodex!N:N,SyncCodex!O:O),""))</f>
        <v/>
      </c>
      <c r="G975" s="71"/>
      <c r="H975" s="71" t="str">
        <f t="shared" si="1"/>
        <v/>
      </c>
      <c r="I975" s="8" t="b">
        <v>0</v>
      </c>
      <c r="J975" s="72"/>
      <c r="K975" s="72"/>
    </row>
    <row r="976">
      <c r="A976" s="69"/>
      <c r="B976" s="8"/>
      <c r="E976" s="70"/>
      <c r="F976" s="70" t="str">
        <f t="array" ref="F976">IF(E976="","",IFERROR(_xlfn.XLOOKUP(E976,SyncCodex!N:N,SyncCodex!O:O),""))</f>
        <v/>
      </c>
      <c r="G976" s="71"/>
      <c r="H976" s="71" t="str">
        <f t="shared" si="1"/>
        <v/>
      </c>
      <c r="I976" s="8" t="b">
        <v>0</v>
      </c>
      <c r="J976" s="72"/>
      <c r="K976" s="72"/>
    </row>
    <row r="977">
      <c r="A977" s="69"/>
      <c r="B977" s="8"/>
      <c r="E977" s="70"/>
      <c r="F977" s="70" t="str">
        <f t="array" ref="F977">IF(E977="","",IFERROR(_xlfn.XLOOKUP(E977,SyncCodex!N:N,SyncCodex!O:O),""))</f>
        <v/>
      </c>
      <c r="G977" s="71"/>
      <c r="H977" s="71" t="str">
        <f t="shared" si="1"/>
        <v/>
      </c>
      <c r="I977" s="8" t="b">
        <v>0</v>
      </c>
      <c r="J977" s="72"/>
      <c r="K977" s="72"/>
    </row>
    <row r="978">
      <c r="A978" s="69"/>
      <c r="B978" s="8"/>
      <c r="E978" s="70"/>
      <c r="F978" s="70" t="str">
        <f t="array" ref="F978">IF(E978="","",IFERROR(_xlfn.XLOOKUP(E978,SyncCodex!N:N,SyncCodex!O:O),""))</f>
        <v/>
      </c>
      <c r="G978" s="71"/>
      <c r="H978" s="71" t="str">
        <f t="shared" si="1"/>
        <v/>
      </c>
      <c r="I978" s="8" t="b">
        <v>0</v>
      </c>
      <c r="J978" s="72"/>
      <c r="K978" s="72"/>
    </row>
    <row r="979">
      <c r="A979" s="69"/>
      <c r="B979" s="8"/>
      <c r="E979" s="70"/>
      <c r="F979" s="70" t="str">
        <f t="array" ref="F979">IF(E979="","",IFERROR(_xlfn.XLOOKUP(E979,SyncCodex!N:N,SyncCodex!O:O),""))</f>
        <v/>
      </c>
      <c r="G979" s="71"/>
      <c r="H979" s="71" t="str">
        <f t="shared" si="1"/>
        <v/>
      </c>
      <c r="I979" s="8" t="b">
        <v>0</v>
      </c>
      <c r="J979" s="72"/>
      <c r="K979" s="72"/>
    </row>
    <row r="980">
      <c r="A980" s="69"/>
      <c r="B980" s="8"/>
      <c r="E980" s="70"/>
      <c r="F980" s="70" t="str">
        <f t="array" ref="F980">IF(E980="","",IFERROR(_xlfn.XLOOKUP(E980,SyncCodex!N:N,SyncCodex!O:O),""))</f>
        <v/>
      </c>
      <c r="G980" s="71"/>
      <c r="H980" s="71" t="str">
        <f t="shared" si="1"/>
        <v/>
      </c>
      <c r="I980" s="8" t="b">
        <v>0</v>
      </c>
      <c r="J980" s="72"/>
      <c r="K980" s="72"/>
    </row>
    <row r="981">
      <c r="A981" s="69"/>
      <c r="B981" s="8"/>
      <c r="E981" s="70"/>
      <c r="F981" s="70" t="str">
        <f t="array" ref="F981">IF(E981="","",IFERROR(_xlfn.XLOOKUP(E981,SyncCodex!N:N,SyncCodex!O:O),""))</f>
        <v/>
      </c>
      <c r="G981" s="71"/>
      <c r="H981" s="71" t="str">
        <f t="shared" si="1"/>
        <v/>
      </c>
      <c r="I981" s="8" t="b">
        <v>0</v>
      </c>
      <c r="J981" s="72"/>
      <c r="K981" s="72"/>
    </row>
    <row r="982">
      <c r="A982" s="69"/>
      <c r="B982" s="8"/>
      <c r="E982" s="70"/>
      <c r="F982" s="70" t="str">
        <f t="array" ref="F982">IF(E982="","",IFERROR(_xlfn.XLOOKUP(E982,SyncCodex!N:N,SyncCodex!O:O),""))</f>
        <v/>
      </c>
      <c r="G982" s="71"/>
      <c r="H982" s="71" t="str">
        <f t="shared" si="1"/>
        <v/>
      </c>
      <c r="I982" s="8" t="b">
        <v>0</v>
      </c>
      <c r="J982" s="72"/>
      <c r="K982" s="72"/>
    </row>
    <row r="983">
      <c r="A983" s="69"/>
      <c r="B983" s="8"/>
      <c r="E983" s="70"/>
      <c r="F983" s="70" t="str">
        <f t="array" ref="F983">IF(E983="","",IFERROR(_xlfn.XLOOKUP(E983,SyncCodex!N:N,SyncCodex!O:O),""))</f>
        <v/>
      </c>
      <c r="G983" s="71"/>
      <c r="H983" s="71" t="str">
        <f t="shared" si="1"/>
        <v/>
      </c>
      <c r="I983" s="8" t="b">
        <v>0</v>
      </c>
      <c r="J983" s="72"/>
      <c r="K983" s="72"/>
    </row>
    <row r="984">
      <c r="A984" s="69"/>
      <c r="B984" s="8"/>
      <c r="E984" s="70"/>
      <c r="F984" s="70" t="str">
        <f t="array" ref="F984">IF(E984="","",IFERROR(_xlfn.XLOOKUP(E984,SyncCodex!N:N,SyncCodex!O:O),""))</f>
        <v/>
      </c>
      <c r="G984" s="71"/>
      <c r="H984" s="71" t="str">
        <f t="shared" si="1"/>
        <v/>
      </c>
      <c r="I984" s="8" t="b">
        <v>0</v>
      </c>
      <c r="J984" s="72"/>
      <c r="K984" s="72"/>
    </row>
    <row r="985">
      <c r="A985" s="69"/>
      <c r="B985" s="8"/>
      <c r="E985" s="70"/>
      <c r="F985" s="70" t="str">
        <f t="array" ref="F985">IF(E985="","",IFERROR(_xlfn.XLOOKUP(E985,SyncCodex!N:N,SyncCodex!O:O),""))</f>
        <v/>
      </c>
      <c r="G985" s="71"/>
      <c r="H985" s="71" t="str">
        <f t="shared" si="1"/>
        <v/>
      </c>
      <c r="I985" s="8" t="b">
        <v>0</v>
      </c>
      <c r="J985" s="72"/>
      <c r="K985" s="72"/>
    </row>
    <row r="986">
      <c r="A986" s="69"/>
      <c r="B986" s="8"/>
      <c r="E986" s="70"/>
      <c r="F986" s="70" t="str">
        <f t="array" ref="F986">IF(E986="","",IFERROR(_xlfn.XLOOKUP(E986,SyncCodex!N:N,SyncCodex!O:O),""))</f>
        <v/>
      </c>
      <c r="G986" s="71"/>
      <c r="H986" s="71" t="str">
        <f t="shared" si="1"/>
        <v/>
      </c>
      <c r="I986" s="8" t="b">
        <v>0</v>
      </c>
      <c r="J986" s="72"/>
      <c r="K986" s="72"/>
    </row>
    <row r="987">
      <c r="A987" s="69"/>
      <c r="B987" s="8"/>
      <c r="E987" s="70"/>
      <c r="F987" s="70" t="str">
        <f t="array" ref="F987">IF(E987="","",IFERROR(_xlfn.XLOOKUP(E987,SyncCodex!N:N,SyncCodex!O:O),""))</f>
        <v/>
      </c>
      <c r="G987" s="71"/>
      <c r="H987" s="71" t="str">
        <f t="shared" si="1"/>
        <v/>
      </c>
      <c r="I987" s="8" t="b">
        <v>0</v>
      </c>
      <c r="J987" s="72"/>
      <c r="K987" s="72"/>
    </row>
    <row r="988">
      <c r="A988" s="69"/>
      <c r="B988" s="8"/>
      <c r="E988" s="70"/>
      <c r="F988" s="70" t="str">
        <f t="array" ref="F988">IF(E988="","",IFERROR(_xlfn.XLOOKUP(E988,SyncCodex!N:N,SyncCodex!O:O),""))</f>
        <v/>
      </c>
      <c r="G988" s="71"/>
      <c r="H988" s="71" t="str">
        <f t="shared" si="1"/>
        <v/>
      </c>
      <c r="I988" s="8" t="b">
        <v>0</v>
      </c>
      <c r="J988" s="72"/>
      <c r="K988" s="72"/>
    </row>
    <row r="989">
      <c r="A989" s="69"/>
      <c r="B989" s="8"/>
      <c r="E989" s="70"/>
      <c r="F989" s="70" t="str">
        <f t="array" ref="F989">IF(E989="","",IFERROR(_xlfn.XLOOKUP(E989,SyncCodex!N:N,SyncCodex!O:O),""))</f>
        <v/>
      </c>
      <c r="G989" s="71"/>
      <c r="H989" s="71" t="str">
        <f t="shared" si="1"/>
        <v/>
      </c>
      <c r="I989" s="8" t="b">
        <v>0</v>
      </c>
      <c r="J989" s="72"/>
      <c r="K989" s="72"/>
    </row>
    <row r="990">
      <c r="A990" s="69"/>
      <c r="B990" s="8"/>
      <c r="E990" s="70"/>
      <c r="F990" s="70" t="str">
        <f t="array" ref="F990">IF(E990="","",IFERROR(_xlfn.XLOOKUP(E990,SyncCodex!N:N,SyncCodex!O:O),""))</f>
        <v/>
      </c>
      <c r="G990" s="71"/>
      <c r="H990" s="71" t="str">
        <f t="shared" si="1"/>
        <v/>
      </c>
      <c r="I990" s="8" t="b">
        <v>0</v>
      </c>
      <c r="J990" s="72"/>
      <c r="K990" s="72"/>
    </row>
    <row r="991">
      <c r="A991" s="69"/>
      <c r="B991" s="8"/>
      <c r="E991" s="70"/>
      <c r="F991" s="70" t="str">
        <f t="array" ref="F991">IF(E991="","",IFERROR(_xlfn.XLOOKUP(E991,SyncCodex!N:N,SyncCodex!O:O),""))</f>
        <v/>
      </c>
      <c r="G991" s="71"/>
      <c r="H991" s="71" t="str">
        <f t="shared" si="1"/>
        <v/>
      </c>
      <c r="I991" s="8" t="b">
        <v>0</v>
      </c>
      <c r="J991" s="72"/>
      <c r="K991" s="72"/>
    </row>
    <row r="992">
      <c r="A992" s="69"/>
      <c r="B992" s="8"/>
      <c r="E992" s="70"/>
      <c r="F992" s="70" t="str">
        <f t="array" ref="F992">IF(E992="","",IFERROR(_xlfn.XLOOKUP(E992,SyncCodex!N:N,SyncCodex!O:O),""))</f>
        <v/>
      </c>
      <c r="G992" s="71"/>
      <c r="H992" s="71" t="str">
        <f t="shared" si="1"/>
        <v/>
      </c>
      <c r="I992" s="8" t="b">
        <v>0</v>
      </c>
      <c r="J992" s="72"/>
      <c r="K992" s="72"/>
    </row>
    <row r="993">
      <c r="A993" s="69"/>
      <c r="B993" s="8"/>
      <c r="E993" s="70"/>
      <c r="F993" s="70" t="str">
        <f t="array" ref="F993">IF(E993="","",IFERROR(_xlfn.XLOOKUP(E993,SyncCodex!N:N,SyncCodex!O:O),""))</f>
        <v/>
      </c>
      <c r="G993" s="71"/>
      <c r="H993" s="71" t="str">
        <f t="shared" si="1"/>
        <v/>
      </c>
      <c r="I993" s="8" t="b">
        <v>0</v>
      </c>
      <c r="J993" s="72"/>
      <c r="K993" s="72"/>
    </row>
    <row r="994">
      <c r="A994" s="69"/>
      <c r="B994" s="8"/>
      <c r="E994" s="70"/>
      <c r="F994" s="70" t="str">
        <f t="array" ref="F994">IF(E994="","",IFERROR(_xlfn.XLOOKUP(E994,SyncCodex!N:N,SyncCodex!O:O),""))</f>
        <v/>
      </c>
      <c r="G994" s="71"/>
      <c r="H994" s="71" t="str">
        <f t="shared" si="1"/>
        <v/>
      </c>
      <c r="I994" s="8" t="b">
        <v>0</v>
      </c>
      <c r="J994" s="72"/>
      <c r="K994" s="72"/>
    </row>
    <row r="995">
      <c r="A995" s="69"/>
      <c r="B995" s="8"/>
      <c r="E995" s="70"/>
      <c r="F995" s="70" t="str">
        <f t="array" ref="F995">IF(E995="","",IFERROR(_xlfn.XLOOKUP(E995,SyncCodex!N:N,SyncCodex!O:O),""))</f>
        <v/>
      </c>
      <c r="G995" s="71"/>
      <c r="H995" s="71" t="str">
        <f t="shared" si="1"/>
        <v/>
      </c>
      <c r="I995" s="8" t="b">
        <v>0</v>
      </c>
      <c r="J995" s="72"/>
      <c r="K995" s="72"/>
    </row>
    <row r="996">
      <c r="A996" s="69"/>
      <c r="B996" s="8"/>
      <c r="E996" s="70"/>
      <c r="F996" s="70" t="str">
        <f t="array" ref="F996">IF(E996="","",IFERROR(_xlfn.XLOOKUP(E996,SyncCodex!N:N,SyncCodex!O:O),""))</f>
        <v/>
      </c>
      <c r="G996" s="71"/>
      <c r="H996" s="71" t="str">
        <f t="shared" si="1"/>
        <v/>
      </c>
      <c r="I996" s="8" t="b">
        <v>0</v>
      </c>
      <c r="J996" s="72"/>
      <c r="K996" s="72"/>
    </row>
    <row r="997">
      <c r="A997" s="69"/>
      <c r="B997" s="8"/>
      <c r="E997" s="70"/>
      <c r="F997" s="70" t="str">
        <f t="array" ref="F997">IF(E997="","",IFERROR(_xlfn.XLOOKUP(E997,SyncCodex!N:N,SyncCodex!O:O),""))</f>
        <v/>
      </c>
      <c r="G997" s="71"/>
      <c r="H997" s="71" t="str">
        <f t="shared" si="1"/>
        <v/>
      </c>
      <c r="I997" s="8" t="b">
        <v>0</v>
      </c>
      <c r="J997" s="72"/>
      <c r="K997" s="72"/>
    </row>
  </sheetData>
  <dataValidations>
    <dataValidation type="list" allowBlank="1" showErrorMessage="1" sqref="B2:B997">
      <formula1>'Données'!$O:$O</formula1>
    </dataValidation>
    <dataValidation type="list" allowBlank="1" showErrorMessage="1" sqref="E2:E997">
      <formula1>SyncCodex!$N$2:$N$52</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1" t="str">
        <f>IFERROR(__xludf.DUMMYFUNCTION("QUERY(Effectifs!A:Z, ""SELECT * WHERE E CONTAINS 'Cité' OR E CONTAINS 'Major' ORDER BY Z ASC"", 1)"),"Assermenté")</f>
        <v>Assermenté</v>
      </c>
      <c r="B1" s="1" t="str">
        <f>IFERROR(__xludf.DUMMYFUNCTION("""COMPUTED_VALUE"""),"Grade")</f>
        <v>Grade</v>
      </c>
      <c r="C1" s="1" t="str">
        <f>IFERROR(__xludf.DUMMYFUNCTION("""COMPUTED_VALUE"""),"Prénom")</f>
        <v>Prénom</v>
      </c>
      <c r="D1" s="1" t="str">
        <f>IFERROR(__xludf.DUMMYFUNCTION("""COMPUTED_VALUE"""),"Nom")</f>
        <v>Nom</v>
      </c>
      <c r="E1" s="1" t="str">
        <f>IFERROR(__xludf.DUMMYFUNCTION("""COMPUTED_VALUE"""),"Corps")</f>
        <v>Corps</v>
      </c>
      <c r="F1" s="1" t="str">
        <f>IFERROR(__xludf.DUMMYFUNCTION("""COMPUTED_VALUE"""),"Spécialité")</f>
        <v>Spécialité</v>
      </c>
      <c r="G1" s="1" t="str">
        <f>IFERROR(__xludf.DUMMYFUNCTION("""COMPUTED_VALUE"""),"Status")</f>
        <v>Status</v>
      </c>
      <c r="H1" s="1" t="str">
        <f>IFERROR(__xludf.DUMMYFUNCTION("""COMPUTED_VALUE"""),"Métier")</f>
        <v>Métier</v>
      </c>
      <c r="I1" s="73" t="str">
        <f>IFERROR(__xludf.DUMMYFUNCTION("""COMPUTED_VALUE"""),"Recrutement")</f>
        <v>Recrutement</v>
      </c>
      <c r="J1" s="3" t="str">
        <f>IFERROR(__xludf.DUMMYFUNCTION("""COMPUTED_VALUE"""),"Jours travaillés")</f>
        <v>Jours travaillés</v>
      </c>
      <c r="K1" s="3" t="str">
        <f>IFERROR(__xludf.DUMMYFUNCTION("""COMPUTED_VALUE"""),"")</f>
        <v/>
      </c>
      <c r="L1" s="3" t="str">
        <f>IFERROR(__xludf.DUMMYFUNCTION("""COMPUTED_VALUE"""),"")</f>
        <v/>
      </c>
      <c r="M1" s="3" t="str">
        <f>IFERROR(__xludf.DUMMYFUNCTION("""COMPUTED_VALUE"""),"")</f>
        <v/>
      </c>
      <c r="N1" s="3" t="str">
        <f>IFERROR(__xludf.DUMMYFUNCTION("""COMPUTED_VALUE"""),"")</f>
        <v/>
      </c>
      <c r="O1" s="3" t="str">
        <f>IFERROR(__xludf.DUMMYFUNCTION("""COMPUTED_VALUE"""),"")</f>
        <v/>
      </c>
      <c r="P1" s="3" t="str">
        <f>IFERROR(__xludf.DUMMYFUNCTION("""COMPUTED_VALUE"""),"")</f>
        <v/>
      </c>
      <c r="Q1" s="3" t="str">
        <f>IFERROR(__xludf.DUMMYFUNCTION("""COMPUTED_VALUE"""),"")</f>
        <v/>
      </c>
      <c r="R1" s="3" t="str">
        <f>IFERROR(__xludf.DUMMYFUNCTION("""COMPUTED_VALUE"""),"")</f>
        <v/>
      </c>
      <c r="S1" s="3" t="str">
        <f>IFERROR(__xludf.DUMMYFUNCTION("""COMPUTED_VALUE"""),"")</f>
        <v/>
      </c>
      <c r="T1" s="3" t="str">
        <f>IFERROR(__xludf.DUMMYFUNCTION("""COMPUTED_VALUE"""),"")</f>
        <v/>
      </c>
      <c r="U1" s="3" t="str">
        <f>IFERROR(__xludf.DUMMYFUNCTION("""COMPUTED_VALUE"""),"")</f>
        <v/>
      </c>
      <c r="V1" s="3" t="str">
        <f>IFERROR(__xludf.DUMMYFUNCTION("""COMPUTED_VALUE"""),"")</f>
        <v/>
      </c>
      <c r="W1" s="3" t="str">
        <f>IFERROR(__xludf.DUMMYFUNCTION("""COMPUTED_VALUE"""),"")</f>
        <v/>
      </c>
      <c r="X1" s="3" t="str">
        <f>IFERROR(__xludf.DUMMYFUNCTION("""COMPUTED_VALUE"""),"")</f>
        <v/>
      </c>
      <c r="Y1" s="3" t="str">
        <f>IFERROR(__xludf.DUMMYFUNCTION("""COMPUTED_VALUE"""),"")</f>
        <v/>
      </c>
      <c r="Z1" s="4" t="str">
        <f>IFERROR(__xludf.DUMMYFUNCTION("""COMPUTED_VALUE"""),"Grade Order")</f>
        <v>Grade Order</v>
      </c>
    </row>
    <row r="2">
      <c r="A2" s="5" t="b">
        <f>IFERROR(__xludf.DUMMYFUNCTION("""COMPUTED_VALUE"""),TRUE)</f>
        <v>1</v>
      </c>
      <c r="B2" s="5" t="str">
        <f>IFERROR(__xludf.DUMMYFUNCTION("""COMPUTED_VALUE"""),"Maréchal")</f>
        <v>Maréchal</v>
      </c>
      <c r="C2" s="15" t="str">
        <f>IFERROR(__xludf.DUMMYFUNCTION("""COMPUTED_VALUE"""),"Lazabard")</f>
        <v>Lazabard</v>
      </c>
      <c r="D2" s="15" t="str">
        <f>IFERROR(__xludf.DUMMYFUNCTION("""COMPUTED_VALUE"""),"Jemelred")</f>
        <v>Jemelred</v>
      </c>
      <c r="E2" s="5" t="str">
        <f>IFERROR(__xludf.DUMMYFUNCTION("""COMPUTED_VALUE"""),"Etat-Major")</f>
        <v>Etat-Major</v>
      </c>
      <c r="F2" s="12" t="str">
        <f>IFERROR(__xludf.DUMMYFUNCTION("""COMPUTED_VALUE"""),"Garde, Collecteur de la garde")</f>
        <v>Garde, Collecteur de la garde</v>
      </c>
      <c r="G2" s="5" t="str">
        <f>IFERROR(__xludf.DUMMYFUNCTION("""COMPUTED_VALUE"""),"En service actif")</f>
        <v>En service actif</v>
      </c>
      <c r="H2" s="5"/>
      <c r="I2" s="74"/>
      <c r="J2" s="8">
        <f>IFERROR(__xludf.DUMMYFUNCTION("""COMPUTED_VALUE"""),4.0)</f>
        <v>4</v>
      </c>
      <c r="K2" s="8"/>
      <c r="L2" s="8"/>
      <c r="M2" s="8"/>
      <c r="N2" s="8"/>
      <c r="O2" s="8"/>
      <c r="P2" s="8"/>
      <c r="Q2" s="8"/>
      <c r="R2" s="8"/>
      <c r="S2" s="8"/>
      <c r="T2" s="8"/>
      <c r="U2" s="8"/>
      <c r="V2" s="8"/>
      <c r="W2" s="8"/>
      <c r="X2" s="8"/>
      <c r="Y2" s="8"/>
      <c r="Z2" s="8">
        <f>IFERROR(__xludf.DUMMYFUNCTION("""COMPUTED_VALUE"""),1.0)</f>
        <v>1</v>
      </c>
    </row>
    <row r="3">
      <c r="A3" s="5" t="b">
        <f>IFERROR(__xludf.DUMMYFUNCTION("""COMPUTED_VALUE"""),TRUE)</f>
        <v>1</v>
      </c>
      <c r="B3" s="5" t="str">
        <f>IFERROR(__xludf.DUMMYFUNCTION("""COMPUTED_VALUE"""),"Commander")</f>
        <v>Commander</v>
      </c>
      <c r="C3" s="15" t="str">
        <f>IFERROR(__xludf.DUMMYFUNCTION("""COMPUTED_VALUE"""),"Filoki")</f>
        <v>Filoki</v>
      </c>
      <c r="D3" s="18"/>
      <c r="E3" s="5" t="str">
        <f>IFERROR(__xludf.DUMMYFUNCTION("""COMPUTED_VALUE"""),"Etat-Major")</f>
        <v>Etat-Major</v>
      </c>
      <c r="F3" s="12" t="str">
        <f>IFERROR(__xludf.DUMMYFUNCTION("""COMPUTED_VALUE"""),"Garde, Collecteur de la garde")</f>
        <v>Garde, Collecteur de la garde</v>
      </c>
      <c r="G3" s="5" t="str">
        <f>IFERROR(__xludf.DUMMYFUNCTION("""COMPUTED_VALUE"""),"En service actif")</f>
        <v>En service actif</v>
      </c>
      <c r="H3" s="5"/>
      <c r="I3" s="74"/>
      <c r="J3" s="8">
        <f>IFERROR(__xludf.DUMMYFUNCTION("""COMPUTED_VALUE"""),0.0)</f>
        <v>0</v>
      </c>
      <c r="K3" s="8"/>
      <c r="L3" s="8"/>
      <c r="M3" s="8"/>
      <c r="N3" s="8"/>
      <c r="O3" s="8"/>
      <c r="P3" s="8"/>
      <c r="Q3" s="8"/>
      <c r="R3" s="8"/>
      <c r="S3" s="8"/>
      <c r="T3" s="8"/>
      <c r="U3" s="8"/>
      <c r="V3" s="8"/>
      <c r="W3" s="8"/>
      <c r="X3" s="8"/>
      <c r="Y3" s="8"/>
      <c r="Z3" s="8">
        <f>IFERROR(__xludf.DUMMYFUNCTION("""COMPUTED_VALUE"""),2.0)</f>
        <v>2</v>
      </c>
    </row>
    <row r="4">
      <c r="A4" s="5" t="b">
        <f>IFERROR(__xludf.DUMMYFUNCTION("""COMPUTED_VALUE"""),TRUE)</f>
        <v>1</v>
      </c>
      <c r="B4" s="5" t="str">
        <f>IFERROR(__xludf.DUMMYFUNCTION("""COMPUTED_VALUE"""),"Major")</f>
        <v>Major</v>
      </c>
      <c r="C4" s="15" t="str">
        <f>IFERROR(__xludf.DUMMYFUNCTION("""COMPUTED_VALUE"""),"Dagbara")</f>
        <v>Dagbara</v>
      </c>
      <c r="D4" s="18" t="str">
        <f>IFERROR(__xludf.DUMMYFUNCTION("""COMPUTED_VALUE"""),"Gronez")</f>
        <v>Gronez</v>
      </c>
      <c r="E4" s="5" t="str">
        <f>IFERROR(__xludf.DUMMYFUNCTION("""COMPUTED_VALUE"""),"Etat-Major")</f>
        <v>Etat-Major</v>
      </c>
      <c r="F4" s="12" t="str">
        <f>IFERROR(__xludf.DUMMYFUNCTION("""COMPUTED_VALUE"""),"Garde")</f>
        <v>Garde</v>
      </c>
      <c r="G4" s="5" t="str">
        <f>IFERROR(__xludf.DUMMYFUNCTION("""COMPUTED_VALUE"""),"Mis en réserve")</f>
        <v>Mis en réserve</v>
      </c>
      <c r="H4" s="5"/>
      <c r="I4" s="74"/>
      <c r="J4" s="8">
        <f>IFERROR(__xludf.DUMMYFUNCTION("""COMPUTED_VALUE"""),0.0)</f>
        <v>0</v>
      </c>
      <c r="K4" s="8"/>
      <c r="L4" s="8"/>
      <c r="M4" s="8"/>
      <c r="N4" s="8"/>
      <c r="O4" s="8"/>
      <c r="P4" s="8"/>
      <c r="Q4" s="8"/>
      <c r="R4" s="8"/>
      <c r="S4" s="8"/>
      <c r="T4" s="8"/>
      <c r="U4" s="8"/>
      <c r="V4" s="8"/>
      <c r="W4" s="8"/>
      <c r="X4" s="8"/>
      <c r="Y4" s="8"/>
      <c r="Z4" s="8">
        <f>IFERROR(__xludf.DUMMYFUNCTION("""COMPUTED_VALUE"""),3.0)</f>
        <v>3</v>
      </c>
    </row>
    <row r="5">
      <c r="A5" s="5" t="b">
        <f>IFERROR(__xludf.DUMMYFUNCTION("""COMPUTED_VALUE"""),TRUE)</f>
        <v>1</v>
      </c>
      <c r="B5" s="5" t="str">
        <f>IFERROR(__xludf.DUMMYFUNCTION("""COMPUTED_VALUE"""),"Capitaine")</f>
        <v>Capitaine</v>
      </c>
      <c r="C5" s="15" t="str">
        <f>IFERROR(__xludf.DUMMYFUNCTION("""COMPUTED_VALUE"""),"Astrid")</f>
        <v>Astrid</v>
      </c>
      <c r="D5" s="15" t="str">
        <f>IFERROR(__xludf.DUMMYFUNCTION("""COMPUTED_VALUE"""),"Lame-Fine")</f>
        <v>Lame-Fine</v>
      </c>
      <c r="E5" s="5" t="str">
        <f>IFERROR(__xludf.DUMMYFUNCTION("""COMPUTED_VALUE"""),"Cité de Blancherive")</f>
        <v>Cité de Blancherive</v>
      </c>
      <c r="F5" s="12" t="str">
        <f>IFERROR(__xludf.DUMMYFUNCTION("""COMPUTED_VALUE"""),"Garde")</f>
        <v>Garde</v>
      </c>
      <c r="G5" s="5" t="str">
        <f>IFERROR(__xludf.DUMMYFUNCTION("""COMPUTED_VALUE"""),"En service actif")</f>
        <v>En service actif</v>
      </c>
      <c r="H5" s="5" t="str">
        <f>IFERROR(__xludf.DUMMYFUNCTION("""COMPUTED_VALUE"""),"Chasseur")</f>
        <v>Chasseur</v>
      </c>
      <c r="I5" s="74"/>
      <c r="J5" s="8">
        <f>IFERROR(__xludf.DUMMYFUNCTION("""COMPUTED_VALUE"""),10.0)</f>
        <v>10</v>
      </c>
      <c r="K5" s="8"/>
      <c r="L5" s="8"/>
      <c r="M5" s="8"/>
      <c r="N5" s="8"/>
      <c r="O5" s="8"/>
      <c r="P5" s="8"/>
      <c r="Q5" s="8"/>
      <c r="R5" s="8"/>
      <c r="S5" s="8"/>
      <c r="T5" s="8"/>
      <c r="U5" s="8"/>
      <c r="V5" s="8"/>
      <c r="W5" s="8"/>
      <c r="X5" s="8"/>
      <c r="Y5" s="8"/>
      <c r="Z5" s="8">
        <f>IFERROR(__xludf.DUMMYFUNCTION("""COMPUTED_VALUE"""),4.0)</f>
        <v>4</v>
      </c>
    </row>
    <row r="6">
      <c r="A6" s="5" t="b">
        <f>IFERROR(__xludf.DUMMYFUNCTION("""COMPUTED_VALUE"""),TRUE)</f>
        <v>1</v>
      </c>
      <c r="B6" s="5" t="str">
        <f>IFERROR(__xludf.DUMMYFUNCTION("""COMPUTED_VALUE"""),"Capitaine")</f>
        <v>Capitaine</v>
      </c>
      <c r="C6" s="15" t="str">
        <f>IFERROR(__xludf.DUMMYFUNCTION("""COMPUTED_VALUE"""),"Edward")</f>
        <v>Edward</v>
      </c>
      <c r="D6" s="15" t="str">
        <f>IFERROR(__xludf.DUMMYFUNCTION("""COMPUTED_VALUE"""),"Winters")</f>
        <v>Winters</v>
      </c>
      <c r="E6" s="5" t="str">
        <f>IFERROR(__xludf.DUMMYFUNCTION("""COMPUTED_VALUE"""),"Cité de Blancherive")</f>
        <v>Cité de Blancherive</v>
      </c>
      <c r="F6" s="12" t="str">
        <f>IFERROR(__xludf.DUMMYFUNCTION("""COMPUTED_VALUE"""),"Hird")</f>
        <v>Hird</v>
      </c>
      <c r="G6" s="5" t="str">
        <f>IFERROR(__xludf.DUMMYFUNCTION("""COMPUTED_VALUE"""),"Mis en réserve")</f>
        <v>Mis en réserve</v>
      </c>
      <c r="H6" s="5"/>
      <c r="I6" s="74"/>
      <c r="J6" s="8">
        <f>IFERROR(__xludf.DUMMYFUNCTION("""COMPUTED_VALUE"""),0.0)</f>
        <v>0</v>
      </c>
      <c r="K6" s="8"/>
      <c r="L6" s="8"/>
      <c r="M6" s="8"/>
      <c r="N6" s="8"/>
      <c r="O6" s="8"/>
      <c r="P6" s="8"/>
      <c r="Q6" s="8"/>
      <c r="R6" s="8"/>
      <c r="S6" s="8"/>
      <c r="T6" s="8"/>
      <c r="U6" s="8"/>
      <c r="V6" s="8"/>
      <c r="W6" s="8"/>
      <c r="X6" s="8"/>
      <c r="Y6" s="8"/>
      <c r="Z6" s="8">
        <f>IFERROR(__xludf.DUMMYFUNCTION("""COMPUTED_VALUE"""),4.0)</f>
        <v>4</v>
      </c>
    </row>
    <row r="7">
      <c r="A7" s="5" t="b">
        <f>IFERROR(__xludf.DUMMYFUNCTION("""COMPUTED_VALUE"""),TRUE)</f>
        <v>1</v>
      </c>
      <c r="B7" s="5" t="str">
        <f>IFERROR(__xludf.DUMMYFUNCTION("""COMPUTED_VALUE"""),"Lieutenant-Chef")</f>
        <v>Lieutenant-Chef</v>
      </c>
      <c r="C7" s="15" t="str">
        <f>IFERROR(__xludf.DUMMYFUNCTION("""COMPUTED_VALUE"""),"Ulfar")</f>
        <v>Ulfar</v>
      </c>
      <c r="D7" s="15"/>
      <c r="E7" s="5" t="str">
        <f>IFERROR(__xludf.DUMMYFUNCTION("""COMPUTED_VALUE"""),"Cité de Blancherive")</f>
        <v>Cité de Blancherive</v>
      </c>
      <c r="F7" s="12" t="str">
        <f>IFERROR(__xludf.DUMMYFUNCTION("""COMPUTED_VALUE"""),"Garde, Instructeur")</f>
        <v>Garde, Instructeur</v>
      </c>
      <c r="G7" s="5" t="str">
        <f>IFERROR(__xludf.DUMMYFUNCTION("""COMPUTED_VALUE"""),"En service actif")</f>
        <v>En service actif</v>
      </c>
      <c r="H7" s="8"/>
      <c r="I7" s="74"/>
      <c r="J7" s="8">
        <f>IFERROR(__xludf.DUMMYFUNCTION("""COMPUTED_VALUE"""),0.0)</f>
        <v>0</v>
      </c>
      <c r="K7" s="8"/>
      <c r="L7" s="8"/>
      <c r="M7" s="8"/>
      <c r="N7" s="8"/>
      <c r="O7" s="8"/>
      <c r="P7" s="8"/>
      <c r="Q7" s="8"/>
      <c r="R7" s="8"/>
      <c r="S7" s="8"/>
      <c r="T7" s="8"/>
      <c r="U7" s="8"/>
      <c r="V7" s="8"/>
      <c r="W7" s="8"/>
      <c r="X7" s="8"/>
      <c r="Y7" s="8"/>
      <c r="Z7" s="8">
        <f>IFERROR(__xludf.DUMMYFUNCTION("""COMPUTED_VALUE"""),5.0)</f>
        <v>5</v>
      </c>
    </row>
    <row r="8">
      <c r="A8" s="5" t="b">
        <f>IFERROR(__xludf.DUMMYFUNCTION("""COMPUTED_VALUE"""),TRUE)</f>
        <v>1</v>
      </c>
      <c r="B8" s="5" t="str">
        <f>IFERROR(__xludf.DUMMYFUNCTION("""COMPUTED_VALUE"""),"Lieutenant-Chef")</f>
        <v>Lieutenant-Chef</v>
      </c>
      <c r="C8" s="15" t="str">
        <f>IFERROR(__xludf.DUMMYFUNCTION("""COMPUTED_VALUE"""),"Gisbern")</f>
        <v>Gisbern</v>
      </c>
      <c r="D8" s="15" t="str">
        <f>IFERROR(__xludf.DUMMYFUNCTION("""COMPUTED_VALUE"""),"Isenbjorn")</f>
        <v>Isenbjorn</v>
      </c>
      <c r="E8" s="5" t="str">
        <f>IFERROR(__xludf.DUMMYFUNCTION("""COMPUTED_VALUE"""),"Cité de Blancherive")</f>
        <v>Cité de Blancherive</v>
      </c>
      <c r="F8" s="12" t="str">
        <f>IFERROR(__xludf.DUMMYFUNCTION("""COMPUTED_VALUE"""),"Garde")</f>
        <v>Garde</v>
      </c>
      <c r="G8" s="5" t="str">
        <f>IFERROR(__xludf.DUMMYFUNCTION("""COMPUTED_VALUE"""),"En service actif")</f>
        <v>En service actif</v>
      </c>
      <c r="H8" s="8"/>
      <c r="I8" s="74"/>
      <c r="J8" s="8">
        <f>IFERROR(__xludf.DUMMYFUNCTION("""COMPUTED_VALUE"""),5.0)</f>
        <v>5</v>
      </c>
      <c r="K8" s="8"/>
      <c r="L8" s="8"/>
      <c r="M8" s="8"/>
      <c r="N8" s="8"/>
      <c r="O8" s="8"/>
      <c r="P8" s="8"/>
      <c r="Q8" s="8"/>
      <c r="R8" s="8"/>
      <c r="S8" s="8"/>
      <c r="T8" s="8"/>
      <c r="U8" s="8"/>
      <c r="V8" s="8"/>
      <c r="W8" s="8"/>
      <c r="X8" s="8"/>
      <c r="Y8" s="8"/>
      <c r="Z8" s="8">
        <f>IFERROR(__xludf.DUMMYFUNCTION("""COMPUTED_VALUE"""),5.0)</f>
        <v>5</v>
      </c>
    </row>
    <row r="9">
      <c r="A9" s="5" t="b">
        <f>IFERROR(__xludf.DUMMYFUNCTION("""COMPUTED_VALUE"""),TRUE)</f>
        <v>1</v>
      </c>
      <c r="B9" s="5" t="str">
        <f>IFERROR(__xludf.DUMMYFUNCTION("""COMPUTED_VALUE"""),"Lieutenant")</f>
        <v>Lieutenant</v>
      </c>
      <c r="C9" s="15" t="str">
        <f>IFERROR(__xludf.DUMMYFUNCTION("""COMPUTED_VALUE"""),"Ronin")</f>
        <v>Ronin</v>
      </c>
      <c r="D9" s="75"/>
      <c r="E9" s="5" t="str">
        <f>IFERROR(__xludf.DUMMYFUNCTION("""COMPUTED_VALUE"""),"Cité de Blancherive")</f>
        <v>Cité de Blancherive</v>
      </c>
      <c r="F9" s="12" t="str">
        <f>IFERROR(__xludf.DUMMYFUNCTION("""COMPUTED_VALUE"""),"Garde, Intendant de la garde, Collecteur de la garde")</f>
        <v>Garde, Intendant de la garde, Collecteur de la garde</v>
      </c>
      <c r="G9" s="5" t="str">
        <f>IFERROR(__xludf.DUMMYFUNCTION("""COMPUTED_VALUE"""),"En service actif")</f>
        <v>En service actif</v>
      </c>
      <c r="H9" s="5" t="str">
        <f>IFERROR(__xludf.DUMMYFUNCTION("""COMPUTED_VALUE"""),"Guerrier")</f>
        <v>Guerrier</v>
      </c>
      <c r="I9" s="74">
        <f>IFERROR(__xludf.DUMMYFUNCTION("""COMPUTED_VALUE"""),46184.0)</f>
        <v>46184</v>
      </c>
      <c r="J9" s="8">
        <f>IFERROR(__xludf.DUMMYFUNCTION("""COMPUTED_VALUE"""),0.0)</f>
        <v>0</v>
      </c>
      <c r="K9" s="8"/>
      <c r="L9" s="8"/>
      <c r="M9" s="8"/>
      <c r="N9" s="8"/>
      <c r="O9" s="8"/>
      <c r="P9" s="8"/>
      <c r="Q9" s="8"/>
      <c r="R9" s="8"/>
      <c r="S9" s="8"/>
      <c r="T9" s="8"/>
      <c r="U9" s="8"/>
      <c r="V9" s="8"/>
      <c r="W9" s="8"/>
      <c r="X9" s="8"/>
      <c r="Y9" s="8"/>
      <c r="Z9" s="8">
        <f>IFERROR(__xludf.DUMMYFUNCTION("""COMPUTED_VALUE"""),6.0)</f>
        <v>6</v>
      </c>
    </row>
    <row r="10">
      <c r="A10" s="8" t="b">
        <f>IFERROR(__xludf.DUMMYFUNCTION("""COMPUTED_VALUE"""),TRUE)</f>
        <v>1</v>
      </c>
      <c r="B10" s="5" t="str">
        <f>IFERROR(__xludf.DUMMYFUNCTION("""COMPUTED_VALUE"""),"Lieutenant")</f>
        <v>Lieutenant</v>
      </c>
      <c r="C10" s="15" t="str">
        <f>IFERROR(__xludf.DUMMYFUNCTION("""COMPUTED_VALUE"""),"Thorin")</f>
        <v>Thorin</v>
      </c>
      <c r="D10" s="15" t="str">
        <f>IFERROR(__xludf.DUMMYFUNCTION("""COMPUTED_VALUE"""),"Rivegel")</f>
        <v>Rivegel</v>
      </c>
      <c r="E10" s="5" t="str">
        <f>IFERROR(__xludf.DUMMYFUNCTION("""COMPUTED_VALUE"""),"Cité de Blancherive")</f>
        <v>Cité de Blancherive</v>
      </c>
      <c r="F10" s="12" t="str">
        <f>IFERROR(__xludf.DUMMYFUNCTION("""COMPUTED_VALUE"""),"Eclaireur, Garde")</f>
        <v>Eclaireur, Garde</v>
      </c>
      <c r="G10" s="5" t="str">
        <f>IFERROR(__xludf.DUMMYFUNCTION("""COMPUTED_VALUE"""),"En service actif")</f>
        <v>En service actif</v>
      </c>
      <c r="H10" s="8" t="str">
        <f>IFERROR(__xludf.DUMMYFUNCTION("""COMPUTED_VALUE"""),"Guerrier")</f>
        <v>Guerrier</v>
      </c>
      <c r="I10" s="74"/>
      <c r="J10" s="8">
        <f>IFERROR(__xludf.DUMMYFUNCTION("""COMPUTED_VALUE"""),0.0)</f>
        <v>0</v>
      </c>
      <c r="K10" s="8"/>
      <c r="L10" s="8"/>
      <c r="M10" s="8"/>
      <c r="N10" s="8"/>
      <c r="O10" s="8"/>
      <c r="P10" s="8"/>
      <c r="Q10" s="8"/>
      <c r="R10" s="8"/>
      <c r="S10" s="8"/>
      <c r="T10" s="8"/>
      <c r="U10" s="8"/>
      <c r="V10" s="8"/>
      <c r="W10" s="8"/>
      <c r="X10" s="8"/>
      <c r="Y10" s="8"/>
      <c r="Z10" s="8">
        <f>IFERROR(__xludf.DUMMYFUNCTION("""COMPUTED_VALUE"""),6.0)</f>
        <v>6</v>
      </c>
    </row>
    <row r="11">
      <c r="A11" s="8" t="b">
        <f>IFERROR(__xludf.DUMMYFUNCTION("""COMPUTED_VALUE"""),FALSE)</f>
        <v>0</v>
      </c>
      <c r="B11" s="5" t="str">
        <f>IFERROR(__xludf.DUMMYFUNCTION("""COMPUTED_VALUE"""),"Lieutenant")</f>
        <v>Lieutenant</v>
      </c>
      <c r="C11" s="15" t="str">
        <f>IFERROR(__xludf.DUMMYFUNCTION("""COMPUTED_VALUE"""),"Encore-Un-Espoir")</f>
        <v>Encore-Un-Espoir</v>
      </c>
      <c r="D11" s="18"/>
      <c r="E11" s="5" t="str">
        <f>IFERROR(__xludf.DUMMYFUNCTION("""COMPUTED_VALUE"""),"Cité de Blancherive")</f>
        <v>Cité de Blancherive</v>
      </c>
      <c r="F11" s="12" t="str">
        <f>IFERROR(__xludf.DUMMYFUNCTION("""COMPUTED_VALUE"""),"Garde, Tortionnaire, Instructeur")</f>
        <v>Garde, Tortionnaire, Instructeur</v>
      </c>
      <c r="G11" s="5" t="str">
        <f>IFERROR(__xludf.DUMMYFUNCTION("""COMPUTED_VALUE"""),"En service actif")</f>
        <v>En service actif</v>
      </c>
      <c r="H11" s="8"/>
      <c r="I11" s="74"/>
      <c r="J11" s="8">
        <f>IFERROR(__xludf.DUMMYFUNCTION("""COMPUTED_VALUE"""),0.0)</f>
        <v>0</v>
      </c>
      <c r="K11" s="8"/>
      <c r="L11" s="8"/>
      <c r="M11" s="8"/>
      <c r="N11" s="8"/>
      <c r="O11" s="8"/>
      <c r="P11" s="8"/>
      <c r="Q11" s="8"/>
      <c r="R11" s="8"/>
      <c r="S11" s="8"/>
      <c r="T11" s="8"/>
      <c r="U11" s="8"/>
      <c r="V11" s="8"/>
      <c r="W11" s="8"/>
      <c r="X11" s="8"/>
      <c r="Y11" s="8"/>
      <c r="Z11" s="8">
        <f>IFERROR(__xludf.DUMMYFUNCTION("""COMPUTED_VALUE"""),6.0)</f>
        <v>6</v>
      </c>
    </row>
    <row r="12">
      <c r="A12" s="5" t="b">
        <f>IFERROR(__xludf.DUMMYFUNCTION("""COMPUTED_VALUE"""),TRUE)</f>
        <v>1</v>
      </c>
      <c r="B12" s="5" t="str">
        <f>IFERROR(__xludf.DUMMYFUNCTION("""COMPUTED_VALUE"""),"Sergent-Chef")</f>
        <v>Sergent-Chef</v>
      </c>
      <c r="C12" s="15" t="str">
        <f>IFERROR(__xludf.DUMMYFUNCTION("""COMPUTED_VALUE"""),"Rorik")</f>
        <v>Rorik</v>
      </c>
      <c r="D12" s="18" t="str">
        <f>IFERROR(__xludf.DUMMYFUNCTION("""COMPUTED_VALUE"""),"Marche-Hiver")</f>
        <v>Marche-Hiver</v>
      </c>
      <c r="E12" s="5" t="str">
        <f>IFERROR(__xludf.DUMMYFUNCTION("""COMPUTED_VALUE"""),"Cité de Blancherive")</f>
        <v>Cité de Blancherive</v>
      </c>
      <c r="F12" s="12" t="str">
        <f>IFERROR(__xludf.DUMMYFUNCTION("""COMPUTED_VALUE"""),"Garde")</f>
        <v>Garde</v>
      </c>
      <c r="G12" s="5" t="str">
        <f>IFERROR(__xludf.DUMMYFUNCTION("""COMPUTED_VALUE"""),"En service actif")</f>
        <v>En service actif</v>
      </c>
      <c r="H12" s="5"/>
      <c r="I12" s="74"/>
      <c r="J12" s="8">
        <f>IFERROR(__xludf.DUMMYFUNCTION("""COMPUTED_VALUE"""),12.0)</f>
        <v>12</v>
      </c>
      <c r="K12" s="8"/>
      <c r="L12" s="8"/>
      <c r="M12" s="8"/>
      <c r="N12" s="8"/>
      <c r="O12" s="8"/>
      <c r="P12" s="8"/>
      <c r="Q12" s="8"/>
      <c r="R12" s="8"/>
      <c r="S12" s="8"/>
      <c r="T12" s="8"/>
      <c r="U12" s="8"/>
      <c r="V12" s="8"/>
      <c r="W12" s="8"/>
      <c r="X12" s="8"/>
      <c r="Y12" s="8"/>
      <c r="Z12" s="8">
        <f>IFERROR(__xludf.DUMMYFUNCTION("""COMPUTED_VALUE"""),7.0)</f>
        <v>7</v>
      </c>
    </row>
    <row r="13">
      <c r="A13" s="5" t="b">
        <f>IFERROR(__xludf.DUMMYFUNCTION("""COMPUTED_VALUE"""),TRUE)</f>
        <v>1</v>
      </c>
      <c r="B13" s="5" t="str">
        <f>IFERROR(__xludf.DUMMYFUNCTION("""COMPUTED_VALUE"""),"Sergent-Chef")</f>
        <v>Sergent-Chef</v>
      </c>
      <c r="C13" s="15" t="str">
        <f>IFERROR(__xludf.DUMMYFUNCTION("""COMPUTED_VALUE"""),"Erwan")</f>
        <v>Erwan</v>
      </c>
      <c r="D13" s="18"/>
      <c r="E13" s="5" t="str">
        <f>IFERROR(__xludf.DUMMYFUNCTION("""COMPUTED_VALUE"""),"Cité de Blancherive")</f>
        <v>Cité de Blancherive</v>
      </c>
      <c r="F13" s="12" t="str">
        <f>IFERROR(__xludf.DUMMYFUNCTION("""COMPUTED_VALUE"""),"Garde")</f>
        <v>Garde</v>
      </c>
      <c r="G13" s="5" t="str">
        <f>IFERROR(__xludf.DUMMYFUNCTION("""COMPUTED_VALUE"""),"En service actif")</f>
        <v>En service actif</v>
      </c>
      <c r="H13" s="5"/>
      <c r="I13" s="74"/>
      <c r="J13" s="8">
        <f>IFERROR(__xludf.DUMMYFUNCTION("""COMPUTED_VALUE"""),0.0)</f>
        <v>0</v>
      </c>
      <c r="K13" s="8"/>
      <c r="L13" s="8"/>
      <c r="M13" s="8"/>
      <c r="N13" s="8"/>
      <c r="O13" s="8"/>
      <c r="P13" s="8"/>
      <c r="Q13" s="8"/>
      <c r="R13" s="8"/>
      <c r="S13" s="8"/>
      <c r="T13" s="8"/>
      <c r="U13" s="8"/>
      <c r="V13" s="8"/>
      <c r="W13" s="8"/>
      <c r="X13" s="8"/>
      <c r="Y13" s="8"/>
      <c r="Z13" s="8">
        <f>IFERROR(__xludf.DUMMYFUNCTION("""COMPUTED_VALUE"""),7.0)</f>
        <v>7</v>
      </c>
    </row>
    <row r="14">
      <c r="A14" s="5" t="b">
        <f>IFERROR(__xludf.DUMMYFUNCTION("""COMPUTED_VALUE"""),TRUE)</f>
        <v>1</v>
      </c>
      <c r="B14" s="5" t="str">
        <f>IFERROR(__xludf.DUMMYFUNCTION("""COMPUTED_VALUE"""),"Caporal-Chef")</f>
        <v>Caporal-Chef</v>
      </c>
      <c r="C14" s="15" t="str">
        <f>IFERROR(__xludf.DUMMYFUNCTION("""COMPUTED_VALUE"""),"Ilflynn")</f>
        <v>Ilflynn</v>
      </c>
      <c r="D14" s="15"/>
      <c r="E14" s="5" t="str">
        <f>IFERROR(__xludf.DUMMYFUNCTION("""COMPUTED_VALUE"""),"Cité de Blancherive")</f>
        <v>Cité de Blancherive</v>
      </c>
      <c r="F14" s="12" t="str">
        <f>IFERROR(__xludf.DUMMYFUNCTION("""COMPUTED_VALUE"""),"Garde")</f>
        <v>Garde</v>
      </c>
      <c r="G14" s="5" t="str">
        <f>IFERROR(__xludf.DUMMYFUNCTION("""COMPUTED_VALUE"""),"En service actif")</f>
        <v>En service actif</v>
      </c>
      <c r="H14" s="8"/>
      <c r="I14" s="74"/>
      <c r="J14" s="8">
        <f>IFERROR(__xludf.DUMMYFUNCTION("""COMPUTED_VALUE"""),0.0)</f>
        <v>0</v>
      </c>
      <c r="K14" s="8"/>
      <c r="L14" s="8"/>
      <c r="M14" s="8"/>
      <c r="N14" s="8"/>
      <c r="O14" s="8"/>
      <c r="P14" s="8"/>
      <c r="Q14" s="8"/>
      <c r="R14" s="8"/>
      <c r="S14" s="8"/>
      <c r="T14" s="8"/>
      <c r="U14" s="8"/>
      <c r="V14" s="8"/>
      <c r="W14" s="8"/>
      <c r="X14" s="8"/>
      <c r="Y14" s="8"/>
      <c r="Z14" s="8">
        <f>IFERROR(__xludf.DUMMYFUNCTION("""COMPUTED_VALUE"""),9.0)</f>
        <v>9</v>
      </c>
    </row>
    <row r="15">
      <c r="A15" s="5" t="b">
        <f>IFERROR(__xludf.DUMMYFUNCTION("""COMPUTED_VALUE"""),TRUE)</f>
        <v>1</v>
      </c>
      <c r="B15" s="5" t="str">
        <f>IFERROR(__xludf.DUMMYFUNCTION("""COMPUTED_VALUE"""),"Garde")</f>
        <v>Garde</v>
      </c>
      <c r="C15" s="15" t="str">
        <f>IFERROR(__xludf.DUMMYFUNCTION("""COMPUTED_VALUE"""),"Andor")</f>
        <v>Andor</v>
      </c>
      <c r="D15" s="15" t="str">
        <f>IFERROR(__xludf.DUMMYFUNCTION("""COMPUTED_VALUE"""),"Viraes")</f>
        <v>Viraes</v>
      </c>
      <c r="E15" s="5" t="str">
        <f>IFERROR(__xludf.DUMMYFUNCTION("""COMPUTED_VALUE"""),"Cité de Blancherive")</f>
        <v>Cité de Blancherive</v>
      </c>
      <c r="F15" s="12" t="str">
        <f>IFERROR(__xludf.DUMMYFUNCTION("""COMPUTED_VALUE"""),"Garde")</f>
        <v>Garde</v>
      </c>
      <c r="G15" s="5" t="str">
        <f>IFERROR(__xludf.DUMMYFUNCTION("""COMPUTED_VALUE"""),"En service actif")</f>
        <v>En service actif</v>
      </c>
      <c r="H15" s="8"/>
      <c r="I15" s="74"/>
      <c r="J15" s="8">
        <f>IFERROR(__xludf.DUMMYFUNCTION("""COMPUTED_VALUE"""),1.0)</f>
        <v>1</v>
      </c>
      <c r="K15" s="8"/>
      <c r="L15" s="8"/>
      <c r="M15" s="8"/>
      <c r="N15" s="8"/>
      <c r="O15" s="8"/>
      <c r="P15" s="8"/>
      <c r="Q15" s="8"/>
      <c r="R15" s="8"/>
      <c r="S15" s="8"/>
      <c r="T15" s="8"/>
      <c r="U15" s="8"/>
      <c r="V15" s="8"/>
      <c r="W15" s="8"/>
      <c r="X15" s="8"/>
      <c r="Y15" s="8"/>
      <c r="Z15" s="8">
        <f>IFERROR(__xludf.DUMMYFUNCTION("""COMPUTED_VALUE"""),11.0)</f>
        <v>11</v>
      </c>
    </row>
    <row r="16">
      <c r="A16" s="5" t="b">
        <f>IFERROR(__xludf.DUMMYFUNCTION("""COMPUTED_VALUE"""),TRUE)</f>
        <v>1</v>
      </c>
      <c r="B16" s="5" t="str">
        <f>IFERROR(__xludf.DUMMYFUNCTION("""COMPUTED_VALUE"""),"Garde")</f>
        <v>Garde</v>
      </c>
      <c r="C16" s="15" t="str">
        <f>IFERROR(__xludf.DUMMYFUNCTION("""COMPUTED_VALUE"""),"Athlan")</f>
        <v>Athlan</v>
      </c>
      <c r="D16" s="15"/>
      <c r="E16" s="5" t="str">
        <f>IFERROR(__xludf.DUMMYFUNCTION("""COMPUTED_VALUE"""),"Cité de Blancherive")</f>
        <v>Cité de Blancherive</v>
      </c>
      <c r="F16" s="12" t="str">
        <f>IFERROR(__xludf.DUMMYFUNCTION("""COMPUTED_VALUE"""),"Garde")</f>
        <v>Garde</v>
      </c>
      <c r="G16" s="5" t="str">
        <f>IFERROR(__xludf.DUMMYFUNCTION("""COMPUTED_VALUE"""),"Démissionnaire")</f>
        <v>Démissionnaire</v>
      </c>
      <c r="H16" s="8"/>
      <c r="I16" s="74"/>
      <c r="J16" s="8">
        <f>IFERROR(__xludf.DUMMYFUNCTION("""COMPUTED_VALUE"""),0.0)</f>
        <v>0</v>
      </c>
      <c r="K16" s="8"/>
      <c r="L16" s="8"/>
      <c r="M16" s="8"/>
      <c r="N16" s="8"/>
      <c r="O16" s="8"/>
      <c r="P16" s="8"/>
      <c r="Q16" s="8"/>
      <c r="R16" s="8"/>
      <c r="S16" s="8"/>
      <c r="T16" s="8"/>
      <c r="U16" s="8"/>
      <c r="V16" s="8"/>
      <c r="W16" s="8"/>
      <c r="X16" s="8"/>
      <c r="Y16" s="8"/>
      <c r="Z16" s="8">
        <f>IFERROR(__xludf.DUMMYFUNCTION("""COMPUTED_VALUE"""),11.0)</f>
        <v>11</v>
      </c>
    </row>
    <row r="17">
      <c r="A17" s="5" t="b">
        <f>IFERROR(__xludf.DUMMYFUNCTION("""COMPUTED_VALUE"""),TRUE)</f>
        <v>1</v>
      </c>
      <c r="B17" s="5" t="str">
        <f>IFERROR(__xludf.DUMMYFUNCTION("""COMPUTED_VALUE"""),"Garde")</f>
        <v>Garde</v>
      </c>
      <c r="C17" s="15" t="str">
        <f>IFERROR(__xludf.DUMMYFUNCTION("""COMPUTED_VALUE"""),"Al'Dran")</f>
        <v>Al'Dran</v>
      </c>
      <c r="D17" s="15"/>
      <c r="E17" s="5" t="str">
        <f>IFERROR(__xludf.DUMMYFUNCTION("""COMPUTED_VALUE"""),"Cité de Blancherive")</f>
        <v>Cité de Blancherive</v>
      </c>
      <c r="F17" s="12" t="str">
        <f>IFERROR(__xludf.DUMMYFUNCTION("""COMPUTED_VALUE"""),"Garde")</f>
        <v>Garde</v>
      </c>
      <c r="G17" s="5" t="str">
        <f>IFERROR(__xludf.DUMMYFUNCTION("""COMPUTED_VALUE"""),"En service actif")</f>
        <v>En service actif</v>
      </c>
      <c r="H17" s="8"/>
      <c r="I17" s="74"/>
      <c r="J17" s="8">
        <f>IFERROR(__xludf.DUMMYFUNCTION("""COMPUTED_VALUE"""),0.0)</f>
        <v>0</v>
      </c>
      <c r="K17" s="8"/>
      <c r="L17" s="8"/>
      <c r="M17" s="8"/>
      <c r="N17" s="8"/>
      <c r="O17" s="8"/>
      <c r="P17" s="8"/>
      <c r="Q17" s="8"/>
      <c r="R17" s="8"/>
      <c r="S17" s="8"/>
      <c r="T17" s="8"/>
      <c r="U17" s="8"/>
      <c r="V17" s="8"/>
      <c r="W17" s="8"/>
      <c r="X17" s="8"/>
      <c r="Y17" s="8"/>
      <c r="Z17" s="8">
        <f>IFERROR(__xludf.DUMMYFUNCTION("""COMPUTED_VALUE"""),11.0)</f>
        <v>11</v>
      </c>
    </row>
    <row r="18">
      <c r="A18" s="5" t="b">
        <f>IFERROR(__xludf.DUMMYFUNCTION("""COMPUTED_VALUE"""),TRUE)</f>
        <v>1</v>
      </c>
      <c r="B18" s="5" t="str">
        <f>IFERROR(__xludf.DUMMYFUNCTION("""COMPUTED_VALUE"""),"Garde")</f>
        <v>Garde</v>
      </c>
      <c r="C18" s="15" t="str">
        <f>IFERROR(__xludf.DUMMYFUNCTION("""COMPUTED_VALUE"""),"Kendall")</f>
        <v>Kendall</v>
      </c>
      <c r="D18" s="18" t="str">
        <f>IFERROR(__xludf.DUMMYFUNCTION("""COMPUTED_VALUE"""),"Delamare")</f>
        <v>Delamare</v>
      </c>
      <c r="E18" s="5" t="str">
        <f>IFERROR(__xludf.DUMMYFUNCTION("""COMPUTED_VALUE"""),"Cité de Blancherive")</f>
        <v>Cité de Blancherive</v>
      </c>
      <c r="F18" s="12" t="str">
        <f>IFERROR(__xludf.DUMMYFUNCTION("""COMPUTED_VALUE"""),"Garde")</f>
        <v>Garde</v>
      </c>
      <c r="G18" s="5" t="str">
        <f>IFERROR(__xludf.DUMMYFUNCTION("""COMPUTED_VALUE"""),"En service actif")</f>
        <v>En service actif</v>
      </c>
      <c r="H18" s="8"/>
      <c r="I18" s="74"/>
      <c r="J18" s="8">
        <f>IFERROR(__xludf.DUMMYFUNCTION("""COMPUTED_VALUE"""),7.0)</f>
        <v>7</v>
      </c>
      <c r="K18" s="8"/>
      <c r="L18" s="8"/>
      <c r="M18" s="8"/>
      <c r="N18" s="8"/>
      <c r="O18" s="8"/>
      <c r="P18" s="8"/>
      <c r="Q18" s="8"/>
      <c r="R18" s="8"/>
      <c r="S18" s="8"/>
      <c r="T18" s="8"/>
      <c r="U18" s="8"/>
      <c r="V18" s="8"/>
      <c r="W18" s="8"/>
      <c r="X18" s="8"/>
      <c r="Y18" s="8"/>
      <c r="Z18" s="8">
        <f>IFERROR(__xludf.DUMMYFUNCTION("""COMPUTED_VALUE"""),11.0)</f>
        <v>11</v>
      </c>
    </row>
    <row r="19">
      <c r="A19" s="5" t="b">
        <f>IFERROR(__xludf.DUMMYFUNCTION("""COMPUTED_VALUE"""),FALSE)</f>
        <v>0</v>
      </c>
      <c r="B19" s="5" t="str">
        <f>IFERROR(__xludf.DUMMYFUNCTION("""COMPUTED_VALUE"""),"Garde")</f>
        <v>Garde</v>
      </c>
      <c r="C19" s="15" t="str">
        <f>IFERROR(__xludf.DUMMYFUNCTION("""COMPUTED_VALUE"""),"Bjorn")</f>
        <v>Bjorn</v>
      </c>
      <c r="D19" s="18" t="str">
        <f>IFERROR(__xludf.DUMMYFUNCTION("""COMPUTED_VALUE"""),"Kornseen")</f>
        <v>Kornseen</v>
      </c>
      <c r="E19" s="5" t="str">
        <f>IFERROR(__xludf.DUMMYFUNCTION("""COMPUTED_VALUE"""),"Cité de Blancherive")</f>
        <v>Cité de Blancherive</v>
      </c>
      <c r="F19" s="12" t="str">
        <f>IFERROR(__xludf.DUMMYFUNCTION("""COMPUTED_VALUE"""),"Garde")</f>
        <v>Garde</v>
      </c>
      <c r="G19" s="5" t="str">
        <f>IFERROR(__xludf.DUMMYFUNCTION("""COMPUTED_VALUE"""),"En service actif")</f>
        <v>En service actif</v>
      </c>
      <c r="H19" s="8"/>
      <c r="I19" s="74"/>
      <c r="J19" s="8">
        <f>IFERROR(__xludf.DUMMYFUNCTION("""COMPUTED_VALUE"""),9.0)</f>
        <v>9</v>
      </c>
      <c r="K19" s="8"/>
      <c r="L19" s="8"/>
      <c r="M19" s="8"/>
      <c r="N19" s="8"/>
      <c r="O19" s="8"/>
      <c r="P19" s="8"/>
      <c r="Q19" s="8"/>
      <c r="R19" s="8"/>
      <c r="S19" s="8"/>
      <c r="T19" s="8"/>
      <c r="U19" s="8"/>
      <c r="V19" s="8"/>
      <c r="W19" s="8"/>
      <c r="X19" s="8"/>
      <c r="Y19" s="8"/>
      <c r="Z19" s="8">
        <f>IFERROR(__xludf.DUMMYFUNCTION("""COMPUTED_VALUE"""),11.0)</f>
        <v>11</v>
      </c>
    </row>
    <row r="20">
      <c r="A20" s="5" t="b">
        <f>IFERROR(__xludf.DUMMYFUNCTION("""COMPUTED_VALUE"""),FALSE)</f>
        <v>0</v>
      </c>
      <c r="B20" s="5" t="str">
        <f>IFERROR(__xludf.DUMMYFUNCTION("""COMPUTED_VALUE"""),"Garde")</f>
        <v>Garde</v>
      </c>
      <c r="C20" s="15" t="str">
        <f>IFERROR(__xludf.DUMMYFUNCTION("""COMPUTED_VALUE"""),"Wulfgar")</f>
        <v>Wulfgar</v>
      </c>
      <c r="D20" s="18" t="str">
        <f>IFERROR(__xludf.DUMMYFUNCTION("""COMPUTED_VALUE"""),"Durrock")</f>
        <v>Durrock</v>
      </c>
      <c r="E20" s="5" t="str">
        <f>IFERROR(__xludf.DUMMYFUNCTION("""COMPUTED_VALUE"""),"Cité de Blancherive")</f>
        <v>Cité de Blancherive</v>
      </c>
      <c r="F20" s="12" t="str">
        <f>IFERROR(__xludf.DUMMYFUNCTION("""COMPUTED_VALUE"""),"Garde")</f>
        <v>Garde</v>
      </c>
      <c r="G20" s="5" t="str">
        <f>IFERROR(__xludf.DUMMYFUNCTION("""COMPUTED_VALUE"""),"En service actif")</f>
        <v>En service actif</v>
      </c>
      <c r="H20" s="8"/>
      <c r="I20" s="74"/>
      <c r="J20" s="8">
        <f>IFERROR(__xludf.DUMMYFUNCTION("""COMPUTED_VALUE"""),5.0)</f>
        <v>5</v>
      </c>
      <c r="K20" s="8"/>
      <c r="L20" s="8"/>
      <c r="M20" s="8"/>
      <c r="N20" s="8"/>
      <c r="O20" s="8"/>
      <c r="P20" s="8"/>
      <c r="Q20" s="8"/>
      <c r="R20" s="8"/>
      <c r="S20" s="8"/>
      <c r="T20" s="8"/>
      <c r="U20" s="8"/>
      <c r="V20" s="8"/>
      <c r="W20" s="8"/>
      <c r="X20" s="8"/>
      <c r="Y20" s="8"/>
      <c r="Z20" s="8">
        <f>IFERROR(__xludf.DUMMYFUNCTION("""COMPUTED_VALUE"""),11.0)</f>
        <v>11</v>
      </c>
    </row>
    <row r="21">
      <c r="A21" s="5" t="b">
        <f>IFERROR(__xludf.DUMMYFUNCTION("""COMPUTED_VALUE"""),FALSE)</f>
        <v>0</v>
      </c>
      <c r="B21" s="5" t="str">
        <f>IFERROR(__xludf.DUMMYFUNCTION("""COMPUTED_VALUE"""),"Garde")</f>
        <v>Garde</v>
      </c>
      <c r="C21" s="15" t="str">
        <f>IFERROR(__xludf.DUMMYFUNCTION("""COMPUTED_VALUE"""),"Lyosha ")</f>
        <v>Lyosha </v>
      </c>
      <c r="D21" s="15" t="str">
        <f>IFERROR(__xludf.DUMMYFUNCTION("""COMPUTED_VALUE"""),"Sullapierre")</f>
        <v>Sullapierre</v>
      </c>
      <c r="E21" s="5" t="str">
        <f>IFERROR(__xludf.DUMMYFUNCTION("""COMPUTED_VALUE"""),"Cité de Blancherive")</f>
        <v>Cité de Blancherive</v>
      </c>
      <c r="F21" s="12" t="str">
        <f>IFERROR(__xludf.DUMMYFUNCTION("""COMPUTED_VALUE"""),"Garde")</f>
        <v>Garde</v>
      </c>
      <c r="G21" s="5" t="str">
        <f>IFERROR(__xludf.DUMMYFUNCTION("""COMPUTED_VALUE"""),"Mis en réserve")</f>
        <v>Mis en réserve</v>
      </c>
      <c r="H21" s="5"/>
      <c r="I21" s="74"/>
      <c r="J21" s="8">
        <f>IFERROR(__xludf.DUMMYFUNCTION("""COMPUTED_VALUE"""),0.0)</f>
        <v>0</v>
      </c>
      <c r="K21" s="8"/>
      <c r="L21" s="8"/>
      <c r="M21" s="8"/>
      <c r="N21" s="8"/>
      <c r="O21" s="8"/>
      <c r="P21" s="8"/>
      <c r="Q21" s="8"/>
      <c r="R21" s="8"/>
      <c r="S21" s="8"/>
      <c r="T21" s="8"/>
      <c r="U21" s="8"/>
      <c r="V21" s="8"/>
      <c r="W21" s="8"/>
      <c r="X21" s="8"/>
      <c r="Y21" s="8"/>
      <c r="Z21" s="8">
        <f>IFERROR(__xludf.DUMMYFUNCTION("""COMPUTED_VALUE"""),11.0)</f>
        <v>11</v>
      </c>
    </row>
    <row r="22">
      <c r="A22" s="5" t="b">
        <f>IFERROR(__xludf.DUMMYFUNCTION("""COMPUTED_VALUE"""),FALSE)</f>
        <v>0</v>
      </c>
      <c r="B22" s="5" t="str">
        <f>IFERROR(__xludf.DUMMYFUNCTION("""COMPUTED_VALUE"""),"Garde")</f>
        <v>Garde</v>
      </c>
      <c r="C22" s="15" t="str">
        <f>IFERROR(__xludf.DUMMYFUNCTION("""COMPUTED_VALUE"""),"Brandon ")</f>
        <v>Brandon </v>
      </c>
      <c r="D22" s="15" t="str">
        <f>IFERROR(__xludf.DUMMYFUNCTION("""COMPUTED_VALUE"""),"Alprazz")</f>
        <v>Alprazz</v>
      </c>
      <c r="E22" s="5" t="str">
        <f>IFERROR(__xludf.DUMMYFUNCTION("""COMPUTED_VALUE"""),"Cité de Blancherive")</f>
        <v>Cité de Blancherive</v>
      </c>
      <c r="F22" s="12" t="str">
        <f>IFERROR(__xludf.DUMMYFUNCTION("""COMPUTED_VALUE"""),"Garde")</f>
        <v>Garde</v>
      </c>
      <c r="G22" s="5" t="str">
        <f>IFERROR(__xludf.DUMMYFUNCTION("""COMPUTED_VALUE"""),"Mis en réserve")</f>
        <v>Mis en réserve</v>
      </c>
      <c r="H22" s="5"/>
      <c r="I22" s="74"/>
      <c r="J22" s="8">
        <f>IFERROR(__xludf.DUMMYFUNCTION("""COMPUTED_VALUE"""),0.0)</f>
        <v>0</v>
      </c>
      <c r="K22" s="8"/>
      <c r="L22" s="8"/>
      <c r="M22" s="8"/>
      <c r="N22" s="8"/>
      <c r="O22" s="8"/>
      <c r="P22" s="8"/>
      <c r="Q22" s="8"/>
      <c r="R22" s="8"/>
      <c r="S22" s="8"/>
      <c r="T22" s="8"/>
      <c r="U22" s="8"/>
      <c r="V22" s="8"/>
      <c r="W22" s="8"/>
      <c r="X22" s="8"/>
      <c r="Y22" s="8"/>
      <c r="Z22" s="8">
        <f>IFERROR(__xludf.DUMMYFUNCTION("""COMPUTED_VALUE"""),11.0)</f>
        <v>11</v>
      </c>
    </row>
    <row r="23">
      <c r="A23" s="5" t="b">
        <f>IFERROR(__xludf.DUMMYFUNCTION("""COMPUTED_VALUE"""),FALSE)</f>
        <v>0</v>
      </c>
      <c r="B23" s="5" t="str">
        <f>IFERROR(__xludf.DUMMYFUNCTION("""COMPUTED_VALUE"""),"Garde")</f>
        <v>Garde</v>
      </c>
      <c r="C23" s="15" t="str">
        <f>IFERROR(__xludf.DUMMYFUNCTION("""COMPUTED_VALUE"""),"Selene")</f>
        <v>Selene</v>
      </c>
      <c r="D23" s="15"/>
      <c r="E23" s="5" t="str">
        <f>IFERROR(__xludf.DUMMYFUNCTION("""COMPUTED_VALUE"""),"Cité de Blancherive")</f>
        <v>Cité de Blancherive</v>
      </c>
      <c r="F23" s="12" t="str">
        <f>IFERROR(__xludf.DUMMYFUNCTION("""COMPUTED_VALUE"""),"Garde")</f>
        <v>Garde</v>
      </c>
      <c r="G23" s="5" t="str">
        <f>IFERROR(__xludf.DUMMYFUNCTION("""COMPUTED_VALUE"""),"Mis en réserve")</f>
        <v>Mis en réserve</v>
      </c>
      <c r="H23" s="5"/>
      <c r="I23" s="74"/>
      <c r="J23" s="8">
        <f>IFERROR(__xludf.DUMMYFUNCTION("""COMPUTED_VALUE"""),0.0)</f>
        <v>0</v>
      </c>
      <c r="K23" s="8"/>
      <c r="L23" s="8"/>
      <c r="M23" s="8"/>
      <c r="N23" s="8"/>
      <c r="O23" s="8"/>
      <c r="P23" s="8"/>
      <c r="Q23" s="8"/>
      <c r="R23" s="8"/>
      <c r="S23" s="8"/>
      <c r="T23" s="8"/>
      <c r="U23" s="8"/>
      <c r="V23" s="8"/>
      <c r="W23" s="8"/>
      <c r="X23" s="8"/>
      <c r="Y23" s="8"/>
      <c r="Z23" s="8">
        <f>IFERROR(__xludf.DUMMYFUNCTION("""COMPUTED_VALUE"""),11.0)</f>
        <v>11</v>
      </c>
    </row>
    <row r="24">
      <c r="A24" s="5" t="b">
        <f>IFERROR(__xludf.DUMMYFUNCTION("""COMPUTED_VALUE"""),FALSE)</f>
        <v>0</v>
      </c>
      <c r="B24" s="5" t="str">
        <f>IFERROR(__xludf.DUMMYFUNCTION("""COMPUTED_VALUE"""),"Cadet")</f>
        <v>Cadet</v>
      </c>
      <c r="C24" s="15" t="str">
        <f>IFERROR(__xludf.DUMMYFUNCTION("""COMPUTED_VALUE"""),"Eldrim")</f>
        <v>Eldrim</v>
      </c>
      <c r="D24" s="18" t="str">
        <f>IFERROR(__xludf.DUMMYFUNCTION("""COMPUTED_VALUE"""),"Hache-Grise")</f>
        <v>Hache-Grise</v>
      </c>
      <c r="E24" s="5" t="str">
        <f>IFERROR(__xludf.DUMMYFUNCTION("""COMPUTED_VALUE"""),"Cité de Blancherive")</f>
        <v>Cité de Blancherive</v>
      </c>
      <c r="F24" s="12" t="str">
        <f>IFERROR(__xludf.DUMMYFUNCTION("""COMPUTED_VALUE"""),"Garde")</f>
        <v>Garde</v>
      </c>
      <c r="G24" s="5" t="str">
        <f>IFERROR(__xludf.DUMMYFUNCTION("""COMPUTED_VALUE"""),"En service actif")</f>
        <v>En service actif</v>
      </c>
      <c r="H24" s="5"/>
      <c r="I24" s="74"/>
      <c r="J24" s="8">
        <f>IFERROR(__xludf.DUMMYFUNCTION("""COMPUTED_VALUE"""),0.0)</f>
        <v>0</v>
      </c>
      <c r="K24" s="8"/>
      <c r="L24" s="8"/>
      <c r="M24" s="8"/>
      <c r="N24" s="8"/>
      <c r="O24" s="8"/>
      <c r="P24" s="8"/>
      <c r="Q24" s="8"/>
      <c r="R24" s="8"/>
      <c r="S24" s="8"/>
      <c r="T24" s="8"/>
      <c r="U24" s="8"/>
      <c r="V24" s="8"/>
      <c r="W24" s="8"/>
      <c r="X24" s="8"/>
      <c r="Y24" s="8"/>
      <c r="Z24" s="8">
        <f>IFERROR(__xludf.DUMMYFUNCTION("""COMPUTED_VALUE"""),12.0)</f>
        <v>12</v>
      </c>
    </row>
    <row r="25">
      <c r="A25" s="5" t="b">
        <f>IFERROR(__xludf.DUMMYFUNCTION("""COMPUTED_VALUE"""),FALSE)</f>
        <v>0</v>
      </c>
      <c r="B25" s="5" t="str">
        <f>IFERROR(__xludf.DUMMYFUNCTION("""COMPUTED_VALUE"""),"Recrue")</f>
        <v>Recrue</v>
      </c>
      <c r="C25" s="15" t="str">
        <f>IFERROR(__xludf.DUMMYFUNCTION("""COMPUTED_VALUE"""),"Ro'minet")</f>
        <v>Ro'minet</v>
      </c>
      <c r="D25" s="15"/>
      <c r="E25" s="5" t="str">
        <f>IFERROR(__xludf.DUMMYFUNCTION("""COMPUTED_VALUE"""),"Cité de Blancherive")</f>
        <v>Cité de Blancherive</v>
      </c>
      <c r="F25" s="12" t="str">
        <f>IFERROR(__xludf.DUMMYFUNCTION("""COMPUTED_VALUE"""),"Garde")</f>
        <v>Garde</v>
      </c>
      <c r="G25" s="5" t="str">
        <f>IFERROR(__xludf.DUMMYFUNCTION("""COMPUTED_VALUE"""),"Radié du service actif")</f>
        <v>Radié du service actif</v>
      </c>
      <c r="H25" s="8"/>
      <c r="I25" s="74"/>
      <c r="J25" s="8">
        <f>IFERROR(__xludf.DUMMYFUNCTION("""COMPUTED_VALUE"""),0.0)</f>
        <v>0</v>
      </c>
      <c r="K25" s="8"/>
      <c r="L25" s="8"/>
      <c r="M25" s="8"/>
      <c r="N25" s="8"/>
      <c r="O25" s="8"/>
      <c r="P25" s="8"/>
      <c r="Q25" s="8"/>
      <c r="R25" s="8"/>
      <c r="S25" s="8"/>
      <c r="T25" s="8"/>
      <c r="U25" s="8"/>
      <c r="V25" s="8"/>
      <c r="W25" s="8"/>
      <c r="X25" s="8"/>
      <c r="Y25" s="8"/>
      <c r="Z25" s="8">
        <f>IFERROR(__xludf.DUMMYFUNCTION("""COMPUTED_VALUE"""),13.0)</f>
        <v>13</v>
      </c>
    </row>
    <row r="26">
      <c r="A26" s="5" t="b">
        <f>IFERROR(__xludf.DUMMYFUNCTION("""COMPUTED_VALUE"""),FALSE)</f>
        <v>0</v>
      </c>
      <c r="B26" s="5" t="str">
        <f>IFERROR(__xludf.DUMMYFUNCTION("""COMPUTED_VALUE"""),"Recrue")</f>
        <v>Recrue</v>
      </c>
      <c r="C26" s="15" t="str">
        <f>IFERROR(__xludf.DUMMYFUNCTION("""COMPUTED_VALUE"""),"Aldric")</f>
        <v>Aldric</v>
      </c>
      <c r="D26" s="18" t="str">
        <f>IFERROR(__xludf.DUMMYFUNCTION("""COMPUTED_VALUE"""),"Cendre-coeur")</f>
        <v>Cendre-coeur</v>
      </c>
      <c r="E26" s="5" t="str">
        <f>IFERROR(__xludf.DUMMYFUNCTION("""COMPUTED_VALUE"""),"Cité de Blancherive")</f>
        <v>Cité de Blancherive</v>
      </c>
      <c r="F26" s="12" t="str">
        <f>IFERROR(__xludf.DUMMYFUNCTION("""COMPUTED_VALUE"""),"Garde")</f>
        <v>Garde</v>
      </c>
      <c r="G26" s="5" t="str">
        <f>IFERROR(__xludf.DUMMYFUNCTION("""COMPUTED_VALUE"""),"En service actif")</f>
        <v>En service actif</v>
      </c>
      <c r="H26" s="8"/>
      <c r="I26" s="74"/>
      <c r="J26" s="8">
        <f>IFERROR(__xludf.DUMMYFUNCTION("""COMPUTED_VALUE"""),2.0)</f>
        <v>2</v>
      </c>
      <c r="K26" s="8"/>
      <c r="L26" s="8"/>
      <c r="M26" s="8"/>
      <c r="N26" s="8"/>
      <c r="O26" s="8"/>
      <c r="P26" s="8"/>
      <c r="Q26" s="8"/>
      <c r="R26" s="8"/>
      <c r="S26" s="8"/>
      <c r="T26" s="8"/>
      <c r="U26" s="8"/>
      <c r="V26" s="8"/>
      <c r="W26" s="8"/>
      <c r="X26" s="8"/>
      <c r="Y26" s="8"/>
      <c r="Z26" s="8">
        <f>IFERROR(__xludf.DUMMYFUNCTION("""COMPUTED_VALUE"""),13.0)</f>
        <v>13</v>
      </c>
    </row>
    <row r="27">
      <c r="A27" s="5" t="b">
        <f>IFERROR(__xludf.DUMMYFUNCTION("""COMPUTED_VALUE"""),FALSE)</f>
        <v>0</v>
      </c>
      <c r="B27" s="5" t="str">
        <f>IFERROR(__xludf.DUMMYFUNCTION("""COMPUTED_VALUE"""),"Recrue")</f>
        <v>Recrue</v>
      </c>
      <c r="C27" s="15" t="str">
        <f>IFERROR(__xludf.DUMMYFUNCTION("""COMPUTED_VALUE"""),"Aldrok")</f>
        <v>Aldrok</v>
      </c>
      <c r="D27" s="18"/>
      <c r="E27" s="5" t="str">
        <f>IFERROR(__xludf.DUMMYFUNCTION("""COMPUTED_VALUE"""),"Cité de Blancherive")</f>
        <v>Cité de Blancherive</v>
      </c>
      <c r="F27" s="12" t="str">
        <f>IFERROR(__xludf.DUMMYFUNCTION("""COMPUTED_VALUE"""),"Garde")</f>
        <v>Garde</v>
      </c>
      <c r="G27" s="5" t="str">
        <f>IFERROR(__xludf.DUMMYFUNCTION("""COMPUTED_VALUE"""),"Radié du service actif")</f>
        <v>Radié du service actif</v>
      </c>
      <c r="H27" s="8"/>
      <c r="I27" s="74">
        <f>IFERROR(__xludf.DUMMYFUNCTION("""COMPUTED_VALUE"""),46265.0)</f>
        <v>46265</v>
      </c>
      <c r="J27" s="8">
        <f>IFERROR(__xludf.DUMMYFUNCTION("""COMPUTED_VALUE"""),0.0)</f>
        <v>0</v>
      </c>
      <c r="K27" s="8"/>
      <c r="L27" s="8"/>
      <c r="M27" s="8"/>
      <c r="N27" s="8"/>
      <c r="O27" s="8"/>
      <c r="P27" s="8"/>
      <c r="Q27" s="8"/>
      <c r="R27" s="8"/>
      <c r="S27" s="8"/>
      <c r="T27" s="8"/>
      <c r="U27" s="8"/>
      <c r="V27" s="8"/>
      <c r="W27" s="8"/>
      <c r="X27" s="8"/>
      <c r="Y27" s="8"/>
      <c r="Z27" s="8">
        <f>IFERROR(__xludf.DUMMYFUNCTION("""COMPUTED_VALUE"""),13.0)</f>
        <v>13</v>
      </c>
    </row>
    <row r="28">
      <c r="A28" s="5" t="b">
        <f>IFERROR(__xludf.DUMMYFUNCTION("""COMPUTED_VALUE"""),FALSE)</f>
        <v>0</v>
      </c>
      <c r="B28" s="5" t="str">
        <f>IFERROR(__xludf.DUMMYFUNCTION("""COMPUTED_VALUE"""),"Recrue")</f>
        <v>Recrue</v>
      </c>
      <c r="C28" s="15" t="str">
        <f>IFERROR(__xludf.DUMMYFUNCTION("""COMPUTED_VALUE"""),"Zeid")</f>
        <v>Zeid</v>
      </c>
      <c r="D28" s="15" t="str">
        <f>IFERROR(__xludf.DUMMYFUNCTION("""COMPUTED_VALUE"""),"Le Brise-Lames")</f>
        <v>Le Brise-Lames</v>
      </c>
      <c r="E28" s="5" t="str">
        <f>IFERROR(__xludf.DUMMYFUNCTION("""COMPUTED_VALUE"""),"Cité de Blancherive")</f>
        <v>Cité de Blancherive</v>
      </c>
      <c r="F28" s="12" t="str">
        <f>IFERROR(__xludf.DUMMYFUNCTION("""COMPUTED_VALUE"""),"Garde")</f>
        <v>Garde</v>
      </c>
      <c r="G28" s="5" t="str">
        <f>IFERROR(__xludf.DUMMYFUNCTION("""COMPUTED_VALUE"""),"En service actif")</f>
        <v>En service actif</v>
      </c>
      <c r="H28" s="8"/>
      <c r="I28" s="74">
        <f>IFERROR(__xludf.DUMMYFUNCTION("""COMPUTED_VALUE"""),46266.0)</f>
        <v>46266</v>
      </c>
      <c r="J28" s="8">
        <f>IFERROR(__xludf.DUMMYFUNCTION("""COMPUTED_VALUE"""),2.0)</f>
        <v>2</v>
      </c>
      <c r="K28" s="8"/>
      <c r="L28" s="8"/>
      <c r="M28" s="8"/>
      <c r="N28" s="8"/>
      <c r="O28" s="8"/>
      <c r="P28" s="8"/>
      <c r="Q28" s="8"/>
      <c r="R28" s="8"/>
      <c r="S28" s="8"/>
      <c r="T28" s="8"/>
      <c r="U28" s="8"/>
      <c r="V28" s="8"/>
      <c r="W28" s="8"/>
      <c r="X28" s="8"/>
      <c r="Y28" s="8"/>
      <c r="Z28" s="8">
        <f>IFERROR(__xludf.DUMMYFUNCTION("""COMPUTED_VALUE"""),13.0)</f>
        <v>13</v>
      </c>
    </row>
    <row r="29">
      <c r="A29" s="5" t="b">
        <f>IFERROR(__xludf.DUMMYFUNCTION("""COMPUTED_VALUE"""),FALSE)</f>
        <v>0</v>
      </c>
      <c r="B29" s="5" t="str">
        <f>IFERROR(__xludf.DUMMYFUNCTION("""COMPUTED_VALUE"""),"Recrue")</f>
        <v>Recrue</v>
      </c>
      <c r="C29" s="15" t="str">
        <f>IFERROR(__xludf.DUMMYFUNCTION("""COMPUTED_VALUE"""),"Gruseldorf")</f>
        <v>Gruseldorf</v>
      </c>
      <c r="D29" s="15" t="str">
        <f>IFERROR(__xludf.DUMMYFUNCTION("""COMPUTED_VALUE"""),"E. Jackeet")</f>
        <v>E. Jackeet</v>
      </c>
      <c r="E29" s="5" t="str">
        <f>IFERROR(__xludf.DUMMYFUNCTION("""COMPUTED_VALUE"""),"Cité de Blancherive")</f>
        <v>Cité de Blancherive</v>
      </c>
      <c r="F29" s="12" t="str">
        <f>IFERROR(__xludf.DUMMYFUNCTION("""COMPUTED_VALUE"""),"Garde")</f>
        <v>Garde</v>
      </c>
      <c r="G29" s="5" t="str">
        <f>IFERROR(__xludf.DUMMYFUNCTION("""COMPUTED_VALUE"""),"Radié du service actif")</f>
        <v>Radié du service actif</v>
      </c>
      <c r="H29" s="8"/>
      <c r="I29" s="74">
        <f>IFERROR(__xludf.DUMMYFUNCTION("""COMPUTED_VALUE"""),46264.0)</f>
        <v>46264</v>
      </c>
      <c r="J29" s="8">
        <f>IFERROR(__xludf.DUMMYFUNCTION("""COMPUTED_VALUE"""),0.0)</f>
        <v>0</v>
      </c>
      <c r="K29" s="8"/>
      <c r="L29" s="8"/>
      <c r="M29" s="8"/>
      <c r="N29" s="8"/>
      <c r="O29" s="8"/>
      <c r="P29" s="8"/>
      <c r="Q29" s="8"/>
      <c r="R29" s="8"/>
      <c r="S29" s="8"/>
      <c r="T29" s="8"/>
      <c r="U29" s="8"/>
      <c r="V29" s="8"/>
      <c r="W29" s="8"/>
      <c r="X29" s="8"/>
      <c r="Y29" s="8"/>
      <c r="Z29" s="8">
        <f>IFERROR(__xludf.DUMMYFUNCTION("""COMPUTED_VALUE"""),13.0)</f>
        <v>13</v>
      </c>
    </row>
    <row r="30">
      <c r="A30" s="5" t="b">
        <f>IFERROR(__xludf.DUMMYFUNCTION("""COMPUTED_VALUE"""),FALSE)</f>
        <v>0</v>
      </c>
      <c r="B30" s="5" t="str">
        <f>IFERROR(__xludf.DUMMYFUNCTION("""COMPUTED_VALUE"""),"Recrue")</f>
        <v>Recrue</v>
      </c>
      <c r="C30" s="15" t="str">
        <f>IFERROR(__xludf.DUMMYFUNCTION("""COMPUTED_VALUE"""),"Mordecai")</f>
        <v>Mordecai</v>
      </c>
      <c r="D30" s="18" t="str">
        <f>IFERROR(__xludf.DUMMYFUNCTION("""COMPUTED_VALUE"""),"E. Jackeet")</f>
        <v>E. Jackeet</v>
      </c>
      <c r="E30" s="5" t="str">
        <f>IFERROR(__xludf.DUMMYFUNCTION("""COMPUTED_VALUE"""),"Cité de Blancherive")</f>
        <v>Cité de Blancherive</v>
      </c>
      <c r="F30" s="12" t="str">
        <f>IFERROR(__xludf.DUMMYFUNCTION("""COMPUTED_VALUE"""),"Garde")</f>
        <v>Garde</v>
      </c>
      <c r="G30" s="5" t="str">
        <f>IFERROR(__xludf.DUMMYFUNCTION("""COMPUTED_VALUE"""),"Radié du service actif")</f>
        <v>Radié du service actif</v>
      </c>
      <c r="H30" s="8"/>
      <c r="I30" s="74">
        <f>IFERROR(__xludf.DUMMYFUNCTION("""COMPUTED_VALUE"""),46264.0)</f>
        <v>46264</v>
      </c>
      <c r="J30" s="8">
        <f>IFERROR(__xludf.DUMMYFUNCTION("""COMPUTED_VALUE"""),0.0)</f>
        <v>0</v>
      </c>
      <c r="K30" s="8"/>
      <c r="L30" s="8"/>
      <c r="M30" s="8"/>
      <c r="N30" s="8"/>
      <c r="O30" s="8"/>
      <c r="P30" s="8"/>
      <c r="Q30" s="8"/>
      <c r="R30" s="8"/>
      <c r="S30" s="8"/>
      <c r="T30" s="8"/>
      <c r="U30" s="8"/>
      <c r="V30" s="8"/>
      <c r="W30" s="8"/>
      <c r="X30" s="8"/>
      <c r="Y30" s="8"/>
      <c r="Z30" s="8">
        <f>IFERROR(__xludf.DUMMYFUNCTION("""COMPUTED_VALUE"""),13.0)</f>
        <v>13</v>
      </c>
    </row>
    <row r="31">
      <c r="A31" s="5"/>
      <c r="B31" s="5"/>
      <c r="C31" s="15"/>
      <c r="D31" s="18"/>
      <c r="E31" s="5"/>
      <c r="F31" s="12"/>
      <c r="G31" s="5"/>
      <c r="H31" s="8"/>
      <c r="I31" s="74"/>
    </row>
    <row r="32">
      <c r="A32" s="5"/>
      <c r="B32" s="5"/>
      <c r="C32" s="15"/>
      <c r="D32" s="15"/>
      <c r="E32" s="5"/>
      <c r="F32" s="12"/>
      <c r="G32" s="5"/>
      <c r="H32" s="8"/>
      <c r="I32" s="74"/>
    </row>
    <row r="33">
      <c r="A33" s="5"/>
      <c r="B33" s="5"/>
      <c r="C33" s="15"/>
      <c r="D33" s="15"/>
      <c r="E33" s="5"/>
      <c r="F33" s="12"/>
      <c r="G33" s="5"/>
      <c r="H33" s="8"/>
      <c r="I33" s="74"/>
    </row>
    <row r="34">
      <c r="A34" s="8"/>
      <c r="B34" s="5"/>
      <c r="C34" s="15"/>
      <c r="D34" s="18"/>
      <c r="E34" s="5"/>
      <c r="F34" s="12"/>
      <c r="G34" s="5"/>
      <c r="H34" s="8"/>
      <c r="I34" s="74"/>
    </row>
    <row r="35">
      <c r="A35" s="5"/>
      <c r="B35" s="5"/>
      <c r="C35" s="15"/>
      <c r="D35" s="18"/>
      <c r="E35" s="5"/>
      <c r="F35" s="12"/>
      <c r="G35" s="5"/>
      <c r="H35" s="8"/>
      <c r="I35" s="74"/>
    </row>
    <row r="36">
      <c r="A36" s="5"/>
      <c r="B36" s="5"/>
      <c r="C36" s="15"/>
      <c r="D36" s="15"/>
      <c r="E36" s="5"/>
      <c r="F36" s="12"/>
      <c r="G36" s="5"/>
      <c r="H36" s="8"/>
      <c r="I36" s="74"/>
    </row>
    <row r="37">
      <c r="A37" s="8"/>
      <c r="B37" s="5"/>
      <c r="C37" s="15"/>
      <c r="D37" s="15"/>
      <c r="E37" s="5"/>
      <c r="F37" s="12"/>
      <c r="G37" s="5"/>
      <c r="H37" s="8"/>
      <c r="I37" s="74"/>
    </row>
    <row r="38">
      <c r="A38" s="8"/>
      <c r="B38" s="5"/>
      <c r="C38" s="15"/>
      <c r="D38" s="15"/>
      <c r="E38" s="5"/>
      <c r="F38" s="12"/>
      <c r="G38" s="5"/>
      <c r="H38" s="8"/>
      <c r="I38" s="74"/>
    </row>
    <row r="39">
      <c r="A39" s="8"/>
      <c r="B39" s="5"/>
      <c r="C39" s="15"/>
      <c r="D39" s="18"/>
      <c r="E39" s="5"/>
      <c r="F39" s="12"/>
      <c r="G39" s="5"/>
      <c r="H39" s="8"/>
      <c r="I39" s="74"/>
    </row>
    <row r="40">
      <c r="A40" s="8"/>
      <c r="B40" s="5"/>
      <c r="C40" s="15"/>
      <c r="D40" s="18"/>
      <c r="E40" s="5"/>
      <c r="F40" s="12"/>
      <c r="G40" s="5"/>
      <c r="H40" s="5"/>
      <c r="I40" s="74"/>
    </row>
    <row r="41">
      <c r="A41" s="8"/>
      <c r="B41" s="8"/>
      <c r="C41" s="18"/>
      <c r="D41" s="18"/>
      <c r="E41" s="8"/>
      <c r="F41" s="8"/>
      <c r="G41" s="8"/>
      <c r="H41" s="8"/>
      <c r="I41" s="74"/>
    </row>
    <row r="42">
      <c r="A42" s="8"/>
      <c r="B42" s="8"/>
      <c r="C42" s="18"/>
      <c r="D42" s="18"/>
      <c r="E42" s="8"/>
      <c r="F42" s="8"/>
      <c r="G42" s="8"/>
      <c r="H42" s="8"/>
      <c r="I42" s="74"/>
    </row>
    <row r="43">
      <c r="A43" s="8"/>
      <c r="B43" s="8"/>
      <c r="C43" s="18"/>
      <c r="D43" s="18"/>
      <c r="E43" s="8"/>
      <c r="F43" s="8"/>
      <c r="G43" s="8"/>
      <c r="H43" s="8"/>
      <c r="I43" s="74"/>
    </row>
    <row r="44">
      <c r="A44" s="8"/>
      <c r="B44" s="8"/>
      <c r="C44" s="18"/>
      <c r="D44" s="18"/>
      <c r="E44" s="8"/>
      <c r="F44" s="8"/>
      <c r="G44" s="8"/>
      <c r="H44" s="8"/>
      <c r="I44" s="74"/>
    </row>
    <row r="45">
      <c r="A45" s="8"/>
      <c r="B45" s="8"/>
      <c r="C45" s="18"/>
      <c r="D45" s="18"/>
      <c r="E45" s="8"/>
      <c r="F45" s="8"/>
      <c r="G45" s="8"/>
      <c r="H45" s="8"/>
      <c r="I45" s="74"/>
    </row>
    <row r="46">
      <c r="A46" s="8"/>
      <c r="B46" s="8"/>
      <c r="C46" s="18"/>
      <c r="D46" s="18"/>
      <c r="E46" s="8"/>
      <c r="F46" s="8"/>
      <c r="G46" s="8"/>
      <c r="H46" s="8"/>
      <c r="I46" s="76"/>
    </row>
    <row r="47">
      <c r="A47" s="8"/>
      <c r="B47" s="8"/>
      <c r="C47" s="18"/>
      <c r="D47" s="18"/>
      <c r="E47" s="8"/>
      <c r="F47" s="8"/>
      <c r="G47" s="8"/>
      <c r="H47" s="8"/>
      <c r="I47" s="76"/>
    </row>
    <row r="48">
      <c r="A48" s="8"/>
      <c r="B48" s="8"/>
      <c r="C48" s="18"/>
      <c r="D48" s="18"/>
      <c r="E48" s="8"/>
      <c r="F48" s="8"/>
      <c r="G48" s="8"/>
      <c r="H48" s="8"/>
      <c r="I48" s="76"/>
    </row>
    <row r="49">
      <c r="A49" s="8"/>
      <c r="B49" s="8"/>
      <c r="C49" s="18"/>
      <c r="D49" s="18"/>
      <c r="E49" s="8"/>
      <c r="F49" s="8"/>
      <c r="G49" s="8"/>
      <c r="H49" s="8"/>
      <c r="I49" s="76"/>
    </row>
    <row r="50">
      <c r="A50" s="8"/>
      <c r="B50" s="8"/>
      <c r="C50" s="18"/>
      <c r="D50" s="18"/>
      <c r="E50" s="8"/>
      <c r="F50" s="8"/>
      <c r="G50" s="8"/>
      <c r="H50" s="8"/>
      <c r="I50" s="76"/>
    </row>
    <row r="51">
      <c r="A51" s="8"/>
      <c r="B51" s="8"/>
      <c r="C51" s="18"/>
      <c r="D51" s="18"/>
      <c r="E51" s="8"/>
      <c r="F51" s="8"/>
      <c r="G51" s="8"/>
      <c r="H51" s="8"/>
      <c r="I51" s="76"/>
    </row>
    <row r="52">
      <c r="A52" s="8"/>
      <c r="B52" s="8"/>
      <c r="C52" s="18"/>
      <c r="D52" s="18"/>
      <c r="E52" s="8"/>
      <c r="F52" s="8"/>
      <c r="G52" s="8"/>
      <c r="H52" s="8"/>
      <c r="I52" s="76"/>
    </row>
    <row r="53">
      <c r="A53" s="8"/>
      <c r="B53" s="8"/>
      <c r="C53" s="18"/>
      <c r="D53" s="18"/>
      <c r="E53" s="8"/>
      <c r="F53" s="8"/>
      <c r="G53" s="8"/>
      <c r="H53" s="8"/>
      <c r="I53" s="76"/>
    </row>
    <row r="54">
      <c r="A54" s="8"/>
      <c r="B54" s="8"/>
      <c r="C54" s="18"/>
      <c r="D54" s="18"/>
      <c r="E54" s="8"/>
      <c r="F54" s="8"/>
      <c r="G54" s="8"/>
      <c r="H54" s="8"/>
      <c r="I54" s="76"/>
    </row>
    <row r="55">
      <c r="A55" s="8"/>
      <c r="B55" s="8"/>
      <c r="C55" s="18"/>
      <c r="D55" s="18"/>
      <c r="E55" s="8"/>
      <c r="F55" s="8"/>
      <c r="G55" s="8"/>
      <c r="H55" s="8"/>
      <c r="I55" s="76"/>
    </row>
    <row r="56">
      <c r="A56" s="8"/>
      <c r="B56" s="8"/>
      <c r="C56" s="18"/>
      <c r="D56" s="18"/>
      <c r="E56" s="8"/>
      <c r="F56" s="8"/>
      <c r="G56" s="8"/>
      <c r="H56" s="8"/>
      <c r="I56" s="76"/>
    </row>
    <row r="57">
      <c r="A57" s="8"/>
      <c r="B57" s="8"/>
      <c r="C57" s="18"/>
      <c r="D57" s="18"/>
      <c r="E57" s="8"/>
      <c r="F57" s="8"/>
      <c r="G57" s="8"/>
      <c r="H57" s="8"/>
      <c r="I57" s="76"/>
    </row>
    <row r="58">
      <c r="A58" s="8"/>
      <c r="B58" s="8"/>
      <c r="C58" s="18"/>
      <c r="D58" s="18"/>
      <c r="E58" s="8"/>
      <c r="F58" s="8"/>
      <c r="G58" s="8"/>
      <c r="H58" s="8"/>
      <c r="I58" s="76"/>
    </row>
    <row r="59">
      <c r="A59" s="8"/>
      <c r="B59" s="8"/>
      <c r="C59" s="18"/>
      <c r="D59" s="18"/>
      <c r="E59" s="8"/>
      <c r="F59" s="8"/>
      <c r="G59" s="8"/>
      <c r="H59" s="8"/>
      <c r="I59" s="76"/>
    </row>
    <row r="60">
      <c r="A60" s="8"/>
      <c r="B60" s="8"/>
      <c r="C60" s="18"/>
      <c r="D60" s="18"/>
      <c r="E60" s="8"/>
      <c r="F60" s="8"/>
      <c r="G60" s="8"/>
      <c r="H60" s="8"/>
      <c r="I60" s="76"/>
    </row>
    <row r="61">
      <c r="A61" s="8"/>
      <c r="B61" s="8"/>
      <c r="C61" s="18"/>
      <c r="D61" s="18"/>
      <c r="E61" s="8"/>
      <c r="F61" s="8"/>
      <c r="G61" s="8"/>
      <c r="H61" s="8"/>
      <c r="I61" s="76"/>
    </row>
    <row r="62">
      <c r="A62" s="8"/>
      <c r="B62" s="8"/>
      <c r="C62" s="18"/>
      <c r="D62" s="18"/>
      <c r="E62" s="8"/>
      <c r="F62" s="8"/>
      <c r="G62" s="8"/>
      <c r="H62" s="8"/>
      <c r="I62" s="76"/>
    </row>
    <row r="63">
      <c r="A63" s="8"/>
      <c r="B63" s="8"/>
      <c r="C63" s="18"/>
      <c r="D63" s="18"/>
      <c r="E63" s="8"/>
      <c r="F63" s="8"/>
      <c r="G63" s="8"/>
      <c r="H63" s="8"/>
      <c r="I63" s="76"/>
    </row>
    <row r="64">
      <c r="A64" s="8"/>
      <c r="B64" s="8"/>
      <c r="C64" s="18"/>
      <c r="D64" s="18"/>
      <c r="E64" s="8"/>
      <c r="F64" s="8"/>
      <c r="G64" s="8"/>
      <c r="H64" s="8"/>
      <c r="I64" s="76"/>
    </row>
    <row r="65">
      <c r="A65" s="8"/>
      <c r="B65" s="8"/>
      <c r="C65" s="18"/>
      <c r="D65" s="18"/>
      <c r="E65" s="8"/>
      <c r="F65" s="8"/>
      <c r="G65" s="8"/>
      <c r="H65" s="8"/>
      <c r="I65" s="76"/>
    </row>
    <row r="66">
      <c r="A66" s="8"/>
      <c r="B66" s="8"/>
      <c r="C66" s="18"/>
      <c r="D66" s="18"/>
      <c r="E66" s="8"/>
      <c r="F66" s="8"/>
      <c r="G66" s="8"/>
      <c r="H66" s="8"/>
      <c r="I66" s="76"/>
    </row>
    <row r="67">
      <c r="A67" s="8"/>
      <c r="B67" s="8"/>
      <c r="C67" s="18"/>
      <c r="D67" s="18"/>
      <c r="E67" s="8"/>
      <c r="F67" s="8"/>
      <c r="G67" s="8"/>
      <c r="H67" s="8"/>
      <c r="I67" s="76"/>
    </row>
    <row r="68">
      <c r="A68" s="8"/>
      <c r="B68" s="8"/>
      <c r="C68" s="18"/>
      <c r="D68" s="18"/>
      <c r="E68" s="8"/>
      <c r="F68" s="8"/>
      <c r="G68" s="8"/>
      <c r="H68" s="8"/>
      <c r="I68" s="76"/>
    </row>
    <row r="69">
      <c r="A69" s="8"/>
      <c r="B69" s="8"/>
      <c r="C69" s="18"/>
      <c r="D69" s="18"/>
      <c r="E69" s="8"/>
      <c r="F69" s="8"/>
      <c r="G69" s="8"/>
      <c r="H69" s="8"/>
      <c r="I69" s="76"/>
    </row>
    <row r="70">
      <c r="A70" s="8"/>
      <c r="B70" s="8"/>
      <c r="C70" s="18"/>
      <c r="D70" s="18"/>
      <c r="E70" s="8"/>
      <c r="F70" s="8"/>
      <c r="G70" s="8"/>
      <c r="H70" s="8"/>
      <c r="I70" s="76"/>
    </row>
    <row r="71">
      <c r="A71" s="8"/>
      <c r="B71" s="8"/>
      <c r="C71" s="18"/>
      <c r="D71" s="18"/>
      <c r="E71" s="8"/>
      <c r="F71" s="8"/>
      <c r="G71" s="8"/>
      <c r="H71" s="8"/>
      <c r="I71" s="76"/>
    </row>
    <row r="72">
      <c r="A72" s="8"/>
      <c r="B72" s="8"/>
      <c r="C72" s="18"/>
      <c r="D72" s="18"/>
      <c r="E72" s="8"/>
      <c r="F72" s="8"/>
      <c r="G72" s="8"/>
      <c r="H72" s="8"/>
      <c r="I72" s="76"/>
    </row>
    <row r="73">
      <c r="A73" s="8"/>
      <c r="B73" s="8"/>
      <c r="C73" s="18"/>
      <c r="D73" s="18"/>
      <c r="E73" s="8"/>
      <c r="F73" s="8"/>
      <c r="G73" s="8"/>
      <c r="H73" s="8"/>
      <c r="I73" s="76"/>
    </row>
    <row r="74">
      <c r="A74" s="8"/>
      <c r="B74" s="8"/>
      <c r="C74" s="18"/>
      <c r="D74" s="18"/>
      <c r="E74" s="8"/>
      <c r="F74" s="8"/>
      <c r="G74" s="8"/>
      <c r="H74" s="8"/>
      <c r="I74" s="76"/>
    </row>
    <row r="75">
      <c r="A75" s="8"/>
      <c r="B75" s="8"/>
      <c r="C75" s="18"/>
      <c r="D75" s="18"/>
      <c r="E75" s="8"/>
      <c r="F75" s="8"/>
      <c r="G75" s="8"/>
      <c r="H75" s="8"/>
      <c r="I75" s="76"/>
    </row>
    <row r="76">
      <c r="A76" s="8"/>
      <c r="B76" s="8"/>
      <c r="C76" s="18"/>
      <c r="D76" s="18"/>
      <c r="E76" s="8"/>
      <c r="F76" s="8"/>
      <c r="G76" s="8"/>
      <c r="H76" s="8"/>
      <c r="I76" s="76"/>
    </row>
    <row r="77">
      <c r="A77" s="8"/>
      <c r="B77" s="8"/>
      <c r="C77" s="18"/>
      <c r="D77" s="18"/>
      <c r="E77" s="8"/>
      <c r="F77" s="8"/>
      <c r="G77" s="8"/>
      <c r="H77" s="8"/>
      <c r="I77" s="76"/>
    </row>
    <row r="78">
      <c r="A78" s="8"/>
      <c r="B78" s="8"/>
      <c r="C78" s="18"/>
      <c r="D78" s="18"/>
      <c r="E78" s="8"/>
      <c r="F78" s="8"/>
      <c r="G78" s="8"/>
      <c r="H78" s="8"/>
      <c r="I78" s="76"/>
    </row>
    <row r="79">
      <c r="A79" s="8"/>
      <c r="B79" s="8"/>
      <c r="C79" s="18"/>
      <c r="D79" s="18"/>
      <c r="E79" s="8"/>
      <c r="F79" s="8"/>
      <c r="G79" s="8"/>
      <c r="H79" s="8"/>
      <c r="I79" s="76"/>
    </row>
    <row r="80">
      <c r="A80" s="8"/>
      <c r="B80" s="8"/>
      <c r="C80" s="18"/>
      <c r="D80" s="18"/>
      <c r="E80" s="8"/>
      <c r="F80" s="8"/>
      <c r="G80" s="8"/>
      <c r="H80" s="8"/>
      <c r="I80" s="76"/>
    </row>
    <row r="81">
      <c r="A81" s="8"/>
      <c r="B81" s="8"/>
      <c r="C81" s="18"/>
      <c r="D81" s="18"/>
      <c r="E81" s="8"/>
      <c r="F81" s="8"/>
      <c r="G81" s="8"/>
      <c r="H81" s="8"/>
      <c r="I81" s="76"/>
    </row>
    <row r="82">
      <c r="A82" s="8"/>
      <c r="B82" s="8"/>
      <c r="C82" s="18"/>
      <c r="D82" s="18"/>
      <c r="E82" s="8"/>
      <c r="F82" s="8"/>
      <c r="G82" s="8"/>
      <c r="H82" s="8"/>
      <c r="I82" s="76"/>
    </row>
    <row r="83">
      <c r="A83" s="8"/>
      <c r="B83" s="8"/>
      <c r="C83" s="18"/>
      <c r="D83" s="18"/>
      <c r="E83" s="8"/>
      <c r="F83" s="8"/>
      <c r="G83" s="8"/>
      <c r="H83" s="8"/>
      <c r="I83" s="76"/>
    </row>
    <row r="84">
      <c r="A84" s="8"/>
      <c r="B84" s="8"/>
      <c r="C84" s="18"/>
      <c r="D84" s="18"/>
      <c r="E84" s="8"/>
      <c r="F84" s="8"/>
      <c r="G84" s="8"/>
      <c r="H84" s="8"/>
      <c r="I84" s="76"/>
    </row>
    <row r="85">
      <c r="A85" s="8"/>
      <c r="B85" s="8"/>
      <c r="C85" s="18"/>
      <c r="D85" s="18"/>
      <c r="E85" s="8"/>
      <c r="F85" s="8"/>
      <c r="G85" s="8"/>
      <c r="H85" s="8"/>
      <c r="I85" s="76"/>
    </row>
    <row r="86">
      <c r="A86" s="8"/>
      <c r="B86" s="8"/>
      <c r="C86" s="18"/>
      <c r="D86" s="18"/>
      <c r="E86" s="8"/>
      <c r="F86" s="8"/>
      <c r="G86" s="8"/>
      <c r="H86" s="8"/>
      <c r="I86" s="76"/>
    </row>
    <row r="87">
      <c r="A87" s="8"/>
      <c r="B87" s="8"/>
      <c r="C87" s="18"/>
      <c r="D87" s="18"/>
      <c r="E87" s="8"/>
      <c r="F87" s="8"/>
      <c r="G87" s="8"/>
      <c r="H87" s="8"/>
      <c r="I87" s="76"/>
    </row>
    <row r="88">
      <c r="A88" s="8"/>
      <c r="B88" s="8"/>
      <c r="C88" s="18"/>
      <c r="D88" s="18"/>
      <c r="E88" s="8"/>
      <c r="F88" s="8"/>
      <c r="G88" s="8"/>
      <c r="H88" s="8"/>
      <c r="I88" s="76"/>
    </row>
    <row r="89">
      <c r="A89" s="8"/>
      <c r="B89" s="8"/>
      <c r="C89" s="18"/>
      <c r="D89" s="18"/>
      <c r="E89" s="8"/>
      <c r="F89" s="8"/>
      <c r="G89" s="8"/>
      <c r="H89" s="8"/>
      <c r="I89" s="76"/>
    </row>
    <row r="90">
      <c r="A90" s="8"/>
      <c r="B90" s="8"/>
      <c r="C90" s="18"/>
      <c r="D90" s="18"/>
      <c r="E90" s="8"/>
      <c r="F90" s="8"/>
      <c r="G90" s="8"/>
      <c r="H90" s="8"/>
      <c r="I90" s="76"/>
    </row>
    <row r="91">
      <c r="A91" s="8"/>
      <c r="B91" s="8"/>
      <c r="C91" s="18"/>
      <c r="D91" s="18"/>
      <c r="E91" s="8"/>
      <c r="F91" s="8"/>
      <c r="G91" s="8"/>
      <c r="H91" s="8"/>
      <c r="I91" s="76"/>
    </row>
    <row r="92">
      <c r="A92" s="8"/>
      <c r="B92" s="8"/>
      <c r="C92" s="18"/>
      <c r="D92" s="18"/>
      <c r="E92" s="8"/>
      <c r="F92" s="8"/>
      <c r="G92" s="8"/>
      <c r="H92" s="8"/>
      <c r="I92" s="76"/>
    </row>
    <row r="93">
      <c r="A93" s="8"/>
      <c r="B93" s="8"/>
      <c r="C93" s="18"/>
      <c r="D93" s="18"/>
      <c r="E93" s="8"/>
      <c r="F93" s="8"/>
      <c r="G93" s="8"/>
      <c r="H93" s="8"/>
      <c r="I93" s="76"/>
    </row>
    <row r="94">
      <c r="A94" s="8"/>
      <c r="B94" s="8"/>
      <c r="C94" s="18"/>
      <c r="D94" s="18"/>
      <c r="E94" s="8"/>
      <c r="F94" s="8"/>
      <c r="G94" s="8"/>
      <c r="H94" s="8"/>
      <c r="I94" s="76"/>
    </row>
    <row r="95">
      <c r="A95" s="8"/>
      <c r="B95" s="8"/>
      <c r="C95" s="18"/>
      <c r="D95" s="18"/>
      <c r="E95" s="8"/>
      <c r="F95" s="8"/>
      <c r="G95" s="8"/>
      <c r="H95" s="8"/>
      <c r="I95" s="76"/>
    </row>
    <row r="96">
      <c r="A96" s="8"/>
      <c r="B96" s="8"/>
      <c r="C96" s="18"/>
      <c r="D96" s="18"/>
      <c r="E96" s="8"/>
      <c r="F96" s="8"/>
      <c r="G96" s="8"/>
      <c r="H96" s="8"/>
      <c r="I96" s="76"/>
    </row>
    <row r="97">
      <c r="A97" s="8"/>
      <c r="B97" s="8"/>
      <c r="C97" s="18"/>
      <c r="D97" s="18"/>
      <c r="E97" s="8"/>
      <c r="F97" s="8"/>
      <c r="G97" s="8"/>
      <c r="H97" s="8"/>
      <c r="I97" s="76"/>
    </row>
    <row r="98">
      <c r="A98" s="8"/>
      <c r="B98" s="8"/>
      <c r="C98" s="18"/>
      <c r="D98" s="18"/>
      <c r="E98" s="8"/>
      <c r="F98" s="8"/>
      <c r="G98" s="8"/>
      <c r="H98" s="8"/>
      <c r="I98" s="76"/>
    </row>
    <row r="99">
      <c r="A99" s="8"/>
      <c r="B99" s="8"/>
      <c r="C99" s="18"/>
      <c r="D99" s="18"/>
      <c r="E99" s="8"/>
      <c r="F99" s="8"/>
      <c r="G99" s="8"/>
      <c r="H99" s="8"/>
      <c r="I99" s="76"/>
    </row>
    <row r="100">
      <c r="A100" s="8"/>
      <c r="B100" s="8"/>
      <c r="C100" s="18"/>
      <c r="D100" s="18"/>
      <c r="E100" s="8"/>
      <c r="F100" s="8"/>
      <c r="G100" s="8"/>
      <c r="H100" s="8"/>
      <c r="I100" s="76"/>
    </row>
    <row r="101">
      <c r="A101" s="8"/>
      <c r="B101" s="8"/>
      <c r="C101" s="18"/>
      <c r="D101" s="18"/>
      <c r="E101" s="8"/>
      <c r="F101" s="8"/>
      <c r="G101" s="8"/>
      <c r="H101" s="8"/>
      <c r="I101" s="76"/>
    </row>
    <row r="102">
      <c r="A102" s="8"/>
      <c r="B102" s="8"/>
      <c r="C102" s="18"/>
      <c r="D102" s="18"/>
      <c r="E102" s="8"/>
      <c r="F102" s="8"/>
      <c r="G102" s="8"/>
      <c r="H102" s="8"/>
      <c r="I102" s="76"/>
    </row>
    <row r="103">
      <c r="A103" s="8"/>
      <c r="B103" s="8"/>
      <c r="C103" s="18"/>
      <c r="D103" s="18"/>
      <c r="E103" s="8"/>
      <c r="F103" s="8"/>
      <c r="G103" s="8"/>
      <c r="H103" s="8"/>
      <c r="I103" s="76"/>
    </row>
    <row r="104">
      <c r="A104" s="8"/>
      <c r="B104" s="8"/>
      <c r="C104" s="18"/>
      <c r="D104" s="18"/>
      <c r="E104" s="8"/>
      <c r="F104" s="8"/>
      <c r="G104" s="8"/>
      <c r="H104" s="8"/>
      <c r="I104" s="76"/>
    </row>
    <row r="105">
      <c r="A105" s="8"/>
      <c r="B105" s="8"/>
      <c r="C105" s="18"/>
      <c r="D105" s="18"/>
      <c r="E105" s="8"/>
      <c r="F105" s="8"/>
      <c r="G105" s="8"/>
      <c r="H105" s="8"/>
      <c r="I105" s="76"/>
    </row>
    <row r="106">
      <c r="A106" s="8"/>
      <c r="B106" s="8"/>
      <c r="C106" s="18"/>
      <c r="D106" s="18"/>
      <c r="E106" s="8"/>
      <c r="F106" s="8"/>
      <c r="G106" s="8"/>
      <c r="H106" s="8"/>
      <c r="I106" s="76"/>
    </row>
    <row r="107">
      <c r="A107" s="8"/>
      <c r="B107" s="8"/>
      <c r="C107" s="18"/>
      <c r="D107" s="18"/>
      <c r="E107" s="8"/>
      <c r="F107" s="8"/>
      <c r="G107" s="8"/>
      <c r="H107" s="8"/>
      <c r="I107" s="76"/>
    </row>
    <row r="108">
      <c r="A108" s="8"/>
      <c r="B108" s="8"/>
      <c r="C108" s="18"/>
      <c r="D108" s="18"/>
      <c r="E108" s="8"/>
      <c r="F108" s="8"/>
      <c r="G108" s="8"/>
      <c r="H108" s="8"/>
      <c r="I108" s="76"/>
    </row>
    <row r="109">
      <c r="A109" s="8"/>
      <c r="B109" s="8"/>
      <c r="C109" s="18"/>
      <c r="D109" s="18"/>
      <c r="E109" s="8"/>
      <c r="F109" s="8"/>
      <c r="G109" s="8"/>
      <c r="H109" s="8"/>
      <c r="I109" s="76"/>
    </row>
    <row r="110">
      <c r="A110" s="8"/>
      <c r="B110" s="8"/>
      <c r="C110" s="18"/>
      <c r="D110" s="18"/>
      <c r="E110" s="8"/>
      <c r="F110" s="8"/>
      <c r="G110" s="8"/>
      <c r="H110" s="8"/>
      <c r="I110" s="76"/>
    </row>
    <row r="111">
      <c r="A111" s="8"/>
      <c r="B111" s="8"/>
      <c r="C111" s="18"/>
      <c r="D111" s="18"/>
      <c r="E111" s="8"/>
      <c r="F111" s="8"/>
      <c r="G111" s="8"/>
      <c r="H111" s="8"/>
      <c r="I111" s="76"/>
    </row>
    <row r="112">
      <c r="A112" s="8"/>
      <c r="B112" s="8"/>
      <c r="C112" s="18"/>
      <c r="D112" s="18"/>
      <c r="E112" s="8"/>
      <c r="F112" s="8"/>
      <c r="G112" s="8"/>
      <c r="H112" s="8"/>
      <c r="I112" s="76"/>
    </row>
    <row r="113">
      <c r="A113" s="8"/>
      <c r="B113" s="8"/>
      <c r="C113" s="18"/>
      <c r="D113" s="18"/>
      <c r="E113" s="8"/>
      <c r="F113" s="8"/>
      <c r="G113" s="8"/>
      <c r="H113" s="8"/>
      <c r="I113" s="76"/>
    </row>
    <row r="114">
      <c r="A114" s="8"/>
      <c r="B114" s="8"/>
      <c r="C114" s="18"/>
      <c r="D114" s="18"/>
      <c r="E114" s="8"/>
      <c r="F114" s="8"/>
      <c r="G114" s="8"/>
      <c r="H114" s="8"/>
      <c r="I114" s="76"/>
    </row>
    <row r="115">
      <c r="A115" s="8"/>
      <c r="B115" s="8"/>
      <c r="C115" s="18"/>
      <c r="D115" s="18"/>
      <c r="E115" s="8"/>
      <c r="F115" s="8"/>
      <c r="G115" s="8"/>
      <c r="H115" s="8"/>
      <c r="I115" s="76"/>
    </row>
    <row r="116">
      <c r="A116" s="8"/>
      <c r="B116" s="8"/>
      <c r="C116" s="18"/>
      <c r="D116" s="18"/>
      <c r="E116" s="8"/>
      <c r="F116" s="8"/>
      <c r="G116" s="8"/>
      <c r="H116" s="8"/>
      <c r="I116" s="76"/>
    </row>
    <row r="117">
      <c r="A117" s="8"/>
      <c r="B117" s="8"/>
      <c r="C117" s="18"/>
      <c r="D117" s="18"/>
      <c r="E117" s="8"/>
      <c r="F117" s="8"/>
      <c r="G117" s="8"/>
      <c r="H117" s="8"/>
      <c r="I117" s="76"/>
    </row>
    <row r="118">
      <c r="A118" s="8"/>
      <c r="B118" s="8"/>
      <c r="C118" s="18"/>
      <c r="D118" s="18"/>
      <c r="E118" s="8"/>
      <c r="F118" s="8"/>
      <c r="G118" s="8"/>
      <c r="H118" s="8"/>
      <c r="I118" s="76"/>
    </row>
    <row r="119">
      <c r="A119" s="8"/>
      <c r="B119" s="8"/>
      <c r="C119" s="18"/>
      <c r="D119" s="18"/>
      <c r="E119" s="8"/>
      <c r="F119" s="8"/>
      <c r="G119" s="8"/>
      <c r="H119" s="8"/>
      <c r="I119" s="76"/>
    </row>
    <row r="120">
      <c r="A120" s="8"/>
      <c r="B120" s="8"/>
      <c r="C120" s="18"/>
      <c r="D120" s="18"/>
      <c r="E120" s="8"/>
      <c r="F120" s="8"/>
      <c r="G120" s="8"/>
      <c r="H120" s="8"/>
      <c r="I120" s="76"/>
    </row>
    <row r="121">
      <c r="A121" s="8"/>
      <c r="B121" s="8"/>
      <c r="C121" s="18"/>
      <c r="D121" s="18"/>
      <c r="E121" s="8"/>
      <c r="F121" s="8"/>
      <c r="G121" s="8"/>
      <c r="H121" s="8"/>
      <c r="I121" s="76"/>
    </row>
    <row r="122">
      <c r="A122" s="8"/>
      <c r="B122" s="8"/>
      <c r="C122" s="18"/>
      <c r="D122" s="18"/>
      <c r="E122" s="8"/>
      <c r="F122" s="8"/>
      <c r="G122" s="8"/>
      <c r="H122" s="8"/>
      <c r="I122" s="76"/>
    </row>
    <row r="123">
      <c r="A123" s="8"/>
      <c r="B123" s="8"/>
      <c r="C123" s="18"/>
      <c r="D123" s="18"/>
      <c r="E123" s="8"/>
      <c r="F123" s="8"/>
      <c r="G123" s="8"/>
      <c r="H123" s="8"/>
      <c r="I123" s="76"/>
    </row>
    <row r="124">
      <c r="A124" s="8"/>
      <c r="B124" s="8"/>
      <c r="C124" s="18"/>
      <c r="D124" s="18"/>
      <c r="E124" s="8"/>
      <c r="F124" s="8"/>
      <c r="G124" s="8"/>
      <c r="H124" s="8"/>
      <c r="I124" s="76"/>
    </row>
    <row r="125">
      <c r="A125" s="8"/>
      <c r="B125" s="8"/>
      <c r="C125" s="18"/>
      <c r="D125" s="18"/>
      <c r="E125" s="8"/>
      <c r="F125" s="8"/>
      <c r="G125" s="8"/>
      <c r="H125" s="8"/>
      <c r="I125" s="76"/>
    </row>
    <row r="126">
      <c r="A126" s="8"/>
      <c r="B126" s="8"/>
      <c r="C126" s="18"/>
      <c r="D126" s="18"/>
      <c r="E126" s="8"/>
      <c r="F126" s="8"/>
      <c r="G126" s="8"/>
      <c r="H126" s="8"/>
      <c r="I126" s="76"/>
    </row>
    <row r="127">
      <c r="A127" s="8"/>
      <c r="B127" s="8"/>
      <c r="C127" s="18"/>
      <c r="D127" s="18"/>
      <c r="E127" s="8"/>
      <c r="F127" s="8"/>
      <c r="G127" s="8"/>
      <c r="H127" s="8"/>
      <c r="I127" s="76"/>
    </row>
    <row r="128">
      <c r="A128" s="8"/>
      <c r="B128" s="8"/>
      <c r="C128" s="18"/>
      <c r="D128" s="18"/>
      <c r="E128" s="8"/>
      <c r="F128" s="8"/>
      <c r="G128" s="8"/>
      <c r="H128" s="8"/>
      <c r="I128" s="76"/>
    </row>
    <row r="129">
      <c r="A129" s="8"/>
      <c r="B129" s="8"/>
      <c r="C129" s="18"/>
      <c r="D129" s="18"/>
      <c r="E129" s="8"/>
      <c r="F129" s="8"/>
      <c r="G129" s="8"/>
      <c r="H129" s="8"/>
      <c r="I129" s="76"/>
    </row>
    <row r="130">
      <c r="A130" s="8"/>
      <c r="B130" s="8"/>
      <c r="C130" s="18"/>
      <c r="D130" s="18"/>
      <c r="E130" s="8"/>
      <c r="F130" s="8"/>
      <c r="G130" s="8"/>
      <c r="H130" s="8"/>
      <c r="I130" s="76"/>
    </row>
    <row r="131">
      <c r="A131" s="8"/>
      <c r="B131" s="8"/>
      <c r="C131" s="18"/>
      <c r="D131" s="18"/>
      <c r="E131" s="8"/>
      <c r="F131" s="8"/>
      <c r="G131" s="8"/>
      <c r="H131" s="8"/>
      <c r="I131" s="76"/>
    </row>
    <row r="132">
      <c r="A132" s="8"/>
      <c r="B132" s="8"/>
      <c r="C132" s="18"/>
      <c r="D132" s="18"/>
      <c r="E132" s="8"/>
      <c r="F132" s="8"/>
      <c r="G132" s="8"/>
      <c r="H132" s="8"/>
      <c r="I132" s="76"/>
    </row>
    <row r="133">
      <c r="A133" s="8"/>
      <c r="B133" s="8"/>
      <c r="C133" s="18"/>
      <c r="D133" s="18"/>
      <c r="E133" s="8"/>
      <c r="F133" s="8"/>
      <c r="G133" s="8"/>
      <c r="H133" s="8"/>
      <c r="I133" s="76"/>
    </row>
    <row r="134">
      <c r="A134" s="8"/>
      <c r="B134" s="8"/>
      <c r="C134" s="18"/>
      <c r="D134" s="18"/>
      <c r="E134" s="8"/>
      <c r="F134" s="8"/>
      <c r="G134" s="8"/>
      <c r="H134" s="8"/>
      <c r="I134" s="76"/>
    </row>
    <row r="135">
      <c r="A135" s="8"/>
      <c r="B135" s="8"/>
      <c r="C135" s="18"/>
      <c r="D135" s="18"/>
      <c r="E135" s="8"/>
      <c r="F135" s="8"/>
      <c r="G135" s="8"/>
      <c r="H135" s="8"/>
      <c r="I135" s="76"/>
    </row>
    <row r="136">
      <c r="A136" s="8"/>
      <c r="B136" s="8"/>
      <c r="C136" s="18"/>
      <c r="D136" s="18"/>
      <c r="E136" s="8"/>
      <c r="F136" s="8"/>
      <c r="G136" s="8"/>
      <c r="H136" s="8"/>
      <c r="I136" s="76"/>
    </row>
    <row r="137">
      <c r="A137" s="8"/>
      <c r="B137" s="8"/>
      <c r="C137" s="18"/>
      <c r="D137" s="18"/>
      <c r="E137" s="8"/>
      <c r="F137" s="8"/>
      <c r="G137" s="8"/>
      <c r="H137" s="8"/>
      <c r="I137" s="76"/>
    </row>
    <row r="138">
      <c r="A138" s="8"/>
      <c r="B138" s="8"/>
      <c r="C138" s="18"/>
      <c r="D138" s="18"/>
      <c r="E138" s="8"/>
      <c r="F138" s="8"/>
      <c r="G138" s="8"/>
      <c r="H138" s="8"/>
      <c r="I138" s="76"/>
    </row>
    <row r="139">
      <c r="A139" s="8"/>
      <c r="B139" s="8"/>
      <c r="C139" s="18"/>
      <c r="D139" s="18"/>
      <c r="E139" s="8"/>
      <c r="F139" s="8"/>
      <c r="G139" s="8"/>
      <c r="H139" s="8"/>
      <c r="I139" s="76"/>
    </row>
    <row r="140">
      <c r="A140" s="8"/>
      <c r="B140" s="8"/>
      <c r="C140" s="18"/>
      <c r="D140" s="18"/>
      <c r="E140" s="8"/>
      <c r="F140" s="8"/>
      <c r="G140" s="8"/>
      <c r="H140" s="8"/>
      <c r="I140" s="76"/>
    </row>
    <row r="141">
      <c r="A141" s="8"/>
      <c r="B141" s="8"/>
      <c r="C141" s="18"/>
      <c r="D141" s="18"/>
      <c r="E141" s="8"/>
      <c r="F141" s="8"/>
      <c r="G141" s="8"/>
      <c r="H141" s="8"/>
      <c r="I141" s="76"/>
    </row>
    <row r="142">
      <c r="A142" s="8"/>
      <c r="B142" s="8"/>
      <c r="C142" s="18"/>
      <c r="D142" s="18"/>
      <c r="E142" s="8"/>
      <c r="F142" s="8"/>
      <c r="G142" s="8"/>
      <c r="H142" s="8"/>
      <c r="I142" s="76"/>
    </row>
    <row r="143">
      <c r="A143" s="8"/>
      <c r="B143" s="8"/>
      <c r="C143" s="18"/>
      <c r="D143" s="18"/>
      <c r="E143" s="8"/>
      <c r="F143" s="8"/>
      <c r="G143" s="8"/>
      <c r="H143" s="8"/>
      <c r="I143" s="76"/>
    </row>
    <row r="144">
      <c r="A144" s="8"/>
      <c r="B144" s="8"/>
      <c r="C144" s="18"/>
      <c r="D144" s="18"/>
      <c r="E144" s="8"/>
      <c r="F144" s="8"/>
      <c r="G144" s="8"/>
      <c r="H144" s="8"/>
      <c r="I144" s="76"/>
    </row>
    <row r="145">
      <c r="A145" s="8"/>
      <c r="B145" s="8"/>
      <c r="C145" s="18"/>
      <c r="D145" s="18"/>
      <c r="E145" s="8"/>
      <c r="F145" s="8"/>
      <c r="G145" s="8"/>
      <c r="H145" s="8"/>
      <c r="I145" s="76"/>
    </row>
    <row r="146">
      <c r="A146" s="8"/>
      <c r="B146" s="8"/>
      <c r="C146" s="18"/>
      <c r="D146" s="18"/>
      <c r="E146" s="8"/>
      <c r="F146" s="8"/>
      <c r="G146" s="8"/>
      <c r="H146" s="8"/>
      <c r="I146" s="76"/>
    </row>
    <row r="147">
      <c r="A147" s="8"/>
      <c r="B147" s="8"/>
      <c r="C147" s="18"/>
      <c r="D147" s="18"/>
      <c r="E147" s="8"/>
      <c r="F147" s="8"/>
      <c r="G147" s="8"/>
      <c r="H147" s="8"/>
      <c r="I147" s="76"/>
    </row>
    <row r="148">
      <c r="A148" s="8"/>
      <c r="B148" s="8"/>
      <c r="C148" s="18"/>
      <c r="D148" s="18"/>
      <c r="E148" s="8"/>
      <c r="F148" s="8"/>
      <c r="G148" s="8"/>
      <c r="H148" s="8"/>
      <c r="I148" s="76"/>
    </row>
    <row r="149">
      <c r="A149" s="8"/>
      <c r="B149" s="8"/>
      <c r="C149" s="18"/>
      <c r="D149" s="18"/>
      <c r="E149" s="8"/>
      <c r="F149" s="8"/>
      <c r="G149" s="8"/>
      <c r="H149" s="8"/>
      <c r="I149" s="76"/>
    </row>
    <row r="150">
      <c r="A150" s="8"/>
      <c r="B150" s="8"/>
      <c r="C150" s="18"/>
      <c r="D150" s="18"/>
      <c r="E150" s="8"/>
      <c r="F150" s="8"/>
      <c r="G150" s="8"/>
      <c r="H150" s="8"/>
      <c r="I150" s="76"/>
    </row>
    <row r="151">
      <c r="A151" s="8"/>
      <c r="B151" s="8"/>
      <c r="C151" s="18"/>
      <c r="D151" s="18"/>
      <c r="E151" s="8"/>
      <c r="F151" s="8"/>
      <c r="G151" s="8"/>
      <c r="H151" s="8"/>
      <c r="I151" s="76"/>
    </row>
    <row r="152">
      <c r="A152" s="8"/>
      <c r="B152" s="8"/>
      <c r="C152" s="18"/>
      <c r="D152" s="18"/>
      <c r="E152" s="8"/>
      <c r="F152" s="8"/>
      <c r="G152" s="8"/>
      <c r="H152" s="8"/>
      <c r="I152" s="76"/>
    </row>
    <row r="153">
      <c r="A153" s="8"/>
      <c r="B153" s="8"/>
      <c r="C153" s="18"/>
      <c r="D153" s="18"/>
      <c r="E153" s="8"/>
      <c r="F153" s="8"/>
      <c r="G153" s="8"/>
      <c r="H153" s="8"/>
      <c r="I153" s="76"/>
    </row>
    <row r="154">
      <c r="A154" s="8"/>
      <c r="B154" s="8"/>
      <c r="C154" s="18"/>
      <c r="D154" s="18"/>
      <c r="E154" s="8"/>
      <c r="F154" s="8"/>
      <c r="G154" s="8"/>
      <c r="H154" s="8"/>
      <c r="I154" s="76"/>
    </row>
    <row r="155">
      <c r="A155" s="8"/>
      <c r="B155" s="8"/>
      <c r="C155" s="18"/>
      <c r="D155" s="18"/>
      <c r="E155" s="8"/>
      <c r="F155" s="8"/>
      <c r="G155" s="8"/>
      <c r="H155" s="8"/>
      <c r="I155" s="76"/>
    </row>
    <row r="156">
      <c r="A156" s="8"/>
      <c r="B156" s="8"/>
      <c r="C156" s="18"/>
      <c r="D156" s="18"/>
      <c r="E156" s="8"/>
      <c r="F156" s="8"/>
      <c r="G156" s="8"/>
      <c r="H156" s="8"/>
      <c r="I156" s="76"/>
    </row>
    <row r="157">
      <c r="A157" s="8"/>
      <c r="B157" s="8"/>
      <c r="C157" s="18"/>
      <c r="D157" s="18"/>
      <c r="E157" s="8"/>
      <c r="F157" s="8"/>
      <c r="G157" s="8"/>
      <c r="H157" s="8"/>
      <c r="I157" s="76"/>
    </row>
    <row r="158">
      <c r="A158" s="8"/>
      <c r="B158" s="8"/>
      <c r="C158" s="18"/>
      <c r="D158" s="18"/>
      <c r="E158" s="8"/>
      <c r="F158" s="8"/>
      <c r="G158" s="8"/>
      <c r="H158" s="8"/>
      <c r="I158" s="76"/>
    </row>
    <row r="159">
      <c r="A159" s="8"/>
      <c r="B159" s="8"/>
      <c r="C159" s="18"/>
      <c r="D159" s="18"/>
      <c r="E159" s="8"/>
      <c r="F159" s="8"/>
      <c r="G159" s="8"/>
      <c r="H159" s="8"/>
      <c r="I159" s="76"/>
    </row>
    <row r="160">
      <c r="A160" s="8"/>
      <c r="B160" s="8"/>
      <c r="C160" s="18"/>
      <c r="D160" s="18"/>
      <c r="E160" s="8"/>
      <c r="F160" s="8"/>
      <c r="G160" s="8"/>
      <c r="H160" s="8"/>
      <c r="I160" s="76"/>
    </row>
    <row r="161">
      <c r="A161" s="8"/>
      <c r="B161" s="8"/>
      <c r="C161" s="18"/>
      <c r="D161" s="18"/>
      <c r="E161" s="8"/>
      <c r="F161" s="8"/>
      <c r="G161" s="8"/>
      <c r="H161" s="8"/>
      <c r="I161" s="76"/>
    </row>
    <row r="162">
      <c r="A162" s="8"/>
      <c r="B162" s="8"/>
      <c r="C162" s="18"/>
      <c r="D162" s="18"/>
      <c r="E162" s="8"/>
      <c r="F162" s="8"/>
      <c r="G162" s="8"/>
      <c r="H162" s="8"/>
      <c r="I162" s="76"/>
    </row>
    <row r="163">
      <c r="A163" s="8"/>
      <c r="B163" s="8"/>
      <c r="C163" s="18"/>
      <c r="D163" s="18"/>
      <c r="E163" s="8"/>
      <c r="F163" s="8"/>
      <c r="G163" s="8"/>
      <c r="H163" s="8"/>
      <c r="I163" s="76"/>
    </row>
    <row r="164">
      <c r="A164" s="8"/>
      <c r="B164" s="8"/>
      <c r="C164" s="18"/>
      <c r="D164" s="18"/>
      <c r="E164" s="8"/>
      <c r="F164" s="8"/>
      <c r="G164" s="8"/>
      <c r="H164" s="8"/>
      <c r="I164" s="76"/>
    </row>
    <row r="165">
      <c r="A165" s="8"/>
      <c r="B165" s="8"/>
      <c r="C165" s="18"/>
      <c r="D165" s="18"/>
      <c r="E165" s="8"/>
      <c r="F165" s="8"/>
      <c r="G165" s="8"/>
      <c r="H165" s="8"/>
      <c r="I165" s="76"/>
    </row>
    <row r="166">
      <c r="A166" s="8"/>
      <c r="B166" s="8"/>
      <c r="C166" s="18"/>
      <c r="D166" s="18"/>
      <c r="E166" s="8"/>
      <c r="F166" s="8"/>
      <c r="G166" s="8"/>
      <c r="H166" s="8"/>
      <c r="I166" s="76"/>
    </row>
    <row r="167">
      <c r="A167" s="8"/>
      <c r="B167" s="8"/>
      <c r="C167" s="18"/>
      <c r="D167" s="18"/>
      <c r="E167" s="8"/>
      <c r="F167" s="8"/>
      <c r="G167" s="8"/>
      <c r="H167" s="8"/>
      <c r="I167" s="76"/>
    </row>
    <row r="168">
      <c r="A168" s="8"/>
      <c r="B168" s="8"/>
      <c r="C168" s="18"/>
      <c r="D168" s="18"/>
      <c r="E168" s="8"/>
      <c r="F168" s="8"/>
      <c r="G168" s="8"/>
      <c r="H168" s="8"/>
      <c r="I168" s="76"/>
    </row>
    <row r="169">
      <c r="A169" s="8"/>
      <c r="B169" s="8"/>
      <c r="C169" s="18"/>
      <c r="D169" s="18"/>
      <c r="E169" s="8"/>
      <c r="F169" s="8"/>
      <c r="G169" s="8"/>
      <c r="H169" s="8"/>
      <c r="I169" s="76"/>
    </row>
    <row r="170">
      <c r="A170" s="8"/>
      <c r="B170" s="8"/>
      <c r="C170" s="18"/>
      <c r="D170" s="18"/>
      <c r="E170" s="8"/>
      <c r="F170" s="8"/>
      <c r="G170" s="8"/>
      <c r="H170" s="8"/>
      <c r="I170" s="76"/>
    </row>
    <row r="171">
      <c r="A171" s="8"/>
      <c r="B171" s="8"/>
      <c r="C171" s="18"/>
      <c r="D171" s="18"/>
      <c r="E171" s="8"/>
      <c r="F171" s="8"/>
      <c r="G171" s="8"/>
      <c r="H171" s="8"/>
      <c r="I171" s="76"/>
    </row>
    <row r="172">
      <c r="A172" s="8"/>
      <c r="B172" s="8"/>
      <c r="C172" s="18"/>
      <c r="D172" s="18"/>
      <c r="E172" s="8"/>
      <c r="F172" s="8"/>
      <c r="G172" s="8"/>
      <c r="H172" s="8"/>
      <c r="I172" s="76"/>
    </row>
    <row r="173">
      <c r="A173" s="8"/>
      <c r="B173" s="8"/>
      <c r="C173" s="18"/>
      <c r="D173" s="18"/>
      <c r="E173" s="8"/>
      <c r="F173" s="8"/>
      <c r="G173" s="8"/>
      <c r="H173" s="8"/>
      <c r="I173" s="76"/>
    </row>
    <row r="174">
      <c r="A174" s="8"/>
      <c r="B174" s="8"/>
      <c r="C174" s="18"/>
      <c r="D174" s="18"/>
      <c r="E174" s="8"/>
      <c r="F174" s="8"/>
      <c r="G174" s="8"/>
      <c r="H174" s="8"/>
      <c r="I174" s="76"/>
    </row>
    <row r="175">
      <c r="A175" s="8"/>
      <c r="B175" s="8"/>
      <c r="C175" s="18"/>
      <c r="D175" s="18"/>
      <c r="E175" s="8"/>
      <c r="F175" s="8"/>
      <c r="G175" s="8"/>
      <c r="H175" s="8"/>
      <c r="I175" s="76"/>
    </row>
    <row r="176">
      <c r="A176" s="8"/>
      <c r="B176" s="8"/>
      <c r="C176" s="18"/>
      <c r="D176" s="18"/>
      <c r="E176" s="8"/>
      <c r="F176" s="8"/>
      <c r="G176" s="8"/>
      <c r="H176" s="8"/>
      <c r="I176" s="76"/>
    </row>
    <row r="177">
      <c r="A177" s="8"/>
      <c r="B177" s="8"/>
      <c r="C177" s="18"/>
      <c r="D177" s="18"/>
      <c r="E177" s="8"/>
      <c r="F177" s="8"/>
      <c r="G177" s="8"/>
      <c r="H177" s="8"/>
      <c r="I177" s="76"/>
    </row>
    <row r="178">
      <c r="A178" s="8"/>
      <c r="B178" s="8"/>
      <c r="C178" s="18"/>
      <c r="D178" s="18"/>
      <c r="E178" s="8"/>
      <c r="F178" s="8"/>
      <c r="G178" s="8"/>
      <c r="H178" s="8"/>
      <c r="I178" s="76"/>
    </row>
    <row r="179">
      <c r="A179" s="8"/>
      <c r="B179" s="8"/>
      <c r="C179" s="18"/>
      <c r="D179" s="18"/>
      <c r="E179" s="8"/>
      <c r="F179" s="8"/>
      <c r="G179" s="8"/>
      <c r="H179" s="8"/>
      <c r="I179" s="76"/>
    </row>
    <row r="180">
      <c r="A180" s="8"/>
      <c r="B180" s="8"/>
      <c r="C180" s="18"/>
      <c r="D180" s="18"/>
      <c r="E180" s="8"/>
      <c r="F180" s="8"/>
      <c r="G180" s="8"/>
      <c r="H180" s="8"/>
      <c r="I180" s="76"/>
    </row>
    <row r="181">
      <c r="A181" s="8"/>
      <c r="B181" s="8"/>
      <c r="C181" s="18"/>
      <c r="D181" s="18"/>
      <c r="E181" s="8"/>
      <c r="F181" s="8"/>
      <c r="G181" s="8"/>
      <c r="H181" s="8"/>
      <c r="I181" s="76"/>
    </row>
    <row r="182">
      <c r="A182" s="8"/>
      <c r="B182" s="8"/>
      <c r="C182" s="18"/>
      <c r="D182" s="18"/>
      <c r="E182" s="8"/>
      <c r="F182" s="8"/>
      <c r="G182" s="8"/>
      <c r="H182" s="8"/>
      <c r="I182" s="76"/>
    </row>
    <row r="183">
      <c r="A183" s="8"/>
      <c r="B183" s="8"/>
      <c r="C183" s="18"/>
      <c r="D183" s="18"/>
      <c r="E183" s="8"/>
      <c r="F183" s="8"/>
      <c r="G183" s="8"/>
      <c r="H183" s="8"/>
      <c r="I183" s="76"/>
    </row>
    <row r="184">
      <c r="A184" s="8"/>
      <c r="B184" s="8"/>
      <c r="C184" s="18"/>
      <c r="D184" s="18"/>
      <c r="E184" s="8"/>
      <c r="F184" s="8"/>
      <c r="G184" s="8"/>
      <c r="H184" s="8"/>
      <c r="I184" s="76"/>
    </row>
    <row r="185">
      <c r="A185" s="8"/>
      <c r="B185" s="8"/>
      <c r="C185" s="18"/>
      <c r="D185" s="18"/>
      <c r="E185" s="8"/>
      <c r="F185" s="8"/>
      <c r="G185" s="8"/>
      <c r="H185" s="8"/>
      <c r="I185" s="76"/>
    </row>
    <row r="186">
      <c r="A186" s="8"/>
      <c r="B186" s="8"/>
      <c r="C186" s="18"/>
      <c r="D186" s="18"/>
      <c r="E186" s="8"/>
      <c r="F186" s="8"/>
      <c r="G186" s="8"/>
      <c r="H186" s="8"/>
      <c r="I186" s="76"/>
    </row>
    <row r="187">
      <c r="A187" s="8"/>
      <c r="B187" s="8"/>
      <c r="C187" s="18"/>
      <c r="D187" s="18"/>
      <c r="E187" s="8"/>
      <c r="F187" s="8"/>
      <c r="G187" s="8"/>
      <c r="H187" s="8"/>
      <c r="I187" s="76"/>
    </row>
    <row r="188">
      <c r="A188" s="8"/>
      <c r="B188" s="8"/>
      <c r="C188" s="18"/>
      <c r="D188" s="18"/>
      <c r="E188" s="8"/>
      <c r="F188" s="8"/>
      <c r="G188" s="8"/>
      <c r="H188" s="8"/>
      <c r="I188" s="76"/>
    </row>
    <row r="189">
      <c r="A189" s="8"/>
      <c r="B189" s="8"/>
      <c r="C189" s="18"/>
      <c r="D189" s="18"/>
      <c r="E189" s="8"/>
      <c r="F189" s="8"/>
      <c r="G189" s="8"/>
      <c r="H189" s="8"/>
      <c r="I189" s="76"/>
    </row>
    <row r="190">
      <c r="A190" s="8"/>
      <c r="B190" s="8"/>
      <c r="C190" s="18"/>
      <c r="D190" s="18"/>
      <c r="E190" s="8"/>
      <c r="F190" s="8"/>
      <c r="G190" s="8"/>
      <c r="H190" s="8"/>
      <c r="I190" s="76"/>
    </row>
    <row r="191">
      <c r="A191" s="8"/>
      <c r="B191" s="8"/>
      <c r="C191" s="18"/>
      <c r="D191" s="18"/>
      <c r="E191" s="8"/>
      <c r="F191" s="8"/>
      <c r="G191" s="8"/>
      <c r="H191" s="8"/>
      <c r="I191" s="76"/>
    </row>
    <row r="192">
      <c r="A192" s="8"/>
      <c r="B192" s="8"/>
      <c r="C192" s="18"/>
      <c r="D192" s="18"/>
      <c r="E192" s="8"/>
      <c r="F192" s="8"/>
      <c r="G192" s="8"/>
      <c r="H192" s="8"/>
      <c r="I192" s="76"/>
    </row>
    <row r="193">
      <c r="A193" s="8"/>
      <c r="B193" s="8"/>
      <c r="C193" s="18"/>
      <c r="D193" s="18"/>
      <c r="E193" s="8"/>
      <c r="F193" s="8"/>
      <c r="G193" s="8"/>
      <c r="H193" s="8"/>
      <c r="I193" s="76"/>
    </row>
    <row r="194">
      <c r="A194" s="8"/>
      <c r="B194" s="8"/>
      <c r="C194" s="18"/>
      <c r="D194" s="18"/>
      <c r="E194" s="8"/>
      <c r="F194" s="8"/>
      <c r="G194" s="8"/>
      <c r="H194" s="8"/>
      <c r="I194" s="76"/>
    </row>
    <row r="195">
      <c r="A195" s="8"/>
      <c r="B195" s="8"/>
      <c r="C195" s="18"/>
      <c r="D195" s="18"/>
      <c r="E195" s="8"/>
      <c r="F195" s="8"/>
      <c r="G195" s="8"/>
      <c r="H195" s="8"/>
      <c r="I195" s="76"/>
    </row>
    <row r="196">
      <c r="A196" s="8"/>
      <c r="B196" s="8"/>
      <c r="C196" s="18"/>
      <c r="D196" s="18"/>
      <c r="E196" s="8"/>
      <c r="F196" s="8"/>
      <c r="G196" s="8"/>
      <c r="H196" s="8"/>
      <c r="I196" s="76"/>
    </row>
    <row r="197">
      <c r="A197" s="8"/>
      <c r="B197" s="8"/>
      <c r="C197" s="18"/>
      <c r="D197" s="18"/>
      <c r="E197" s="8"/>
      <c r="F197" s="8"/>
      <c r="G197" s="8"/>
      <c r="H197" s="8"/>
      <c r="I197" s="76"/>
    </row>
    <row r="198">
      <c r="A198" s="8"/>
      <c r="B198" s="8"/>
      <c r="C198" s="18"/>
      <c r="D198" s="18"/>
      <c r="E198" s="8"/>
      <c r="F198" s="8"/>
      <c r="G198" s="8"/>
      <c r="H198" s="8"/>
      <c r="I198" s="76"/>
    </row>
    <row r="199">
      <c r="A199" s="8"/>
      <c r="B199" s="8"/>
      <c r="C199" s="18"/>
      <c r="D199" s="18"/>
      <c r="E199" s="8"/>
      <c r="F199" s="8"/>
      <c r="G199" s="8"/>
      <c r="H199" s="8"/>
      <c r="I199" s="76"/>
    </row>
    <row r="200">
      <c r="A200" s="8"/>
      <c r="B200" s="8"/>
      <c r="C200" s="18"/>
      <c r="D200" s="18"/>
      <c r="E200" s="8"/>
      <c r="F200" s="8"/>
      <c r="G200" s="8"/>
      <c r="H200" s="8"/>
      <c r="I200" s="76"/>
    </row>
    <row r="201">
      <c r="A201" s="8"/>
      <c r="B201" s="8"/>
      <c r="C201" s="18"/>
      <c r="D201" s="18"/>
      <c r="E201" s="8"/>
      <c r="F201" s="8"/>
      <c r="G201" s="8"/>
      <c r="H201" s="8"/>
      <c r="I201" s="76"/>
    </row>
    <row r="202">
      <c r="A202" s="8"/>
      <c r="B202" s="8"/>
      <c r="C202" s="18"/>
      <c r="D202" s="18"/>
      <c r="E202" s="8"/>
      <c r="F202" s="8"/>
      <c r="G202" s="8"/>
      <c r="H202" s="8"/>
      <c r="I202" s="76"/>
    </row>
    <row r="203">
      <c r="A203" s="8"/>
      <c r="B203" s="8"/>
      <c r="C203" s="18"/>
      <c r="D203" s="18"/>
      <c r="E203" s="8"/>
      <c r="F203" s="8"/>
      <c r="G203" s="8"/>
      <c r="H203" s="8"/>
      <c r="I203" s="76"/>
    </row>
    <row r="204">
      <c r="A204" s="8"/>
      <c r="B204" s="8"/>
      <c r="C204" s="18"/>
      <c r="D204" s="18"/>
      <c r="E204" s="8"/>
      <c r="F204" s="8"/>
      <c r="G204" s="8"/>
      <c r="H204" s="8"/>
      <c r="I204" s="76"/>
    </row>
    <row r="205">
      <c r="A205" s="8"/>
      <c r="B205" s="8"/>
      <c r="C205" s="18"/>
      <c r="D205" s="18"/>
      <c r="E205" s="8"/>
      <c r="F205" s="8"/>
      <c r="G205" s="8"/>
      <c r="H205" s="8"/>
      <c r="I205" s="76"/>
    </row>
    <row r="206">
      <c r="A206" s="8"/>
      <c r="B206" s="8"/>
      <c r="C206" s="18"/>
      <c r="D206" s="18"/>
      <c r="E206" s="8"/>
      <c r="F206" s="8"/>
      <c r="G206" s="8"/>
      <c r="H206" s="8"/>
      <c r="I206" s="76"/>
    </row>
    <row r="207">
      <c r="A207" s="8"/>
      <c r="B207" s="8"/>
      <c r="C207" s="18"/>
      <c r="D207" s="18"/>
      <c r="E207" s="8"/>
      <c r="F207" s="8"/>
      <c r="G207" s="8"/>
      <c r="H207" s="8"/>
      <c r="I207" s="76"/>
    </row>
    <row r="208">
      <c r="A208" s="8"/>
      <c r="B208" s="8"/>
      <c r="C208" s="18"/>
      <c r="D208" s="18"/>
      <c r="E208" s="8"/>
      <c r="F208" s="8"/>
      <c r="G208" s="8"/>
      <c r="H208" s="8"/>
      <c r="I208" s="76"/>
    </row>
    <row r="209">
      <c r="A209" s="8"/>
      <c r="B209" s="8"/>
      <c r="C209" s="18"/>
      <c r="D209" s="18"/>
      <c r="E209" s="8"/>
      <c r="F209" s="8"/>
      <c r="G209" s="8"/>
      <c r="H209" s="8"/>
      <c r="I209" s="76"/>
    </row>
    <row r="210">
      <c r="A210" s="8"/>
      <c r="B210" s="8"/>
      <c r="C210" s="18"/>
      <c r="D210" s="18"/>
      <c r="E210" s="8"/>
      <c r="F210" s="8"/>
      <c r="G210" s="8"/>
      <c r="H210" s="8"/>
      <c r="I210" s="76"/>
    </row>
    <row r="211">
      <c r="A211" s="8"/>
      <c r="B211" s="8"/>
      <c r="C211" s="18"/>
      <c r="D211" s="18"/>
      <c r="E211" s="8"/>
      <c r="F211" s="8"/>
      <c r="G211" s="8"/>
      <c r="H211" s="8"/>
      <c r="I211" s="76"/>
    </row>
    <row r="212">
      <c r="A212" s="8"/>
      <c r="B212" s="8"/>
      <c r="C212" s="18"/>
      <c r="D212" s="18"/>
      <c r="E212" s="8"/>
      <c r="F212" s="8"/>
      <c r="G212" s="8"/>
      <c r="H212" s="8"/>
      <c r="I212" s="76"/>
    </row>
    <row r="213">
      <c r="A213" s="8"/>
      <c r="B213" s="8"/>
      <c r="C213" s="18"/>
      <c r="D213" s="18"/>
      <c r="E213" s="8"/>
      <c r="F213" s="8"/>
      <c r="G213" s="8"/>
      <c r="H213" s="8"/>
      <c r="I213" s="76"/>
    </row>
    <row r="214">
      <c r="A214" s="8"/>
      <c r="B214" s="8"/>
      <c r="C214" s="18"/>
      <c r="D214" s="18"/>
      <c r="E214" s="8"/>
      <c r="F214" s="8"/>
      <c r="G214" s="8"/>
      <c r="H214" s="8"/>
      <c r="I214" s="76"/>
    </row>
    <row r="215">
      <c r="A215" s="8"/>
      <c r="B215" s="8"/>
      <c r="C215" s="18"/>
      <c r="D215" s="18"/>
      <c r="E215" s="8"/>
      <c r="F215" s="8"/>
      <c r="G215" s="8"/>
      <c r="H215" s="8"/>
      <c r="I215" s="76"/>
    </row>
    <row r="216">
      <c r="A216" s="8"/>
      <c r="B216" s="8"/>
      <c r="C216" s="18"/>
      <c r="D216" s="18"/>
      <c r="E216" s="8"/>
      <c r="F216" s="8"/>
      <c r="G216" s="8"/>
      <c r="H216" s="8"/>
      <c r="I216" s="76"/>
    </row>
    <row r="217">
      <c r="A217" s="8"/>
      <c r="B217" s="8"/>
      <c r="C217" s="18"/>
      <c r="D217" s="18"/>
      <c r="E217" s="8"/>
      <c r="F217" s="8"/>
      <c r="G217" s="8"/>
      <c r="H217" s="8"/>
      <c r="I217" s="76"/>
    </row>
    <row r="218">
      <c r="A218" s="8"/>
      <c r="B218" s="8"/>
      <c r="C218" s="18"/>
      <c r="D218" s="18"/>
      <c r="E218" s="8"/>
      <c r="F218" s="8"/>
      <c r="G218" s="8"/>
      <c r="H218" s="8"/>
      <c r="I218" s="76"/>
    </row>
    <row r="219">
      <c r="A219" s="8"/>
      <c r="B219" s="8"/>
      <c r="C219" s="18"/>
      <c r="D219" s="18"/>
      <c r="E219" s="8"/>
      <c r="F219" s="8"/>
      <c r="G219" s="8"/>
      <c r="H219" s="8"/>
      <c r="I219" s="76"/>
    </row>
    <row r="220">
      <c r="A220" s="8"/>
      <c r="B220" s="8"/>
      <c r="C220" s="18"/>
      <c r="D220" s="18"/>
      <c r="E220" s="8"/>
      <c r="F220" s="8"/>
      <c r="G220" s="8"/>
      <c r="H220" s="8"/>
      <c r="I220" s="76"/>
    </row>
    <row r="221">
      <c r="A221" s="8"/>
      <c r="B221" s="8"/>
      <c r="C221" s="18"/>
      <c r="D221" s="18"/>
      <c r="E221" s="8"/>
      <c r="F221" s="8"/>
      <c r="G221" s="8"/>
      <c r="H221" s="8"/>
      <c r="I221" s="76"/>
    </row>
    <row r="222">
      <c r="A222" s="8"/>
      <c r="B222" s="8"/>
      <c r="C222" s="18"/>
      <c r="D222" s="18"/>
      <c r="E222" s="8"/>
      <c r="F222" s="8"/>
      <c r="G222" s="8"/>
      <c r="H222" s="8"/>
      <c r="I222" s="76"/>
    </row>
    <row r="223">
      <c r="A223" s="8"/>
      <c r="B223" s="8"/>
      <c r="C223" s="18"/>
      <c r="D223" s="18"/>
      <c r="E223" s="8"/>
      <c r="F223" s="8"/>
      <c r="G223" s="8"/>
      <c r="H223" s="8"/>
      <c r="I223" s="76"/>
    </row>
    <row r="224">
      <c r="A224" s="8"/>
      <c r="B224" s="8"/>
      <c r="C224" s="18"/>
      <c r="D224" s="18"/>
      <c r="E224" s="8"/>
      <c r="F224" s="8"/>
      <c r="G224" s="8"/>
      <c r="H224" s="8"/>
      <c r="I224" s="76"/>
    </row>
    <row r="225">
      <c r="A225" s="8"/>
      <c r="B225" s="8"/>
      <c r="C225" s="18"/>
      <c r="D225" s="18"/>
      <c r="E225" s="8"/>
      <c r="F225" s="8"/>
      <c r="G225" s="8"/>
      <c r="H225" s="8"/>
      <c r="I225" s="76"/>
    </row>
    <row r="226">
      <c r="A226" s="8"/>
      <c r="B226" s="8"/>
      <c r="C226" s="18"/>
      <c r="D226" s="18"/>
      <c r="E226" s="8"/>
      <c r="F226" s="8"/>
      <c r="G226" s="8"/>
      <c r="H226" s="8"/>
      <c r="I226" s="76"/>
    </row>
    <row r="227">
      <c r="A227" s="8"/>
      <c r="B227" s="8"/>
      <c r="C227" s="18"/>
      <c r="D227" s="18"/>
      <c r="E227" s="8"/>
      <c r="F227" s="8"/>
      <c r="G227" s="8"/>
      <c r="H227" s="8"/>
      <c r="I227" s="76"/>
    </row>
    <row r="228">
      <c r="A228" s="8"/>
      <c r="B228" s="8"/>
      <c r="C228" s="18"/>
      <c r="D228" s="18"/>
      <c r="E228" s="8"/>
      <c r="F228" s="8"/>
      <c r="G228" s="8"/>
      <c r="H228" s="8"/>
      <c r="I228" s="76"/>
    </row>
    <row r="229">
      <c r="A229" s="8"/>
      <c r="B229" s="8"/>
      <c r="C229" s="18"/>
      <c r="D229" s="18"/>
      <c r="E229" s="8"/>
      <c r="F229" s="8"/>
      <c r="G229" s="8"/>
      <c r="H229" s="8"/>
      <c r="I229" s="76"/>
    </row>
    <row r="230">
      <c r="A230" s="8"/>
      <c r="B230" s="8"/>
      <c r="C230" s="18"/>
      <c r="D230" s="18"/>
      <c r="E230" s="8"/>
      <c r="F230" s="8"/>
      <c r="G230" s="8"/>
      <c r="H230" s="8"/>
      <c r="I230" s="76"/>
    </row>
    <row r="231">
      <c r="A231" s="8"/>
      <c r="B231" s="8"/>
      <c r="C231" s="18"/>
      <c r="D231" s="18"/>
      <c r="E231" s="8"/>
      <c r="F231" s="8"/>
      <c r="G231" s="8"/>
      <c r="H231" s="8"/>
      <c r="I231" s="76"/>
    </row>
    <row r="232">
      <c r="A232" s="8"/>
      <c r="B232" s="8"/>
      <c r="C232" s="18"/>
      <c r="D232" s="18"/>
      <c r="E232" s="8"/>
      <c r="F232" s="8"/>
      <c r="G232" s="8"/>
      <c r="H232" s="8"/>
      <c r="I232" s="76"/>
    </row>
    <row r="233">
      <c r="A233" s="8"/>
      <c r="B233" s="8"/>
      <c r="C233" s="18"/>
      <c r="D233" s="18"/>
      <c r="E233" s="8"/>
      <c r="F233" s="8"/>
      <c r="G233" s="8"/>
      <c r="H233" s="8"/>
      <c r="I233" s="76"/>
    </row>
    <row r="234">
      <c r="A234" s="8"/>
      <c r="B234" s="8"/>
      <c r="C234" s="18"/>
      <c r="D234" s="18"/>
      <c r="E234" s="8"/>
      <c r="F234" s="8"/>
      <c r="G234" s="8"/>
      <c r="H234" s="8"/>
      <c r="I234" s="76"/>
    </row>
    <row r="235">
      <c r="A235" s="8"/>
      <c r="B235" s="8"/>
      <c r="C235" s="18"/>
      <c r="D235" s="18"/>
      <c r="E235" s="8"/>
      <c r="F235" s="8"/>
      <c r="G235" s="8"/>
      <c r="H235" s="8"/>
      <c r="I235" s="76"/>
    </row>
    <row r="236">
      <c r="A236" s="8"/>
      <c r="B236" s="8"/>
      <c r="C236" s="18"/>
      <c r="D236" s="18"/>
      <c r="E236" s="8"/>
      <c r="F236" s="8"/>
      <c r="G236" s="8"/>
      <c r="H236" s="8"/>
      <c r="I236" s="76"/>
    </row>
    <row r="237">
      <c r="A237" s="8"/>
      <c r="B237" s="8"/>
      <c r="C237" s="18"/>
      <c r="D237" s="18"/>
      <c r="E237" s="8"/>
      <c r="F237" s="8"/>
      <c r="G237" s="8"/>
      <c r="H237" s="8"/>
      <c r="I237" s="76"/>
    </row>
    <row r="238">
      <c r="A238" s="8"/>
      <c r="B238" s="8"/>
      <c r="C238" s="18"/>
      <c r="D238" s="18"/>
      <c r="E238" s="8"/>
      <c r="F238" s="8"/>
      <c r="G238" s="8"/>
      <c r="H238" s="8"/>
      <c r="I238" s="76"/>
    </row>
    <row r="239">
      <c r="A239" s="8"/>
      <c r="B239" s="8"/>
      <c r="C239" s="18"/>
      <c r="D239" s="18"/>
      <c r="E239" s="8"/>
      <c r="F239" s="8"/>
      <c r="G239" s="8"/>
      <c r="H239" s="8"/>
      <c r="I239" s="76"/>
    </row>
    <row r="240">
      <c r="A240" s="8"/>
      <c r="B240" s="8"/>
      <c r="C240" s="18"/>
      <c r="D240" s="18"/>
      <c r="E240" s="8"/>
      <c r="F240" s="8"/>
      <c r="G240" s="8"/>
      <c r="H240" s="8"/>
      <c r="I240" s="76"/>
    </row>
    <row r="241">
      <c r="A241" s="8"/>
      <c r="B241" s="8"/>
      <c r="C241" s="18"/>
      <c r="D241" s="18"/>
      <c r="E241" s="8"/>
      <c r="F241" s="8"/>
      <c r="G241" s="8"/>
      <c r="H241" s="8"/>
      <c r="I241" s="76"/>
    </row>
    <row r="242">
      <c r="A242" s="8"/>
      <c r="B242" s="8"/>
      <c r="C242" s="18"/>
      <c r="D242" s="18"/>
      <c r="E242" s="8"/>
      <c r="F242" s="8"/>
      <c r="G242" s="8"/>
      <c r="H242" s="8"/>
      <c r="I242" s="76"/>
    </row>
    <row r="243">
      <c r="A243" s="8"/>
      <c r="B243" s="8"/>
      <c r="C243" s="18"/>
      <c r="D243" s="18"/>
      <c r="E243" s="8"/>
      <c r="F243" s="8"/>
      <c r="G243" s="8"/>
      <c r="H243" s="8"/>
      <c r="I243" s="76"/>
    </row>
    <row r="244">
      <c r="A244" s="8"/>
      <c r="B244" s="8"/>
      <c r="C244" s="18"/>
      <c r="D244" s="18"/>
      <c r="E244" s="8"/>
      <c r="F244" s="8"/>
      <c r="G244" s="8"/>
      <c r="H244" s="8"/>
      <c r="I244" s="76"/>
    </row>
    <row r="245">
      <c r="A245" s="8"/>
      <c r="B245" s="8"/>
      <c r="C245" s="18"/>
      <c r="D245" s="18"/>
      <c r="E245" s="8"/>
      <c r="F245" s="8"/>
      <c r="G245" s="8"/>
      <c r="H245" s="8"/>
      <c r="I245" s="76"/>
    </row>
    <row r="246">
      <c r="A246" s="8"/>
      <c r="B246" s="8"/>
      <c r="C246" s="18"/>
      <c r="D246" s="18"/>
      <c r="E246" s="8"/>
      <c r="F246" s="8"/>
      <c r="G246" s="8"/>
      <c r="H246" s="8"/>
      <c r="I246" s="76"/>
    </row>
    <row r="247">
      <c r="A247" s="8"/>
      <c r="B247" s="8"/>
      <c r="C247" s="18"/>
      <c r="D247" s="18"/>
      <c r="E247" s="8"/>
      <c r="F247" s="8"/>
      <c r="G247" s="8"/>
      <c r="H247" s="8"/>
      <c r="I247" s="76"/>
    </row>
    <row r="248">
      <c r="A248" s="8"/>
      <c r="B248" s="8"/>
      <c r="C248" s="18"/>
      <c r="D248" s="18"/>
      <c r="E248" s="8"/>
      <c r="F248" s="8"/>
      <c r="G248" s="8"/>
      <c r="H248" s="8"/>
      <c r="I248" s="76"/>
    </row>
    <row r="249">
      <c r="A249" s="8"/>
      <c r="B249" s="8"/>
      <c r="C249" s="18"/>
      <c r="D249" s="18"/>
      <c r="E249" s="8"/>
      <c r="F249" s="8"/>
      <c r="G249" s="8"/>
      <c r="H249" s="8"/>
      <c r="I249" s="76"/>
    </row>
    <row r="250">
      <c r="A250" s="8"/>
      <c r="B250" s="8"/>
      <c r="C250" s="18"/>
      <c r="D250" s="18"/>
      <c r="E250" s="8"/>
      <c r="F250" s="8"/>
      <c r="G250" s="8"/>
      <c r="H250" s="8"/>
      <c r="I250" s="76"/>
    </row>
    <row r="251">
      <c r="A251" s="8"/>
      <c r="B251" s="8"/>
      <c r="C251" s="18"/>
      <c r="D251" s="18"/>
      <c r="E251" s="8"/>
      <c r="F251" s="8"/>
      <c r="G251" s="8"/>
      <c r="H251" s="8"/>
      <c r="I251" s="76"/>
    </row>
    <row r="252">
      <c r="A252" s="8"/>
      <c r="B252" s="8"/>
      <c r="C252" s="18"/>
      <c r="D252" s="18"/>
      <c r="E252" s="8"/>
      <c r="F252" s="8"/>
      <c r="G252" s="8"/>
      <c r="H252" s="8"/>
      <c r="I252" s="76"/>
    </row>
    <row r="253">
      <c r="A253" s="8"/>
      <c r="B253" s="8"/>
      <c r="C253" s="18"/>
      <c r="D253" s="18"/>
      <c r="E253" s="8"/>
      <c r="F253" s="8"/>
      <c r="G253" s="8"/>
      <c r="H253" s="8"/>
      <c r="I253" s="76"/>
    </row>
    <row r="254">
      <c r="A254" s="8"/>
      <c r="B254" s="8"/>
      <c r="C254" s="18"/>
      <c r="D254" s="18"/>
      <c r="E254" s="8"/>
      <c r="F254" s="8"/>
      <c r="G254" s="8"/>
      <c r="H254" s="8"/>
      <c r="I254" s="76"/>
    </row>
    <row r="255">
      <c r="A255" s="8"/>
      <c r="B255" s="8"/>
      <c r="C255" s="18"/>
      <c r="D255" s="18"/>
      <c r="E255" s="8"/>
      <c r="F255" s="8"/>
      <c r="G255" s="8"/>
      <c r="H255" s="8"/>
      <c r="I255" s="76"/>
    </row>
    <row r="256">
      <c r="A256" s="8"/>
      <c r="B256" s="8"/>
      <c r="C256" s="18"/>
      <c r="D256" s="18"/>
      <c r="E256" s="8"/>
      <c r="F256" s="8"/>
      <c r="G256" s="8"/>
      <c r="H256" s="8"/>
      <c r="I256" s="76"/>
    </row>
    <row r="257">
      <c r="A257" s="8"/>
      <c r="B257" s="8"/>
      <c r="C257" s="18"/>
      <c r="D257" s="18"/>
      <c r="E257" s="8"/>
      <c r="F257" s="8"/>
      <c r="G257" s="8"/>
      <c r="H257" s="8"/>
      <c r="I257" s="76"/>
    </row>
    <row r="258">
      <c r="A258" s="8"/>
      <c r="B258" s="8"/>
      <c r="C258" s="18"/>
      <c r="D258" s="18"/>
      <c r="E258" s="8"/>
      <c r="F258" s="8"/>
      <c r="G258" s="8"/>
      <c r="H258" s="8"/>
      <c r="I258" s="76"/>
    </row>
    <row r="259">
      <c r="A259" s="8"/>
      <c r="B259" s="8"/>
      <c r="C259" s="18"/>
      <c r="D259" s="18"/>
      <c r="E259" s="8"/>
      <c r="F259" s="8"/>
      <c r="G259" s="8"/>
      <c r="H259" s="8"/>
      <c r="I259" s="76"/>
    </row>
    <row r="260">
      <c r="A260" s="8"/>
      <c r="B260" s="8"/>
      <c r="C260" s="18"/>
      <c r="D260" s="18"/>
      <c r="E260" s="8"/>
      <c r="F260" s="8"/>
      <c r="G260" s="8"/>
      <c r="H260" s="8"/>
      <c r="I260" s="76"/>
    </row>
    <row r="261">
      <c r="A261" s="8"/>
      <c r="B261" s="8"/>
      <c r="C261" s="18"/>
      <c r="D261" s="18"/>
      <c r="E261" s="8"/>
      <c r="F261" s="8"/>
      <c r="G261" s="8"/>
      <c r="H261" s="8"/>
      <c r="I261" s="76"/>
    </row>
    <row r="262">
      <c r="A262" s="8"/>
      <c r="B262" s="8"/>
      <c r="C262" s="18"/>
      <c r="D262" s="18"/>
      <c r="E262" s="8"/>
      <c r="F262" s="8"/>
      <c r="G262" s="8"/>
      <c r="H262" s="8"/>
      <c r="I262" s="76"/>
    </row>
    <row r="263">
      <c r="A263" s="8"/>
      <c r="B263" s="8"/>
      <c r="C263" s="18"/>
      <c r="D263" s="18"/>
      <c r="E263" s="8"/>
      <c r="F263" s="8"/>
      <c r="G263" s="8"/>
      <c r="H263" s="8"/>
      <c r="I263" s="76"/>
    </row>
    <row r="264">
      <c r="A264" s="8"/>
      <c r="B264" s="8"/>
      <c r="C264" s="18"/>
      <c r="D264" s="18"/>
      <c r="E264" s="8"/>
      <c r="F264" s="8"/>
      <c r="G264" s="8"/>
      <c r="H264" s="8"/>
      <c r="I264" s="76"/>
    </row>
    <row r="265">
      <c r="A265" s="8"/>
      <c r="B265" s="8"/>
      <c r="C265" s="18"/>
      <c r="D265" s="18"/>
      <c r="E265" s="8"/>
      <c r="F265" s="8"/>
      <c r="G265" s="8"/>
      <c r="H265" s="8"/>
      <c r="I265" s="76"/>
    </row>
    <row r="266">
      <c r="A266" s="8"/>
      <c r="B266" s="8"/>
      <c r="C266" s="18"/>
      <c r="D266" s="18"/>
      <c r="E266" s="8"/>
      <c r="F266" s="8"/>
      <c r="G266" s="8"/>
      <c r="H266" s="8"/>
      <c r="I266" s="76"/>
    </row>
    <row r="267">
      <c r="A267" s="8"/>
      <c r="B267" s="8"/>
      <c r="C267" s="18"/>
      <c r="D267" s="18"/>
      <c r="E267" s="8"/>
      <c r="F267" s="8"/>
      <c r="G267" s="8"/>
      <c r="H267" s="8"/>
      <c r="I267" s="76"/>
    </row>
    <row r="268">
      <c r="A268" s="8"/>
      <c r="B268" s="8"/>
      <c r="C268" s="18"/>
      <c r="D268" s="18"/>
      <c r="E268" s="8"/>
      <c r="F268" s="8"/>
      <c r="G268" s="8"/>
      <c r="H268" s="8"/>
      <c r="I268" s="76"/>
    </row>
    <row r="269">
      <c r="A269" s="8"/>
      <c r="B269" s="8"/>
      <c r="C269" s="18"/>
      <c r="D269" s="18"/>
      <c r="E269" s="8"/>
      <c r="F269" s="8"/>
      <c r="G269" s="8"/>
      <c r="H269" s="8"/>
      <c r="I269" s="76"/>
    </row>
    <row r="270">
      <c r="A270" s="8"/>
      <c r="B270" s="8"/>
      <c r="C270" s="18"/>
      <c r="D270" s="18"/>
      <c r="E270" s="8"/>
      <c r="F270" s="8"/>
      <c r="G270" s="8"/>
      <c r="H270" s="8"/>
      <c r="I270" s="76"/>
    </row>
    <row r="271">
      <c r="A271" s="8"/>
      <c r="B271" s="8"/>
      <c r="C271" s="18"/>
      <c r="D271" s="18"/>
      <c r="E271" s="8"/>
      <c r="F271" s="8"/>
      <c r="G271" s="8"/>
      <c r="H271" s="8"/>
      <c r="I271" s="76"/>
    </row>
    <row r="272">
      <c r="A272" s="8"/>
      <c r="B272" s="8"/>
      <c r="C272" s="18"/>
      <c r="D272" s="18"/>
      <c r="E272" s="8"/>
      <c r="F272" s="8"/>
      <c r="G272" s="8"/>
      <c r="H272" s="8"/>
      <c r="I272" s="76"/>
    </row>
    <row r="273">
      <c r="A273" s="8"/>
      <c r="B273" s="8"/>
      <c r="C273" s="18"/>
      <c r="D273" s="18"/>
      <c r="E273" s="8"/>
      <c r="F273" s="8"/>
      <c r="G273" s="8"/>
      <c r="H273" s="8"/>
      <c r="I273" s="76"/>
    </row>
    <row r="274">
      <c r="A274" s="8"/>
      <c r="B274" s="8"/>
      <c r="C274" s="18"/>
      <c r="D274" s="18"/>
      <c r="E274" s="8"/>
      <c r="F274" s="8"/>
      <c r="G274" s="8"/>
      <c r="H274" s="8"/>
      <c r="I274" s="76"/>
    </row>
    <row r="275">
      <c r="A275" s="8"/>
      <c r="B275" s="8"/>
      <c r="C275" s="18"/>
      <c r="D275" s="18"/>
      <c r="E275" s="8"/>
      <c r="F275" s="8"/>
      <c r="G275" s="8"/>
      <c r="H275" s="8"/>
      <c r="I275" s="76"/>
    </row>
    <row r="276">
      <c r="A276" s="8"/>
      <c r="B276" s="8"/>
      <c r="C276" s="18"/>
      <c r="D276" s="18"/>
      <c r="E276" s="8"/>
      <c r="F276" s="8"/>
      <c r="G276" s="8"/>
      <c r="H276" s="8"/>
      <c r="I276" s="76"/>
    </row>
    <row r="277">
      <c r="A277" s="8"/>
      <c r="B277" s="8"/>
      <c r="C277" s="18"/>
      <c r="D277" s="18"/>
      <c r="E277" s="8"/>
      <c r="F277" s="8"/>
      <c r="G277" s="8"/>
      <c r="H277" s="8"/>
      <c r="I277" s="76"/>
    </row>
    <row r="278">
      <c r="A278" s="8"/>
      <c r="B278" s="8"/>
      <c r="C278" s="18"/>
      <c r="D278" s="18"/>
      <c r="E278" s="8"/>
      <c r="F278" s="8"/>
      <c r="G278" s="8"/>
      <c r="H278" s="8"/>
      <c r="I278" s="76"/>
    </row>
    <row r="279">
      <c r="A279" s="8"/>
      <c r="B279" s="8"/>
      <c r="C279" s="18"/>
      <c r="D279" s="18"/>
      <c r="E279" s="8"/>
      <c r="F279" s="8"/>
      <c r="G279" s="8"/>
      <c r="H279" s="8"/>
      <c r="I279" s="76"/>
    </row>
    <row r="280">
      <c r="A280" s="8"/>
      <c r="B280" s="8"/>
      <c r="C280" s="18"/>
      <c r="D280" s="18"/>
      <c r="E280" s="8"/>
      <c r="F280" s="8"/>
      <c r="G280" s="8"/>
      <c r="H280" s="8"/>
      <c r="I280" s="76"/>
    </row>
    <row r="281">
      <c r="A281" s="8"/>
      <c r="B281" s="8"/>
      <c r="C281" s="18"/>
      <c r="D281" s="18"/>
      <c r="E281" s="8"/>
      <c r="F281" s="8"/>
      <c r="G281" s="8"/>
      <c r="H281" s="8"/>
      <c r="I281" s="76"/>
    </row>
    <row r="282">
      <c r="A282" s="8"/>
      <c r="B282" s="8"/>
      <c r="C282" s="18"/>
      <c r="D282" s="18"/>
      <c r="E282" s="8"/>
      <c r="F282" s="8"/>
      <c r="G282" s="8"/>
      <c r="H282" s="8"/>
      <c r="I282" s="76"/>
    </row>
    <row r="283">
      <c r="A283" s="8"/>
      <c r="B283" s="8"/>
      <c r="C283" s="18"/>
      <c r="D283" s="18"/>
      <c r="E283" s="8"/>
      <c r="F283" s="8"/>
      <c r="G283" s="8"/>
      <c r="H283" s="8"/>
      <c r="I283" s="76"/>
    </row>
    <row r="284">
      <c r="A284" s="8"/>
      <c r="B284" s="8"/>
      <c r="C284" s="18"/>
      <c r="D284" s="18"/>
      <c r="E284" s="8"/>
      <c r="F284" s="8"/>
      <c r="G284" s="8"/>
      <c r="H284" s="8"/>
      <c r="I284" s="76"/>
    </row>
    <row r="285">
      <c r="A285" s="8"/>
      <c r="B285" s="8"/>
      <c r="C285" s="18"/>
      <c r="D285" s="18"/>
      <c r="E285" s="8"/>
      <c r="F285" s="8"/>
      <c r="G285" s="8"/>
      <c r="H285" s="8"/>
      <c r="I285" s="76"/>
    </row>
    <row r="286">
      <c r="A286" s="8"/>
      <c r="B286" s="8"/>
      <c r="C286" s="18"/>
      <c r="D286" s="18"/>
      <c r="E286" s="8"/>
      <c r="F286" s="8"/>
      <c r="G286" s="8"/>
      <c r="H286" s="8"/>
      <c r="I286" s="76"/>
    </row>
    <row r="287">
      <c r="A287" s="8"/>
      <c r="B287" s="8"/>
      <c r="C287" s="18"/>
      <c r="D287" s="18"/>
      <c r="E287" s="8"/>
      <c r="F287" s="8"/>
      <c r="G287" s="8"/>
      <c r="H287" s="8"/>
      <c r="I287" s="76"/>
    </row>
    <row r="288">
      <c r="A288" s="8"/>
      <c r="B288" s="8"/>
      <c r="C288" s="18"/>
      <c r="D288" s="18"/>
      <c r="E288" s="8"/>
      <c r="F288" s="8"/>
      <c r="G288" s="8"/>
      <c r="H288" s="8"/>
      <c r="I288" s="76"/>
    </row>
    <row r="289">
      <c r="A289" s="8"/>
      <c r="B289" s="8"/>
      <c r="C289" s="18"/>
      <c r="D289" s="18"/>
      <c r="E289" s="8"/>
      <c r="F289" s="8"/>
      <c r="G289" s="8"/>
      <c r="H289" s="8"/>
      <c r="I289" s="76"/>
    </row>
    <row r="290">
      <c r="A290" s="8"/>
      <c r="B290" s="8"/>
      <c r="C290" s="18"/>
      <c r="D290" s="18"/>
      <c r="E290" s="8"/>
      <c r="F290" s="8"/>
      <c r="G290" s="8"/>
      <c r="H290" s="8"/>
      <c r="I290" s="76"/>
    </row>
    <row r="291">
      <c r="A291" s="8"/>
      <c r="B291" s="8"/>
      <c r="C291" s="18"/>
      <c r="D291" s="18"/>
      <c r="E291" s="8"/>
      <c r="F291" s="8"/>
      <c r="G291" s="8"/>
      <c r="H291" s="8"/>
      <c r="I291" s="76"/>
    </row>
    <row r="292">
      <c r="A292" s="8"/>
      <c r="B292" s="8"/>
      <c r="C292" s="18"/>
      <c r="D292" s="18"/>
      <c r="E292" s="8"/>
      <c r="F292" s="8"/>
      <c r="G292" s="8"/>
      <c r="H292" s="8"/>
      <c r="I292" s="76"/>
    </row>
    <row r="293">
      <c r="A293" s="8"/>
      <c r="B293" s="8"/>
      <c r="C293" s="18"/>
      <c r="D293" s="18"/>
      <c r="E293" s="8"/>
      <c r="F293" s="8"/>
      <c r="G293" s="8"/>
      <c r="H293" s="8"/>
      <c r="I293" s="76"/>
    </row>
    <row r="294">
      <c r="A294" s="8"/>
      <c r="B294" s="8"/>
      <c r="C294" s="18"/>
      <c r="D294" s="18"/>
      <c r="E294" s="8"/>
      <c r="F294" s="8"/>
      <c r="G294" s="8"/>
      <c r="H294" s="8"/>
      <c r="I294" s="76"/>
    </row>
    <row r="295">
      <c r="A295" s="8"/>
      <c r="B295" s="8"/>
      <c r="C295" s="18"/>
      <c r="D295" s="18"/>
      <c r="E295" s="8"/>
      <c r="F295" s="8"/>
      <c r="G295" s="8"/>
      <c r="H295" s="8"/>
      <c r="I295" s="76"/>
    </row>
    <row r="296">
      <c r="A296" s="8"/>
      <c r="B296" s="8"/>
      <c r="C296" s="18"/>
      <c r="D296" s="18"/>
      <c r="E296" s="8"/>
      <c r="F296" s="8"/>
      <c r="G296" s="8"/>
      <c r="H296" s="8"/>
      <c r="I296" s="76"/>
    </row>
    <row r="297">
      <c r="A297" s="8"/>
      <c r="B297" s="8"/>
      <c r="C297" s="18"/>
      <c r="D297" s="18"/>
      <c r="E297" s="8"/>
      <c r="F297" s="8"/>
      <c r="G297" s="8"/>
      <c r="H297" s="8"/>
      <c r="I297" s="76"/>
    </row>
    <row r="298">
      <c r="A298" s="8"/>
      <c r="B298" s="8"/>
      <c r="C298" s="18"/>
      <c r="D298" s="18"/>
      <c r="E298" s="8"/>
      <c r="F298" s="8"/>
      <c r="G298" s="8"/>
      <c r="H298" s="8"/>
      <c r="I298" s="76"/>
    </row>
    <row r="299">
      <c r="A299" s="8"/>
      <c r="B299" s="8"/>
      <c r="C299" s="18"/>
      <c r="D299" s="18"/>
      <c r="E299" s="8"/>
      <c r="F299" s="8"/>
      <c r="G299" s="8"/>
      <c r="H299" s="8"/>
      <c r="I299" s="76"/>
    </row>
    <row r="300">
      <c r="A300" s="8"/>
      <c r="B300" s="8"/>
      <c r="C300" s="18"/>
      <c r="D300" s="18"/>
      <c r="E300" s="8"/>
      <c r="F300" s="8"/>
      <c r="G300" s="8"/>
      <c r="H300" s="8"/>
      <c r="I300" s="76"/>
    </row>
    <row r="301">
      <c r="A301" s="8"/>
      <c r="B301" s="8"/>
      <c r="C301" s="18"/>
      <c r="D301" s="18"/>
      <c r="E301" s="8"/>
      <c r="F301" s="8"/>
      <c r="G301" s="8"/>
      <c r="H301" s="8"/>
      <c r="I301" s="76"/>
    </row>
    <row r="302">
      <c r="A302" s="8"/>
      <c r="B302" s="8"/>
      <c r="C302" s="18"/>
      <c r="D302" s="18"/>
      <c r="E302" s="8"/>
      <c r="F302" s="8"/>
      <c r="G302" s="8"/>
      <c r="H302" s="8"/>
      <c r="I302" s="76"/>
    </row>
    <row r="303">
      <c r="A303" s="8"/>
      <c r="B303" s="8"/>
      <c r="C303" s="18"/>
      <c r="D303" s="18"/>
      <c r="E303" s="8"/>
      <c r="F303" s="8"/>
      <c r="G303" s="8"/>
      <c r="H303" s="8"/>
      <c r="I303" s="76"/>
    </row>
    <row r="304">
      <c r="A304" s="8"/>
      <c r="B304" s="8"/>
      <c r="C304" s="18"/>
      <c r="D304" s="18"/>
      <c r="E304" s="8"/>
      <c r="F304" s="8"/>
      <c r="G304" s="8"/>
      <c r="H304" s="8"/>
      <c r="I304" s="76"/>
    </row>
    <row r="305">
      <c r="A305" s="8"/>
      <c r="B305" s="8"/>
      <c r="C305" s="18"/>
      <c r="D305" s="18"/>
      <c r="E305" s="8"/>
      <c r="F305" s="8"/>
      <c r="G305" s="8"/>
      <c r="H305" s="8"/>
      <c r="I305" s="76"/>
    </row>
    <row r="306">
      <c r="A306" s="8"/>
      <c r="B306" s="8"/>
      <c r="C306" s="18"/>
      <c r="D306" s="18"/>
      <c r="E306" s="8"/>
      <c r="F306" s="8"/>
      <c r="G306" s="8"/>
      <c r="H306" s="8"/>
      <c r="I306" s="76"/>
    </row>
    <row r="307">
      <c r="A307" s="8"/>
      <c r="B307" s="8"/>
      <c r="C307" s="18"/>
      <c r="D307" s="18"/>
      <c r="E307" s="8"/>
      <c r="F307" s="8"/>
      <c r="G307" s="8"/>
      <c r="H307" s="8"/>
      <c r="I307" s="76"/>
    </row>
    <row r="308">
      <c r="A308" s="8"/>
      <c r="B308" s="8"/>
      <c r="C308" s="18"/>
      <c r="D308" s="18"/>
      <c r="E308" s="8"/>
      <c r="F308" s="8"/>
      <c r="G308" s="8"/>
      <c r="H308" s="8"/>
      <c r="I308" s="76"/>
    </row>
    <row r="309">
      <c r="A309" s="8"/>
      <c r="B309" s="8"/>
      <c r="C309" s="18"/>
      <c r="D309" s="18"/>
      <c r="E309" s="8"/>
      <c r="F309" s="8"/>
      <c r="G309" s="8"/>
      <c r="H309" s="8"/>
      <c r="I309" s="76"/>
    </row>
    <row r="310">
      <c r="A310" s="8"/>
      <c r="B310" s="8"/>
      <c r="C310" s="18"/>
      <c r="D310" s="18"/>
      <c r="E310" s="8"/>
      <c r="F310" s="8"/>
      <c r="G310" s="8"/>
      <c r="H310" s="8"/>
      <c r="I310" s="76"/>
    </row>
    <row r="311">
      <c r="A311" s="8"/>
      <c r="B311" s="8"/>
      <c r="C311" s="18"/>
      <c r="D311" s="18"/>
      <c r="E311" s="8"/>
      <c r="F311" s="8"/>
      <c r="G311" s="8"/>
      <c r="H311" s="8"/>
      <c r="I311" s="76"/>
    </row>
    <row r="312">
      <c r="A312" s="8"/>
      <c r="B312" s="8"/>
      <c r="C312" s="18"/>
      <c r="D312" s="18"/>
      <c r="E312" s="8"/>
      <c r="F312" s="8"/>
      <c r="G312" s="8"/>
      <c r="H312" s="8"/>
      <c r="I312" s="76"/>
    </row>
    <row r="313">
      <c r="A313" s="8"/>
      <c r="B313" s="8"/>
      <c r="C313" s="18"/>
      <c r="D313" s="18"/>
      <c r="E313" s="8"/>
      <c r="F313" s="8"/>
      <c r="G313" s="8"/>
      <c r="H313" s="8"/>
      <c r="I313" s="76"/>
    </row>
    <row r="314">
      <c r="A314" s="8"/>
      <c r="B314" s="8"/>
      <c r="C314" s="18"/>
      <c r="D314" s="18"/>
      <c r="E314" s="8"/>
      <c r="F314" s="8"/>
      <c r="G314" s="8"/>
      <c r="H314" s="8"/>
      <c r="I314" s="76"/>
    </row>
    <row r="315">
      <c r="A315" s="8"/>
      <c r="B315" s="8"/>
      <c r="C315" s="18"/>
      <c r="D315" s="18"/>
      <c r="E315" s="8"/>
      <c r="F315" s="8"/>
      <c r="G315" s="8"/>
      <c r="H315" s="8"/>
      <c r="I315" s="76"/>
    </row>
    <row r="316">
      <c r="A316" s="8"/>
      <c r="B316" s="8"/>
      <c r="C316" s="18"/>
      <c r="D316" s="18"/>
      <c r="E316" s="8"/>
      <c r="F316" s="8"/>
      <c r="G316" s="8"/>
      <c r="H316" s="8"/>
      <c r="I316" s="76"/>
    </row>
    <row r="317">
      <c r="A317" s="8"/>
      <c r="B317" s="8"/>
      <c r="C317" s="18"/>
      <c r="D317" s="18"/>
      <c r="E317" s="8"/>
      <c r="F317" s="8"/>
      <c r="G317" s="8"/>
      <c r="H317" s="8"/>
      <c r="I317" s="76"/>
    </row>
    <row r="318">
      <c r="A318" s="8"/>
      <c r="B318" s="8"/>
      <c r="C318" s="18"/>
      <c r="D318" s="18"/>
      <c r="E318" s="8"/>
      <c r="F318" s="8"/>
      <c r="G318" s="8"/>
      <c r="H318" s="8"/>
      <c r="I318" s="76"/>
    </row>
    <row r="319">
      <c r="A319" s="8"/>
      <c r="B319" s="8"/>
      <c r="C319" s="18"/>
      <c r="D319" s="18"/>
      <c r="E319" s="8"/>
      <c r="F319" s="8"/>
      <c r="G319" s="8"/>
      <c r="H319" s="8"/>
      <c r="I319" s="76"/>
    </row>
    <row r="320">
      <c r="A320" s="8"/>
      <c r="B320" s="8"/>
      <c r="C320" s="18"/>
      <c r="D320" s="18"/>
      <c r="E320" s="8"/>
      <c r="F320" s="8"/>
      <c r="G320" s="8"/>
      <c r="H320" s="8"/>
      <c r="I320" s="76"/>
    </row>
    <row r="321">
      <c r="A321" s="8"/>
      <c r="B321" s="8"/>
      <c r="C321" s="18"/>
      <c r="D321" s="18"/>
      <c r="E321" s="8"/>
      <c r="F321" s="8"/>
      <c r="G321" s="8"/>
      <c r="H321" s="8"/>
      <c r="I321" s="76"/>
    </row>
    <row r="322">
      <c r="A322" s="8"/>
      <c r="B322" s="8"/>
      <c r="C322" s="18"/>
      <c r="D322" s="18"/>
      <c r="E322" s="8"/>
      <c r="F322" s="8"/>
      <c r="G322" s="8"/>
      <c r="H322" s="8"/>
      <c r="I322" s="76"/>
    </row>
    <row r="323">
      <c r="A323" s="8"/>
      <c r="B323" s="8"/>
      <c r="C323" s="18"/>
      <c r="D323" s="18"/>
      <c r="E323" s="8"/>
      <c r="F323" s="8"/>
      <c r="G323" s="8"/>
      <c r="H323" s="8"/>
      <c r="I323" s="76"/>
    </row>
    <row r="324">
      <c r="A324" s="8"/>
      <c r="B324" s="8"/>
      <c r="C324" s="18"/>
      <c r="D324" s="18"/>
      <c r="E324" s="8"/>
      <c r="F324" s="8"/>
      <c r="G324" s="8"/>
      <c r="H324" s="8"/>
      <c r="I324" s="76"/>
    </row>
    <row r="325">
      <c r="A325" s="8"/>
      <c r="B325" s="8"/>
      <c r="C325" s="18"/>
      <c r="D325" s="18"/>
      <c r="E325" s="8"/>
      <c r="F325" s="8"/>
      <c r="G325" s="8"/>
      <c r="H325" s="8"/>
      <c r="I325" s="76"/>
    </row>
    <row r="326">
      <c r="A326" s="8"/>
      <c r="B326" s="8"/>
      <c r="C326" s="18"/>
      <c r="D326" s="18"/>
      <c r="E326" s="8"/>
      <c r="F326" s="8"/>
      <c r="G326" s="8"/>
      <c r="H326" s="8"/>
      <c r="I326" s="76"/>
    </row>
    <row r="327">
      <c r="A327" s="8"/>
      <c r="B327" s="8"/>
      <c r="C327" s="18"/>
      <c r="D327" s="18"/>
      <c r="E327" s="8"/>
      <c r="F327" s="8"/>
      <c r="G327" s="8"/>
      <c r="H327" s="8"/>
      <c r="I327" s="76"/>
    </row>
    <row r="328">
      <c r="A328" s="8"/>
      <c r="B328" s="8"/>
      <c r="C328" s="18"/>
      <c r="D328" s="18"/>
      <c r="E328" s="8"/>
      <c r="F328" s="8"/>
      <c r="G328" s="8"/>
      <c r="H328" s="8"/>
      <c r="I328" s="76"/>
    </row>
    <row r="329">
      <c r="A329" s="8"/>
      <c r="B329" s="8"/>
      <c r="C329" s="18"/>
      <c r="D329" s="18"/>
      <c r="E329" s="8"/>
      <c r="F329" s="8"/>
      <c r="G329" s="8"/>
      <c r="H329" s="8"/>
      <c r="I329" s="76"/>
    </row>
    <row r="330">
      <c r="A330" s="8"/>
      <c r="B330" s="8"/>
      <c r="C330" s="18"/>
      <c r="D330" s="18"/>
      <c r="E330" s="8"/>
      <c r="F330" s="8"/>
      <c r="G330" s="8"/>
      <c r="H330" s="8"/>
      <c r="I330" s="76"/>
    </row>
    <row r="331">
      <c r="A331" s="8"/>
      <c r="B331" s="8"/>
      <c r="C331" s="18"/>
      <c r="D331" s="18"/>
      <c r="E331" s="8"/>
      <c r="F331" s="8"/>
      <c r="G331" s="8"/>
      <c r="H331" s="8"/>
      <c r="I331" s="76"/>
    </row>
    <row r="332">
      <c r="A332" s="8"/>
      <c r="B332" s="8"/>
      <c r="C332" s="18"/>
      <c r="D332" s="18"/>
      <c r="E332" s="8"/>
      <c r="F332" s="8"/>
      <c r="G332" s="8"/>
      <c r="H332" s="8"/>
      <c r="I332" s="76"/>
    </row>
    <row r="333">
      <c r="A333" s="8"/>
      <c r="B333" s="8"/>
      <c r="C333" s="18"/>
      <c r="D333" s="18"/>
      <c r="E333" s="8"/>
      <c r="F333" s="8"/>
      <c r="G333" s="8"/>
      <c r="H333" s="8"/>
      <c r="I333" s="76"/>
    </row>
    <row r="334">
      <c r="A334" s="8"/>
      <c r="B334" s="8"/>
      <c r="C334" s="18"/>
      <c r="D334" s="18"/>
      <c r="E334" s="8"/>
      <c r="F334" s="8"/>
      <c r="G334" s="8"/>
      <c r="H334" s="8"/>
      <c r="I334" s="76"/>
    </row>
    <row r="335">
      <c r="A335" s="8"/>
      <c r="B335" s="8"/>
      <c r="C335" s="18"/>
      <c r="D335" s="18"/>
      <c r="E335" s="8"/>
      <c r="F335" s="8"/>
      <c r="G335" s="8"/>
      <c r="H335" s="8"/>
      <c r="I335" s="76"/>
    </row>
    <row r="336">
      <c r="A336" s="8"/>
      <c r="B336" s="8"/>
      <c r="C336" s="18"/>
      <c r="D336" s="18"/>
      <c r="E336" s="8"/>
      <c r="F336" s="8"/>
      <c r="G336" s="8"/>
      <c r="H336" s="8"/>
      <c r="I336" s="76"/>
    </row>
    <row r="337">
      <c r="A337" s="8"/>
      <c r="B337" s="8"/>
      <c r="C337" s="18"/>
      <c r="D337" s="18"/>
      <c r="E337" s="8"/>
      <c r="F337" s="8"/>
      <c r="G337" s="8"/>
      <c r="H337" s="8"/>
      <c r="I337" s="76"/>
    </row>
    <row r="338">
      <c r="A338" s="8"/>
      <c r="B338" s="8"/>
      <c r="C338" s="18"/>
      <c r="D338" s="18"/>
      <c r="E338" s="8"/>
      <c r="F338" s="8"/>
      <c r="G338" s="8"/>
      <c r="H338" s="8"/>
      <c r="I338" s="76"/>
    </row>
    <row r="339">
      <c r="A339" s="8"/>
      <c r="B339" s="8"/>
      <c r="C339" s="18"/>
      <c r="D339" s="18"/>
      <c r="E339" s="8"/>
      <c r="F339" s="8"/>
      <c r="G339" s="8"/>
      <c r="H339" s="8"/>
      <c r="I339" s="76"/>
    </row>
    <row r="340">
      <c r="A340" s="8"/>
      <c r="B340" s="8"/>
      <c r="C340" s="18"/>
      <c r="D340" s="18"/>
      <c r="E340" s="8"/>
      <c r="F340" s="8"/>
      <c r="G340" s="8"/>
      <c r="H340" s="8"/>
      <c r="I340" s="76"/>
    </row>
    <row r="341">
      <c r="A341" s="8"/>
      <c r="B341" s="8"/>
      <c r="C341" s="18"/>
      <c r="D341" s="18"/>
      <c r="E341" s="8"/>
      <c r="F341" s="8"/>
      <c r="G341" s="8"/>
      <c r="H341" s="8"/>
      <c r="I341" s="76"/>
    </row>
    <row r="342">
      <c r="A342" s="8"/>
      <c r="B342" s="8"/>
      <c r="C342" s="18"/>
      <c r="D342" s="18"/>
      <c r="E342" s="8"/>
      <c r="F342" s="8"/>
      <c r="G342" s="8"/>
      <c r="H342" s="8"/>
      <c r="I342" s="76"/>
    </row>
    <row r="343">
      <c r="A343" s="8"/>
      <c r="B343" s="8"/>
      <c r="C343" s="18"/>
      <c r="D343" s="18"/>
      <c r="E343" s="8"/>
      <c r="F343" s="8"/>
      <c r="G343" s="8"/>
      <c r="H343" s="8"/>
      <c r="I343" s="76"/>
    </row>
    <row r="344">
      <c r="A344" s="8"/>
      <c r="B344" s="8"/>
      <c r="C344" s="18"/>
      <c r="D344" s="18"/>
      <c r="E344" s="8"/>
      <c r="F344" s="8"/>
      <c r="G344" s="8"/>
      <c r="H344" s="8"/>
      <c r="I344" s="76"/>
    </row>
    <row r="345">
      <c r="A345" s="8"/>
      <c r="B345" s="8"/>
      <c r="C345" s="18"/>
      <c r="D345" s="18"/>
      <c r="E345" s="8"/>
      <c r="F345" s="8"/>
      <c r="G345" s="8"/>
      <c r="H345" s="8"/>
      <c r="I345" s="76"/>
    </row>
    <row r="346">
      <c r="A346" s="8"/>
      <c r="B346" s="8"/>
      <c r="C346" s="18"/>
      <c r="D346" s="18"/>
      <c r="E346" s="8"/>
      <c r="F346" s="8"/>
      <c r="G346" s="8"/>
      <c r="H346" s="8"/>
      <c r="I346" s="76"/>
    </row>
    <row r="347">
      <c r="A347" s="8"/>
      <c r="B347" s="8"/>
      <c r="C347" s="18"/>
      <c r="D347" s="18"/>
      <c r="E347" s="8"/>
      <c r="F347" s="8"/>
      <c r="G347" s="8"/>
      <c r="H347" s="8"/>
      <c r="I347" s="76"/>
    </row>
    <row r="348">
      <c r="A348" s="8"/>
      <c r="B348" s="8"/>
      <c r="C348" s="18"/>
      <c r="D348" s="18"/>
      <c r="E348" s="8"/>
      <c r="F348" s="8"/>
      <c r="G348" s="8"/>
      <c r="H348" s="8"/>
      <c r="I348" s="76"/>
    </row>
    <row r="349">
      <c r="A349" s="8"/>
      <c r="B349" s="8"/>
      <c r="C349" s="18"/>
      <c r="D349" s="18"/>
      <c r="E349" s="8"/>
      <c r="F349" s="8"/>
      <c r="G349" s="8"/>
      <c r="H349" s="8"/>
      <c r="I349" s="76"/>
    </row>
    <row r="350">
      <c r="A350" s="8"/>
      <c r="B350" s="8"/>
      <c r="C350" s="18"/>
      <c r="D350" s="18"/>
      <c r="E350" s="8"/>
      <c r="F350" s="8"/>
      <c r="G350" s="8"/>
      <c r="H350" s="8"/>
      <c r="I350" s="76"/>
    </row>
    <row r="351">
      <c r="A351" s="8"/>
      <c r="B351" s="8"/>
      <c r="C351" s="18"/>
      <c r="D351" s="18"/>
      <c r="E351" s="8"/>
      <c r="F351" s="8"/>
      <c r="G351" s="8"/>
      <c r="H351" s="8"/>
      <c r="I351" s="76"/>
    </row>
    <row r="352">
      <c r="A352" s="8"/>
      <c r="B352" s="8"/>
      <c r="C352" s="18"/>
      <c r="D352" s="18"/>
      <c r="E352" s="8"/>
      <c r="F352" s="8"/>
      <c r="G352" s="8"/>
      <c r="H352" s="8"/>
      <c r="I352" s="76"/>
    </row>
    <row r="353">
      <c r="A353" s="8"/>
      <c r="B353" s="8"/>
      <c r="C353" s="18"/>
      <c r="D353" s="18"/>
      <c r="E353" s="8"/>
      <c r="F353" s="8"/>
      <c r="G353" s="8"/>
      <c r="H353" s="8"/>
      <c r="I353" s="76"/>
    </row>
    <row r="354">
      <c r="A354" s="8"/>
      <c r="B354" s="8"/>
      <c r="C354" s="18"/>
      <c r="D354" s="18"/>
      <c r="E354" s="8"/>
      <c r="F354" s="8"/>
      <c r="G354" s="8"/>
      <c r="H354" s="8"/>
      <c r="I354" s="76"/>
    </row>
    <row r="355">
      <c r="A355" s="8"/>
      <c r="B355" s="8"/>
      <c r="C355" s="18"/>
      <c r="D355" s="18"/>
      <c r="E355" s="8"/>
      <c r="F355" s="8"/>
      <c r="G355" s="8"/>
      <c r="H355" s="8"/>
      <c r="I355" s="76"/>
    </row>
    <row r="356">
      <c r="A356" s="8"/>
      <c r="B356" s="8"/>
      <c r="C356" s="18"/>
      <c r="D356" s="18"/>
      <c r="E356" s="8"/>
      <c r="F356" s="8"/>
      <c r="G356" s="8"/>
      <c r="H356" s="8"/>
      <c r="I356" s="76"/>
    </row>
    <row r="357">
      <c r="A357" s="8"/>
      <c r="B357" s="8"/>
      <c r="C357" s="18"/>
      <c r="D357" s="18"/>
      <c r="E357" s="8"/>
      <c r="F357" s="8"/>
      <c r="G357" s="8"/>
      <c r="H357" s="8"/>
      <c r="I357" s="76"/>
    </row>
    <row r="358">
      <c r="A358" s="8"/>
      <c r="B358" s="8"/>
      <c r="C358" s="18"/>
      <c r="D358" s="18"/>
      <c r="E358" s="8"/>
      <c r="F358" s="8"/>
      <c r="G358" s="8"/>
      <c r="H358" s="8"/>
      <c r="I358" s="76"/>
    </row>
    <row r="359">
      <c r="A359" s="8"/>
      <c r="B359" s="8"/>
      <c r="C359" s="18"/>
      <c r="D359" s="18"/>
      <c r="E359" s="8"/>
      <c r="F359" s="8"/>
      <c r="G359" s="8"/>
      <c r="H359" s="8"/>
      <c r="I359" s="76"/>
    </row>
    <row r="360">
      <c r="A360" s="8"/>
      <c r="B360" s="8"/>
      <c r="C360" s="18"/>
      <c r="D360" s="18"/>
      <c r="E360" s="8"/>
      <c r="F360" s="8"/>
      <c r="G360" s="8"/>
      <c r="H360" s="8"/>
      <c r="I360" s="76"/>
    </row>
    <row r="361">
      <c r="A361" s="8"/>
      <c r="B361" s="8"/>
      <c r="C361" s="18"/>
      <c r="D361" s="18"/>
      <c r="E361" s="8"/>
      <c r="F361" s="8"/>
      <c r="G361" s="8"/>
      <c r="H361" s="8"/>
      <c r="I361" s="76"/>
    </row>
    <row r="362">
      <c r="A362" s="8"/>
      <c r="B362" s="8"/>
      <c r="C362" s="18"/>
      <c r="D362" s="18"/>
      <c r="E362" s="8"/>
      <c r="F362" s="8"/>
      <c r="G362" s="8"/>
      <c r="H362" s="8"/>
      <c r="I362" s="76"/>
    </row>
    <row r="363">
      <c r="A363" s="8"/>
      <c r="B363" s="8"/>
      <c r="C363" s="18"/>
      <c r="D363" s="18"/>
      <c r="E363" s="8"/>
      <c r="F363" s="8"/>
      <c r="G363" s="8"/>
      <c r="H363" s="8"/>
      <c r="I363" s="76"/>
    </row>
    <row r="364">
      <c r="A364" s="8"/>
      <c r="B364" s="8"/>
      <c r="C364" s="18"/>
      <c r="D364" s="18"/>
      <c r="E364" s="8"/>
      <c r="F364" s="8"/>
      <c r="G364" s="8"/>
      <c r="H364" s="8"/>
      <c r="I364" s="76"/>
    </row>
    <row r="365">
      <c r="A365" s="8"/>
      <c r="B365" s="8"/>
      <c r="C365" s="18"/>
      <c r="D365" s="18"/>
      <c r="E365" s="8"/>
      <c r="F365" s="8"/>
      <c r="G365" s="8"/>
      <c r="H365" s="8"/>
      <c r="I365" s="76"/>
    </row>
    <row r="366">
      <c r="A366" s="8"/>
      <c r="B366" s="8"/>
      <c r="C366" s="18"/>
      <c r="D366" s="18"/>
      <c r="E366" s="8"/>
      <c r="F366" s="8"/>
      <c r="G366" s="8"/>
      <c r="H366" s="8"/>
      <c r="I366" s="76"/>
    </row>
    <row r="367">
      <c r="A367" s="8"/>
      <c r="B367" s="8"/>
      <c r="C367" s="18"/>
      <c r="D367" s="18"/>
      <c r="E367" s="8"/>
      <c r="F367" s="8"/>
      <c r="G367" s="8"/>
      <c r="H367" s="8"/>
      <c r="I367" s="76"/>
    </row>
    <row r="368">
      <c r="A368" s="8"/>
      <c r="B368" s="8"/>
      <c r="C368" s="18"/>
      <c r="D368" s="18"/>
      <c r="E368" s="8"/>
      <c r="F368" s="8"/>
      <c r="G368" s="8"/>
      <c r="H368" s="8"/>
      <c r="I368" s="76"/>
    </row>
    <row r="369">
      <c r="A369" s="8"/>
      <c r="B369" s="8"/>
      <c r="C369" s="18"/>
      <c r="D369" s="18"/>
      <c r="E369" s="8"/>
      <c r="F369" s="8"/>
      <c r="G369" s="8"/>
      <c r="H369" s="8"/>
      <c r="I369" s="76"/>
    </row>
    <row r="370">
      <c r="A370" s="8"/>
      <c r="B370" s="8"/>
      <c r="C370" s="18"/>
      <c r="D370" s="18"/>
      <c r="E370" s="8"/>
      <c r="F370" s="8"/>
      <c r="G370" s="8"/>
      <c r="H370" s="8"/>
      <c r="I370" s="76"/>
    </row>
    <row r="371">
      <c r="A371" s="8"/>
      <c r="B371" s="8"/>
      <c r="C371" s="18"/>
      <c r="D371" s="18"/>
      <c r="E371" s="8"/>
      <c r="F371" s="8"/>
      <c r="G371" s="8"/>
      <c r="H371" s="8"/>
      <c r="I371" s="76"/>
    </row>
    <row r="372">
      <c r="A372" s="8"/>
      <c r="B372" s="8"/>
      <c r="C372" s="18"/>
      <c r="D372" s="18"/>
      <c r="E372" s="8"/>
      <c r="F372" s="8"/>
      <c r="G372" s="8"/>
      <c r="H372" s="8"/>
      <c r="I372" s="76"/>
    </row>
    <row r="373">
      <c r="A373" s="8"/>
      <c r="B373" s="8"/>
      <c r="C373" s="18"/>
      <c r="D373" s="18"/>
      <c r="E373" s="8"/>
      <c r="F373" s="8"/>
      <c r="G373" s="8"/>
      <c r="H373" s="8"/>
      <c r="I373" s="76"/>
    </row>
    <row r="374">
      <c r="A374" s="8"/>
      <c r="B374" s="8"/>
      <c r="C374" s="18"/>
      <c r="D374" s="18"/>
      <c r="E374" s="8"/>
      <c r="F374" s="8"/>
      <c r="G374" s="8"/>
      <c r="H374" s="8"/>
      <c r="I374" s="76"/>
    </row>
    <row r="375">
      <c r="A375" s="8"/>
      <c r="B375" s="8"/>
      <c r="C375" s="18"/>
      <c r="D375" s="18"/>
      <c r="E375" s="8"/>
      <c r="F375" s="8"/>
      <c r="G375" s="8"/>
      <c r="H375" s="8"/>
      <c r="I375" s="76"/>
    </row>
    <row r="376">
      <c r="A376" s="8"/>
      <c r="B376" s="8"/>
      <c r="C376" s="18"/>
      <c r="D376" s="18"/>
      <c r="E376" s="8"/>
      <c r="F376" s="8"/>
      <c r="G376" s="8"/>
      <c r="H376" s="8"/>
      <c r="I376" s="76"/>
    </row>
    <row r="377">
      <c r="A377" s="8"/>
      <c r="B377" s="8"/>
      <c r="C377" s="18"/>
      <c r="D377" s="18"/>
      <c r="E377" s="8"/>
      <c r="F377" s="8"/>
      <c r="G377" s="8"/>
      <c r="H377" s="8"/>
      <c r="I377" s="76"/>
    </row>
    <row r="378">
      <c r="A378" s="8"/>
      <c r="B378" s="8"/>
      <c r="C378" s="18"/>
      <c r="D378" s="18"/>
      <c r="E378" s="8"/>
      <c r="F378" s="8"/>
      <c r="G378" s="8"/>
      <c r="H378" s="8"/>
      <c r="I378" s="76"/>
    </row>
    <row r="379">
      <c r="A379" s="8"/>
      <c r="B379" s="8"/>
      <c r="C379" s="18"/>
      <c r="D379" s="18"/>
      <c r="E379" s="8"/>
      <c r="F379" s="8"/>
      <c r="G379" s="8"/>
      <c r="H379" s="8"/>
      <c r="I379" s="76"/>
    </row>
    <row r="380">
      <c r="A380" s="8"/>
      <c r="B380" s="8"/>
      <c r="C380" s="18"/>
      <c r="D380" s="18"/>
      <c r="E380" s="8"/>
      <c r="F380" s="8"/>
      <c r="G380" s="8"/>
      <c r="H380" s="8"/>
      <c r="I380" s="76"/>
    </row>
    <row r="381">
      <c r="A381" s="8"/>
      <c r="B381" s="8"/>
      <c r="C381" s="18"/>
      <c r="D381" s="18"/>
      <c r="E381" s="8"/>
      <c r="F381" s="8"/>
      <c r="G381" s="8"/>
      <c r="H381" s="8"/>
      <c r="I381" s="76"/>
    </row>
    <row r="382">
      <c r="A382" s="8"/>
      <c r="B382" s="8"/>
      <c r="C382" s="18"/>
      <c r="D382" s="18"/>
      <c r="E382" s="8"/>
      <c r="F382" s="8"/>
      <c r="G382" s="8"/>
      <c r="H382" s="8"/>
      <c r="I382" s="76"/>
    </row>
    <row r="383">
      <c r="A383" s="8"/>
      <c r="B383" s="8"/>
      <c r="C383" s="18"/>
      <c r="D383" s="18"/>
      <c r="E383" s="8"/>
      <c r="F383" s="8"/>
      <c r="G383" s="8"/>
      <c r="H383" s="8"/>
      <c r="I383" s="76"/>
    </row>
    <row r="384">
      <c r="A384" s="8"/>
      <c r="B384" s="8"/>
      <c r="C384" s="18"/>
      <c r="D384" s="18"/>
      <c r="E384" s="8"/>
      <c r="F384" s="8"/>
      <c r="G384" s="8"/>
      <c r="H384" s="8"/>
      <c r="I384" s="76"/>
    </row>
    <row r="385">
      <c r="A385" s="8"/>
      <c r="B385" s="8"/>
      <c r="C385" s="18"/>
      <c r="D385" s="18"/>
      <c r="E385" s="8"/>
      <c r="F385" s="8"/>
      <c r="G385" s="8"/>
      <c r="H385" s="8"/>
      <c r="I385" s="76"/>
    </row>
    <row r="386">
      <c r="A386" s="8"/>
      <c r="B386" s="8"/>
      <c r="C386" s="18"/>
      <c r="D386" s="18"/>
      <c r="E386" s="8"/>
      <c r="F386" s="8"/>
      <c r="G386" s="8"/>
      <c r="H386" s="8"/>
      <c r="I386" s="76"/>
    </row>
    <row r="387">
      <c r="A387" s="8"/>
      <c r="B387" s="8"/>
      <c r="C387" s="18"/>
      <c r="D387" s="18"/>
      <c r="E387" s="8"/>
      <c r="F387" s="8"/>
      <c r="G387" s="8"/>
      <c r="H387" s="8"/>
      <c r="I387" s="76"/>
    </row>
    <row r="388">
      <c r="A388" s="8"/>
      <c r="B388" s="8"/>
      <c r="C388" s="18"/>
      <c r="D388" s="18"/>
      <c r="E388" s="8"/>
      <c r="F388" s="8"/>
      <c r="G388" s="8"/>
      <c r="H388" s="8"/>
      <c r="I388" s="76"/>
    </row>
    <row r="389">
      <c r="A389" s="8"/>
      <c r="B389" s="8"/>
      <c r="C389" s="18"/>
      <c r="D389" s="18"/>
      <c r="E389" s="8"/>
      <c r="F389" s="8"/>
      <c r="G389" s="8"/>
      <c r="H389" s="8"/>
      <c r="I389" s="76"/>
    </row>
    <row r="390">
      <c r="A390" s="8"/>
      <c r="B390" s="8"/>
      <c r="C390" s="18"/>
      <c r="D390" s="18"/>
      <c r="E390" s="8"/>
      <c r="F390" s="8"/>
      <c r="G390" s="8"/>
      <c r="H390" s="8"/>
      <c r="I390" s="76"/>
    </row>
    <row r="391">
      <c r="A391" s="8"/>
      <c r="B391" s="8"/>
      <c r="C391" s="18"/>
      <c r="D391" s="18"/>
      <c r="E391" s="8"/>
      <c r="F391" s="8"/>
      <c r="G391" s="8"/>
      <c r="H391" s="8"/>
      <c r="I391" s="76"/>
    </row>
    <row r="392">
      <c r="A392" s="8"/>
      <c r="B392" s="8"/>
      <c r="C392" s="18"/>
      <c r="D392" s="18"/>
      <c r="E392" s="8"/>
      <c r="F392" s="8"/>
      <c r="G392" s="8"/>
      <c r="H392" s="8"/>
      <c r="I392" s="76"/>
    </row>
    <row r="393">
      <c r="A393" s="8"/>
      <c r="B393" s="8"/>
      <c r="C393" s="18"/>
      <c r="D393" s="18"/>
      <c r="E393" s="8"/>
      <c r="F393" s="8"/>
      <c r="G393" s="8"/>
      <c r="H393" s="8"/>
      <c r="I393" s="76"/>
    </row>
    <row r="394">
      <c r="A394" s="8"/>
      <c r="B394" s="8"/>
      <c r="C394" s="18"/>
      <c r="D394" s="18"/>
      <c r="E394" s="8"/>
      <c r="F394" s="8"/>
      <c r="G394" s="8"/>
      <c r="H394" s="8"/>
      <c r="I394" s="76"/>
    </row>
    <row r="395">
      <c r="A395" s="8"/>
      <c r="B395" s="8"/>
      <c r="C395" s="18"/>
      <c r="D395" s="18"/>
      <c r="E395" s="8"/>
      <c r="F395" s="8"/>
      <c r="G395" s="8"/>
      <c r="H395" s="8"/>
      <c r="I395" s="76"/>
    </row>
    <row r="396">
      <c r="A396" s="8"/>
      <c r="B396" s="8"/>
      <c r="C396" s="18"/>
      <c r="D396" s="18"/>
      <c r="E396" s="8"/>
      <c r="F396" s="8"/>
      <c r="G396" s="8"/>
      <c r="H396" s="8"/>
      <c r="I396" s="76"/>
    </row>
    <row r="397">
      <c r="A397" s="8"/>
      <c r="B397" s="8"/>
      <c r="C397" s="18"/>
      <c r="D397" s="18"/>
      <c r="E397" s="8"/>
      <c r="F397" s="8"/>
      <c r="G397" s="8"/>
      <c r="H397" s="8"/>
      <c r="I397" s="76"/>
    </row>
    <row r="398">
      <c r="A398" s="8"/>
      <c r="B398" s="8"/>
      <c r="C398" s="18"/>
      <c r="D398" s="18"/>
      <c r="E398" s="8"/>
      <c r="F398" s="8"/>
      <c r="G398" s="8"/>
      <c r="H398" s="8"/>
      <c r="I398" s="76"/>
    </row>
    <row r="399">
      <c r="A399" s="8"/>
      <c r="B399" s="8"/>
      <c r="C399" s="18"/>
      <c r="D399" s="18"/>
      <c r="E399" s="8"/>
      <c r="F399" s="8"/>
      <c r="G399" s="8"/>
      <c r="H399" s="8"/>
      <c r="I399" s="76"/>
    </row>
    <row r="400">
      <c r="A400" s="8"/>
      <c r="B400" s="8"/>
      <c r="C400" s="18"/>
      <c r="D400" s="18"/>
      <c r="E400" s="8"/>
      <c r="F400" s="8"/>
      <c r="G400" s="8"/>
      <c r="H400" s="8"/>
      <c r="I400" s="76"/>
    </row>
    <row r="401">
      <c r="A401" s="8"/>
      <c r="B401" s="8"/>
      <c r="C401" s="18"/>
      <c r="D401" s="18"/>
      <c r="E401" s="8"/>
      <c r="F401" s="8"/>
      <c r="G401" s="8"/>
      <c r="H401" s="8"/>
      <c r="I401" s="76"/>
    </row>
    <row r="402">
      <c r="A402" s="8"/>
      <c r="B402" s="8"/>
      <c r="C402" s="18"/>
      <c r="D402" s="18"/>
      <c r="E402" s="8"/>
      <c r="F402" s="8"/>
      <c r="G402" s="8"/>
      <c r="H402" s="8"/>
      <c r="I402" s="76"/>
    </row>
    <row r="403">
      <c r="A403" s="8"/>
      <c r="B403" s="8"/>
      <c r="C403" s="18"/>
      <c r="D403" s="18"/>
      <c r="E403" s="8"/>
      <c r="F403" s="8"/>
      <c r="G403" s="8"/>
      <c r="H403" s="8"/>
      <c r="I403" s="76"/>
    </row>
    <row r="404">
      <c r="A404" s="8"/>
      <c r="B404" s="8"/>
      <c r="C404" s="18"/>
      <c r="D404" s="18"/>
      <c r="E404" s="8"/>
      <c r="F404" s="8"/>
      <c r="G404" s="8"/>
      <c r="H404" s="8"/>
      <c r="I404" s="76"/>
    </row>
    <row r="405">
      <c r="A405" s="8"/>
      <c r="B405" s="8"/>
      <c r="C405" s="18"/>
      <c r="D405" s="18"/>
      <c r="E405" s="8"/>
      <c r="F405" s="8"/>
      <c r="G405" s="8"/>
      <c r="H405" s="8"/>
      <c r="I405" s="76"/>
    </row>
    <row r="406">
      <c r="A406" s="8"/>
      <c r="B406" s="8"/>
      <c r="C406" s="18"/>
      <c r="D406" s="18"/>
      <c r="E406" s="8"/>
      <c r="F406" s="8"/>
      <c r="G406" s="8"/>
      <c r="H406" s="8"/>
      <c r="I406" s="76"/>
    </row>
    <row r="407">
      <c r="A407" s="8"/>
      <c r="B407" s="8"/>
      <c r="C407" s="18"/>
      <c r="D407" s="18"/>
      <c r="E407" s="8"/>
      <c r="F407" s="8"/>
      <c r="G407" s="8"/>
      <c r="H407" s="8"/>
      <c r="I407" s="76"/>
    </row>
    <row r="408">
      <c r="A408" s="8"/>
      <c r="B408" s="8"/>
      <c r="C408" s="18"/>
      <c r="D408" s="18"/>
      <c r="E408" s="8"/>
      <c r="F408" s="8"/>
      <c r="G408" s="8"/>
      <c r="H408" s="8"/>
      <c r="I408" s="76"/>
    </row>
    <row r="409">
      <c r="A409" s="8"/>
      <c r="B409" s="8"/>
      <c r="C409" s="18"/>
      <c r="D409" s="18"/>
      <c r="E409" s="8"/>
      <c r="F409" s="8"/>
      <c r="G409" s="8"/>
      <c r="H409" s="8"/>
      <c r="I409" s="76"/>
    </row>
    <row r="410">
      <c r="A410" s="8"/>
      <c r="B410" s="8"/>
      <c r="C410" s="18"/>
      <c r="D410" s="18"/>
      <c r="E410" s="8"/>
      <c r="F410" s="8"/>
      <c r="G410" s="8"/>
      <c r="H410" s="8"/>
      <c r="I410" s="76"/>
    </row>
    <row r="411">
      <c r="A411" s="8"/>
      <c r="B411" s="8"/>
      <c r="C411" s="18"/>
      <c r="D411" s="18"/>
      <c r="E411" s="8"/>
      <c r="F411" s="8"/>
      <c r="G411" s="8"/>
      <c r="H411" s="8"/>
      <c r="I411" s="76"/>
    </row>
    <row r="412">
      <c r="A412" s="8"/>
      <c r="B412" s="8"/>
      <c r="C412" s="18"/>
      <c r="D412" s="18"/>
      <c r="E412" s="8"/>
      <c r="F412" s="8"/>
      <c r="G412" s="8"/>
      <c r="H412" s="8"/>
      <c r="I412" s="76"/>
    </row>
    <row r="413">
      <c r="A413" s="8"/>
      <c r="B413" s="8"/>
      <c r="C413" s="18"/>
      <c r="D413" s="18"/>
      <c r="E413" s="8"/>
      <c r="F413" s="8"/>
      <c r="G413" s="8"/>
      <c r="H413" s="8"/>
      <c r="I413" s="76"/>
    </row>
    <row r="414">
      <c r="A414" s="8"/>
      <c r="B414" s="8"/>
      <c r="C414" s="18"/>
      <c r="D414" s="18"/>
      <c r="E414" s="8"/>
      <c r="F414" s="8"/>
      <c r="G414" s="8"/>
      <c r="H414" s="8"/>
      <c r="I414" s="76"/>
    </row>
    <row r="415">
      <c r="A415" s="8"/>
      <c r="B415" s="8"/>
      <c r="C415" s="18"/>
      <c r="D415" s="18"/>
      <c r="E415" s="8"/>
      <c r="F415" s="8"/>
      <c r="G415" s="8"/>
      <c r="H415" s="8"/>
      <c r="I415" s="76"/>
    </row>
    <row r="416">
      <c r="A416" s="8"/>
      <c r="B416" s="8"/>
      <c r="C416" s="18"/>
      <c r="D416" s="18"/>
      <c r="E416" s="8"/>
      <c r="F416" s="8"/>
      <c r="G416" s="8"/>
      <c r="H416" s="8"/>
      <c r="I416" s="76"/>
    </row>
    <row r="417">
      <c r="A417" s="8"/>
      <c r="B417" s="8"/>
      <c r="C417" s="18"/>
      <c r="D417" s="18"/>
      <c r="E417" s="8"/>
      <c r="F417" s="8"/>
      <c r="G417" s="8"/>
      <c r="H417" s="8"/>
      <c r="I417" s="76"/>
    </row>
    <row r="418">
      <c r="A418" s="8"/>
      <c r="B418" s="8"/>
      <c r="C418" s="18"/>
      <c r="D418" s="18"/>
      <c r="E418" s="8"/>
      <c r="F418" s="8"/>
      <c r="G418" s="8"/>
      <c r="H418" s="8"/>
      <c r="I418" s="76"/>
    </row>
    <row r="419">
      <c r="A419" s="8"/>
      <c r="B419" s="8"/>
      <c r="C419" s="18"/>
      <c r="D419" s="18"/>
      <c r="E419" s="8"/>
      <c r="F419" s="8"/>
      <c r="G419" s="8"/>
      <c r="H419" s="8"/>
      <c r="I419" s="76"/>
    </row>
    <row r="420">
      <c r="A420" s="8"/>
      <c r="B420" s="8"/>
      <c r="C420" s="18"/>
      <c r="D420" s="18"/>
      <c r="E420" s="8"/>
      <c r="F420" s="8"/>
      <c r="G420" s="8"/>
      <c r="H420" s="8"/>
      <c r="I420" s="76"/>
    </row>
    <row r="421">
      <c r="A421" s="8"/>
      <c r="B421" s="8"/>
      <c r="C421" s="18"/>
      <c r="D421" s="18"/>
      <c r="E421" s="8"/>
      <c r="F421" s="8"/>
      <c r="G421" s="8"/>
      <c r="H421" s="8"/>
      <c r="I421" s="76"/>
    </row>
    <row r="422">
      <c r="A422" s="8"/>
      <c r="B422" s="8"/>
      <c r="C422" s="18"/>
      <c r="D422" s="18"/>
      <c r="E422" s="8"/>
      <c r="F422" s="8"/>
      <c r="G422" s="8"/>
      <c r="H422" s="8"/>
      <c r="I422" s="76"/>
    </row>
    <row r="423">
      <c r="A423" s="8"/>
      <c r="B423" s="8"/>
      <c r="C423" s="18"/>
      <c r="D423" s="18"/>
      <c r="E423" s="8"/>
      <c r="F423" s="8"/>
      <c r="G423" s="8"/>
      <c r="H423" s="8"/>
      <c r="I423" s="76"/>
    </row>
    <row r="424">
      <c r="A424" s="8"/>
      <c r="B424" s="8"/>
      <c r="C424" s="18"/>
      <c r="D424" s="18"/>
      <c r="E424" s="8"/>
      <c r="F424" s="8"/>
      <c r="G424" s="8"/>
      <c r="H424" s="8"/>
      <c r="I424" s="76"/>
    </row>
    <row r="425">
      <c r="A425" s="8"/>
      <c r="B425" s="8"/>
      <c r="C425" s="18"/>
      <c r="D425" s="18"/>
      <c r="E425" s="8"/>
      <c r="F425" s="8"/>
      <c r="G425" s="8"/>
      <c r="H425" s="8"/>
      <c r="I425" s="76"/>
    </row>
    <row r="426">
      <c r="A426" s="8"/>
      <c r="B426" s="8"/>
      <c r="C426" s="18"/>
      <c r="D426" s="18"/>
      <c r="E426" s="8"/>
      <c r="F426" s="8"/>
      <c r="G426" s="8"/>
      <c r="H426" s="8"/>
      <c r="I426" s="76"/>
    </row>
    <row r="427">
      <c r="A427" s="8"/>
      <c r="B427" s="8"/>
      <c r="C427" s="18"/>
      <c r="D427" s="18"/>
      <c r="E427" s="8"/>
      <c r="F427" s="8"/>
      <c r="G427" s="8"/>
      <c r="H427" s="8"/>
      <c r="I427" s="76"/>
    </row>
    <row r="428">
      <c r="A428" s="8"/>
      <c r="B428" s="8"/>
      <c r="C428" s="18"/>
      <c r="D428" s="18"/>
      <c r="E428" s="8"/>
      <c r="F428" s="8"/>
      <c r="G428" s="8"/>
      <c r="H428" s="8"/>
      <c r="I428" s="76"/>
    </row>
    <row r="429">
      <c r="A429" s="8"/>
      <c r="B429" s="8"/>
      <c r="C429" s="18"/>
      <c r="D429" s="18"/>
      <c r="E429" s="8"/>
      <c r="F429" s="8"/>
      <c r="G429" s="8"/>
      <c r="H429" s="8"/>
      <c r="I429" s="76"/>
    </row>
    <row r="430">
      <c r="A430" s="8"/>
      <c r="B430" s="8"/>
      <c r="C430" s="18"/>
      <c r="D430" s="18"/>
      <c r="E430" s="8"/>
      <c r="F430" s="8"/>
      <c r="G430" s="8"/>
      <c r="H430" s="8"/>
      <c r="I430" s="76"/>
    </row>
    <row r="431">
      <c r="A431" s="8"/>
      <c r="B431" s="8"/>
      <c r="C431" s="18"/>
      <c r="D431" s="18"/>
      <c r="E431" s="8"/>
      <c r="F431" s="8"/>
      <c r="G431" s="8"/>
      <c r="H431" s="8"/>
      <c r="I431" s="76"/>
    </row>
    <row r="432">
      <c r="A432" s="8"/>
      <c r="B432" s="8"/>
      <c r="C432" s="18"/>
      <c r="D432" s="18"/>
      <c r="E432" s="8"/>
      <c r="F432" s="8"/>
      <c r="G432" s="8"/>
      <c r="H432" s="8"/>
      <c r="I432" s="76"/>
    </row>
    <row r="433">
      <c r="A433" s="8"/>
      <c r="B433" s="8"/>
      <c r="C433" s="18"/>
      <c r="D433" s="18"/>
      <c r="E433" s="8"/>
      <c r="F433" s="8"/>
      <c r="G433" s="8"/>
      <c r="H433" s="8"/>
      <c r="I433" s="76"/>
    </row>
    <row r="434">
      <c r="A434" s="8"/>
      <c r="B434" s="8"/>
      <c r="C434" s="18"/>
      <c r="D434" s="18"/>
      <c r="E434" s="8"/>
      <c r="F434" s="8"/>
      <c r="G434" s="8"/>
      <c r="H434" s="8"/>
      <c r="I434" s="76"/>
    </row>
    <row r="435">
      <c r="A435" s="8"/>
      <c r="B435" s="8"/>
      <c r="C435" s="18"/>
      <c r="D435" s="18"/>
      <c r="E435" s="8"/>
      <c r="F435" s="8"/>
      <c r="G435" s="8"/>
      <c r="H435" s="8"/>
      <c r="I435" s="76"/>
    </row>
    <row r="436">
      <c r="A436" s="8"/>
      <c r="B436" s="8"/>
      <c r="C436" s="18"/>
      <c r="D436" s="18"/>
      <c r="E436" s="8"/>
      <c r="F436" s="8"/>
      <c r="G436" s="8"/>
      <c r="H436" s="8"/>
      <c r="I436" s="76"/>
    </row>
    <row r="437">
      <c r="A437" s="8"/>
      <c r="B437" s="8"/>
      <c r="C437" s="18"/>
      <c r="D437" s="18"/>
      <c r="E437" s="8"/>
      <c r="F437" s="8"/>
      <c r="G437" s="8"/>
      <c r="H437" s="8"/>
      <c r="I437" s="76"/>
    </row>
    <row r="438">
      <c r="A438" s="8"/>
      <c r="B438" s="8"/>
      <c r="C438" s="18"/>
      <c r="D438" s="18"/>
      <c r="E438" s="8"/>
      <c r="F438" s="8"/>
      <c r="G438" s="8"/>
      <c r="H438" s="8"/>
      <c r="I438" s="76"/>
    </row>
    <row r="439">
      <c r="A439" s="8"/>
      <c r="B439" s="8"/>
      <c r="C439" s="18"/>
      <c r="D439" s="18"/>
      <c r="E439" s="8"/>
      <c r="F439" s="8"/>
      <c r="G439" s="8"/>
      <c r="H439" s="8"/>
      <c r="I439" s="76"/>
    </row>
    <row r="440">
      <c r="A440" s="8"/>
      <c r="B440" s="8"/>
      <c r="C440" s="18"/>
      <c r="D440" s="18"/>
      <c r="E440" s="8"/>
      <c r="F440" s="8"/>
      <c r="G440" s="8"/>
      <c r="H440" s="8"/>
      <c r="I440" s="76"/>
    </row>
    <row r="441">
      <c r="A441" s="8"/>
      <c r="B441" s="8"/>
      <c r="C441" s="18"/>
      <c r="D441" s="18"/>
      <c r="E441" s="8"/>
      <c r="F441" s="8"/>
      <c r="G441" s="8"/>
      <c r="H441" s="8"/>
      <c r="I441" s="76"/>
    </row>
    <row r="442">
      <c r="A442" s="8"/>
      <c r="B442" s="8"/>
      <c r="C442" s="18"/>
      <c r="D442" s="18"/>
      <c r="E442" s="8"/>
      <c r="F442" s="8"/>
      <c r="G442" s="8"/>
      <c r="H442" s="8"/>
      <c r="I442" s="76"/>
    </row>
    <row r="443">
      <c r="A443" s="8"/>
      <c r="B443" s="8"/>
      <c r="C443" s="18"/>
      <c r="D443" s="18"/>
      <c r="E443" s="8"/>
      <c r="F443" s="8"/>
      <c r="G443" s="8"/>
      <c r="H443" s="8"/>
      <c r="I443" s="76"/>
    </row>
    <row r="444">
      <c r="A444" s="8"/>
      <c r="B444" s="8"/>
      <c r="C444" s="18"/>
      <c r="D444" s="18"/>
      <c r="E444" s="8"/>
      <c r="F444" s="8"/>
      <c r="G444" s="8"/>
      <c r="H444" s="8"/>
      <c r="I444" s="76"/>
    </row>
    <row r="445">
      <c r="A445" s="8"/>
      <c r="B445" s="8"/>
      <c r="C445" s="18"/>
      <c r="D445" s="18"/>
      <c r="E445" s="8"/>
      <c r="F445" s="8"/>
      <c r="G445" s="8"/>
      <c r="H445" s="8"/>
      <c r="I445" s="76"/>
    </row>
    <row r="446">
      <c r="A446" s="8"/>
      <c r="B446" s="8"/>
      <c r="C446" s="18"/>
      <c r="D446" s="18"/>
      <c r="E446" s="8"/>
      <c r="F446" s="8"/>
      <c r="G446" s="8"/>
      <c r="H446" s="8"/>
      <c r="I446" s="76"/>
    </row>
    <row r="447">
      <c r="A447" s="8"/>
      <c r="B447" s="8"/>
      <c r="C447" s="18"/>
      <c r="D447" s="18"/>
      <c r="E447" s="8"/>
      <c r="F447" s="8"/>
      <c r="G447" s="8"/>
      <c r="H447" s="8"/>
      <c r="I447" s="76"/>
    </row>
    <row r="448">
      <c r="A448" s="8"/>
      <c r="B448" s="8"/>
      <c r="C448" s="18"/>
      <c r="D448" s="18"/>
      <c r="E448" s="8"/>
      <c r="F448" s="8"/>
      <c r="G448" s="8"/>
      <c r="H448" s="8"/>
      <c r="I448" s="76"/>
    </row>
    <row r="449">
      <c r="A449" s="8"/>
      <c r="B449" s="8"/>
      <c r="C449" s="18"/>
      <c r="D449" s="18"/>
      <c r="E449" s="8"/>
      <c r="F449" s="8"/>
      <c r="G449" s="8"/>
      <c r="H449" s="8"/>
      <c r="I449" s="76"/>
    </row>
    <row r="450">
      <c r="A450" s="8"/>
      <c r="B450" s="8"/>
      <c r="C450" s="18"/>
      <c r="D450" s="18"/>
      <c r="E450" s="8"/>
      <c r="F450" s="8"/>
      <c r="G450" s="8"/>
      <c r="H450" s="8"/>
      <c r="I450" s="76"/>
    </row>
    <row r="451">
      <c r="A451" s="8"/>
      <c r="B451" s="8"/>
      <c r="C451" s="18"/>
      <c r="D451" s="18"/>
      <c r="E451" s="8"/>
      <c r="F451" s="8"/>
      <c r="G451" s="8"/>
      <c r="H451" s="8"/>
      <c r="I451" s="76"/>
    </row>
    <row r="452">
      <c r="A452" s="8"/>
      <c r="B452" s="8"/>
      <c r="C452" s="18"/>
      <c r="D452" s="18"/>
      <c r="E452" s="8"/>
      <c r="F452" s="8"/>
      <c r="G452" s="8"/>
      <c r="H452" s="8"/>
      <c r="I452" s="76"/>
    </row>
    <row r="453">
      <c r="A453" s="8"/>
      <c r="B453" s="8"/>
      <c r="C453" s="18"/>
      <c r="D453" s="18"/>
      <c r="E453" s="8"/>
      <c r="F453" s="8"/>
      <c r="G453" s="8"/>
      <c r="H453" s="8"/>
      <c r="I453" s="76"/>
    </row>
    <row r="454">
      <c r="A454" s="8"/>
      <c r="B454" s="8"/>
      <c r="C454" s="18"/>
      <c r="D454" s="18"/>
      <c r="E454" s="8"/>
      <c r="F454" s="8"/>
      <c r="G454" s="8"/>
      <c r="H454" s="8"/>
      <c r="I454" s="76"/>
    </row>
    <row r="455">
      <c r="A455" s="8"/>
      <c r="B455" s="8"/>
      <c r="C455" s="18"/>
      <c r="D455" s="18"/>
      <c r="E455" s="8"/>
      <c r="F455" s="8"/>
      <c r="G455" s="8"/>
      <c r="H455" s="8"/>
      <c r="I455" s="76"/>
    </row>
    <row r="456">
      <c r="A456" s="8"/>
      <c r="B456" s="8"/>
      <c r="C456" s="18"/>
      <c r="D456" s="18"/>
      <c r="E456" s="8"/>
      <c r="F456" s="8"/>
      <c r="G456" s="8"/>
      <c r="H456" s="8"/>
      <c r="I456" s="76"/>
    </row>
    <row r="457">
      <c r="A457" s="8"/>
      <c r="B457" s="8"/>
      <c r="C457" s="18"/>
      <c r="D457" s="18"/>
      <c r="E457" s="8"/>
      <c r="F457" s="8"/>
      <c r="G457" s="8"/>
      <c r="H457" s="8"/>
      <c r="I457" s="76"/>
    </row>
    <row r="458">
      <c r="A458" s="8"/>
      <c r="B458" s="8"/>
      <c r="C458" s="18"/>
      <c r="D458" s="18"/>
      <c r="E458" s="8"/>
      <c r="F458" s="8"/>
      <c r="G458" s="8"/>
      <c r="H458" s="8"/>
      <c r="I458" s="76"/>
    </row>
    <row r="459">
      <c r="A459" s="8"/>
      <c r="B459" s="8"/>
      <c r="C459" s="18"/>
      <c r="D459" s="18"/>
      <c r="E459" s="8"/>
      <c r="F459" s="8"/>
      <c r="G459" s="8"/>
      <c r="H459" s="8"/>
      <c r="I459" s="76"/>
    </row>
    <row r="460">
      <c r="A460" s="8"/>
      <c r="B460" s="8"/>
      <c r="C460" s="18"/>
      <c r="D460" s="18"/>
      <c r="E460" s="8"/>
      <c r="F460" s="8"/>
      <c r="G460" s="8"/>
      <c r="H460" s="8"/>
      <c r="I460" s="76"/>
    </row>
    <row r="461">
      <c r="A461" s="8"/>
      <c r="B461" s="8"/>
      <c r="C461" s="18"/>
      <c r="D461" s="18"/>
      <c r="E461" s="8"/>
      <c r="F461" s="8"/>
      <c r="G461" s="8"/>
      <c r="H461" s="8"/>
      <c r="I461" s="76"/>
    </row>
    <row r="462">
      <c r="A462" s="8"/>
      <c r="B462" s="8"/>
      <c r="C462" s="18"/>
      <c r="D462" s="18"/>
      <c r="E462" s="8"/>
      <c r="F462" s="8"/>
      <c r="G462" s="8"/>
      <c r="H462" s="8"/>
      <c r="I462" s="76"/>
    </row>
    <row r="463">
      <c r="A463" s="8"/>
      <c r="B463" s="8"/>
      <c r="C463" s="18"/>
      <c r="D463" s="18"/>
      <c r="E463" s="8"/>
      <c r="F463" s="8"/>
      <c r="G463" s="8"/>
      <c r="H463" s="8"/>
      <c r="I463" s="76"/>
    </row>
    <row r="464">
      <c r="A464" s="8"/>
      <c r="B464" s="8"/>
      <c r="C464" s="18"/>
      <c r="D464" s="18"/>
      <c r="E464" s="8"/>
      <c r="F464" s="8"/>
      <c r="G464" s="8"/>
      <c r="H464" s="8"/>
      <c r="I464" s="76"/>
    </row>
    <row r="465">
      <c r="A465" s="8"/>
      <c r="B465" s="8"/>
      <c r="C465" s="18"/>
      <c r="D465" s="18"/>
      <c r="E465" s="8"/>
      <c r="F465" s="8"/>
      <c r="G465" s="8"/>
      <c r="H465" s="8"/>
      <c r="I465" s="76"/>
    </row>
    <row r="466">
      <c r="A466" s="8"/>
      <c r="B466" s="8"/>
      <c r="C466" s="18"/>
      <c r="D466" s="18"/>
      <c r="E466" s="8"/>
      <c r="F466" s="8"/>
      <c r="G466" s="8"/>
      <c r="H466" s="8"/>
      <c r="I466" s="76"/>
    </row>
    <row r="467">
      <c r="A467" s="8"/>
      <c r="B467" s="8"/>
      <c r="C467" s="18"/>
      <c r="D467" s="18"/>
      <c r="E467" s="8"/>
      <c r="F467" s="8"/>
      <c r="G467" s="8"/>
      <c r="H467" s="8"/>
      <c r="I467" s="76"/>
    </row>
    <row r="468">
      <c r="A468" s="8"/>
      <c r="B468" s="8"/>
      <c r="C468" s="18"/>
      <c r="D468" s="18"/>
      <c r="E468" s="8"/>
      <c r="F468" s="8"/>
      <c r="G468" s="8"/>
      <c r="H468" s="8"/>
      <c r="I468" s="76"/>
    </row>
    <row r="469">
      <c r="A469" s="8"/>
      <c r="B469" s="8"/>
      <c r="C469" s="18"/>
      <c r="D469" s="18"/>
      <c r="E469" s="8"/>
      <c r="F469" s="8"/>
      <c r="G469" s="8"/>
      <c r="H469" s="8"/>
      <c r="I469" s="76"/>
    </row>
    <row r="470">
      <c r="A470" s="8"/>
      <c r="B470" s="8"/>
      <c r="C470" s="18"/>
      <c r="D470" s="18"/>
      <c r="E470" s="8"/>
      <c r="F470" s="8"/>
      <c r="G470" s="8"/>
      <c r="H470" s="8"/>
      <c r="I470" s="76"/>
    </row>
    <row r="471">
      <c r="A471" s="8"/>
      <c r="B471" s="8"/>
      <c r="C471" s="18"/>
      <c r="D471" s="18"/>
      <c r="E471" s="8"/>
      <c r="F471" s="8"/>
      <c r="G471" s="8"/>
      <c r="H471" s="8"/>
      <c r="I471" s="76"/>
    </row>
    <row r="472">
      <c r="A472" s="8"/>
      <c r="B472" s="8"/>
      <c r="C472" s="18"/>
      <c r="D472" s="18"/>
      <c r="E472" s="8"/>
      <c r="F472" s="8"/>
      <c r="G472" s="8"/>
      <c r="H472" s="8"/>
      <c r="I472" s="76"/>
    </row>
    <row r="473">
      <c r="A473" s="8"/>
      <c r="B473" s="8"/>
      <c r="C473" s="18"/>
      <c r="D473" s="18"/>
      <c r="E473" s="8"/>
      <c r="F473" s="8"/>
      <c r="G473" s="8"/>
      <c r="H473" s="8"/>
      <c r="I473" s="76"/>
    </row>
    <row r="474">
      <c r="A474" s="8"/>
      <c r="B474" s="8"/>
      <c r="C474" s="18"/>
      <c r="D474" s="18"/>
      <c r="E474" s="8"/>
      <c r="F474" s="8"/>
      <c r="G474" s="8"/>
      <c r="H474" s="8"/>
      <c r="I474" s="76"/>
    </row>
    <row r="475">
      <c r="A475" s="8"/>
      <c r="B475" s="8"/>
      <c r="C475" s="18"/>
      <c r="D475" s="18"/>
      <c r="E475" s="8"/>
      <c r="F475" s="8"/>
      <c r="G475" s="8"/>
      <c r="H475" s="8"/>
      <c r="I475" s="76"/>
    </row>
    <row r="476">
      <c r="A476" s="8"/>
      <c r="B476" s="8"/>
      <c r="C476" s="18"/>
      <c r="D476" s="18"/>
      <c r="E476" s="8"/>
      <c r="F476" s="8"/>
      <c r="G476" s="8"/>
      <c r="H476" s="8"/>
      <c r="I476" s="76"/>
    </row>
    <row r="477">
      <c r="A477" s="8"/>
      <c r="B477" s="8"/>
      <c r="C477" s="18"/>
      <c r="D477" s="18"/>
      <c r="E477" s="8"/>
      <c r="F477" s="8"/>
      <c r="G477" s="8"/>
      <c r="H477" s="8"/>
      <c r="I477" s="76"/>
    </row>
    <row r="478">
      <c r="A478" s="8"/>
      <c r="B478" s="8"/>
      <c r="C478" s="18"/>
      <c r="D478" s="18"/>
      <c r="E478" s="8"/>
      <c r="F478" s="8"/>
      <c r="G478" s="8"/>
      <c r="H478" s="8"/>
      <c r="I478" s="76"/>
    </row>
    <row r="479">
      <c r="A479" s="8"/>
      <c r="B479" s="8"/>
      <c r="C479" s="18"/>
      <c r="D479" s="18"/>
      <c r="E479" s="8"/>
      <c r="F479" s="8"/>
      <c r="G479" s="8"/>
      <c r="H479" s="8"/>
      <c r="I479" s="76"/>
    </row>
    <row r="480">
      <c r="A480" s="8"/>
      <c r="B480" s="8"/>
      <c r="C480" s="18"/>
      <c r="D480" s="18"/>
      <c r="E480" s="8"/>
      <c r="F480" s="8"/>
      <c r="G480" s="8"/>
      <c r="H480" s="8"/>
      <c r="I480" s="76"/>
    </row>
    <row r="481">
      <c r="A481" s="8"/>
      <c r="B481" s="8"/>
      <c r="C481" s="18"/>
      <c r="D481" s="18"/>
      <c r="E481" s="8"/>
      <c r="F481" s="8"/>
      <c r="G481" s="8"/>
      <c r="H481" s="8"/>
      <c r="I481" s="76"/>
    </row>
    <row r="482">
      <c r="A482" s="8"/>
      <c r="B482" s="8"/>
      <c r="C482" s="18"/>
      <c r="D482" s="18"/>
      <c r="E482" s="8"/>
      <c r="F482" s="8"/>
      <c r="G482" s="8"/>
      <c r="H482" s="8"/>
      <c r="I482" s="76"/>
    </row>
    <row r="483">
      <c r="A483" s="8"/>
      <c r="B483" s="8"/>
      <c r="C483" s="18"/>
      <c r="D483" s="18"/>
      <c r="E483" s="8"/>
      <c r="F483" s="8"/>
      <c r="G483" s="8"/>
      <c r="H483" s="8"/>
      <c r="I483" s="76"/>
    </row>
    <row r="484">
      <c r="A484" s="8"/>
      <c r="B484" s="8"/>
      <c r="C484" s="18"/>
      <c r="D484" s="18"/>
      <c r="E484" s="8"/>
      <c r="F484" s="8"/>
      <c r="G484" s="8"/>
      <c r="H484" s="8"/>
      <c r="I484" s="76"/>
    </row>
    <row r="485">
      <c r="A485" s="8"/>
      <c r="B485" s="8"/>
      <c r="C485" s="18"/>
      <c r="D485" s="18"/>
      <c r="E485" s="8"/>
      <c r="F485" s="8"/>
      <c r="G485" s="8"/>
      <c r="H485" s="8"/>
      <c r="I485" s="76"/>
    </row>
    <row r="486">
      <c r="A486" s="8"/>
      <c r="B486" s="8"/>
      <c r="C486" s="18"/>
      <c r="D486" s="18"/>
      <c r="E486" s="8"/>
      <c r="F486" s="8"/>
      <c r="G486" s="8"/>
      <c r="H486" s="8"/>
      <c r="I486" s="76"/>
    </row>
    <row r="487">
      <c r="A487" s="8"/>
      <c r="B487" s="8"/>
      <c r="C487" s="18"/>
      <c r="D487" s="18"/>
      <c r="E487" s="8"/>
      <c r="F487" s="8"/>
      <c r="G487" s="8"/>
      <c r="H487" s="8"/>
      <c r="I487" s="76"/>
    </row>
    <row r="488">
      <c r="A488" s="8"/>
      <c r="B488" s="8"/>
      <c r="C488" s="18"/>
      <c r="D488" s="18"/>
      <c r="E488" s="8"/>
      <c r="F488" s="8"/>
      <c r="G488" s="8"/>
      <c r="H488" s="8"/>
      <c r="I488" s="76"/>
    </row>
    <row r="489">
      <c r="A489" s="8"/>
      <c r="B489" s="8"/>
      <c r="C489" s="18"/>
      <c r="D489" s="18"/>
      <c r="E489" s="8"/>
      <c r="F489" s="8"/>
      <c r="G489" s="8"/>
      <c r="H489" s="8"/>
      <c r="I489" s="76"/>
    </row>
    <row r="490">
      <c r="A490" s="8"/>
      <c r="B490" s="8"/>
      <c r="C490" s="18"/>
      <c r="D490" s="18"/>
      <c r="E490" s="8"/>
      <c r="F490" s="8"/>
      <c r="G490" s="8"/>
      <c r="H490" s="8"/>
      <c r="I490" s="76"/>
    </row>
    <row r="491">
      <c r="A491" s="8"/>
      <c r="B491" s="8"/>
      <c r="C491" s="18"/>
      <c r="D491" s="18"/>
      <c r="E491" s="8"/>
      <c r="F491" s="8"/>
      <c r="G491" s="8"/>
      <c r="H491" s="8"/>
      <c r="I491" s="76"/>
    </row>
    <row r="492">
      <c r="A492" s="8"/>
      <c r="B492" s="8"/>
      <c r="C492" s="18"/>
      <c r="D492" s="18"/>
      <c r="E492" s="8"/>
      <c r="F492" s="8"/>
      <c r="G492" s="8"/>
      <c r="H492" s="8"/>
      <c r="I492" s="76"/>
    </row>
    <row r="493">
      <c r="A493" s="8"/>
      <c r="B493" s="8"/>
      <c r="C493" s="18"/>
      <c r="D493" s="18"/>
      <c r="E493" s="8"/>
      <c r="F493" s="8"/>
      <c r="G493" s="8"/>
      <c r="H493" s="8"/>
      <c r="I493" s="76"/>
    </row>
    <row r="494">
      <c r="A494" s="8"/>
      <c r="B494" s="8"/>
      <c r="C494" s="18"/>
      <c r="D494" s="18"/>
      <c r="E494" s="8"/>
      <c r="F494" s="8"/>
      <c r="G494" s="8"/>
      <c r="H494" s="8"/>
      <c r="I494" s="76"/>
    </row>
    <row r="495">
      <c r="A495" s="8"/>
      <c r="B495" s="8"/>
      <c r="C495" s="18"/>
      <c r="D495" s="18"/>
      <c r="E495" s="8"/>
      <c r="F495" s="8"/>
      <c r="G495" s="8"/>
      <c r="H495" s="8"/>
      <c r="I495" s="76"/>
    </row>
    <row r="496">
      <c r="A496" s="8"/>
      <c r="B496" s="8"/>
      <c r="C496" s="18"/>
      <c r="D496" s="18"/>
      <c r="E496" s="8"/>
      <c r="F496" s="8"/>
      <c r="G496" s="8"/>
      <c r="H496" s="8"/>
      <c r="I496" s="76"/>
    </row>
    <row r="497">
      <c r="A497" s="8"/>
      <c r="B497" s="8"/>
      <c r="C497" s="18"/>
      <c r="D497" s="18"/>
      <c r="E497" s="8"/>
      <c r="F497" s="8"/>
      <c r="G497" s="8"/>
      <c r="H497" s="8"/>
      <c r="I497" s="76"/>
    </row>
    <row r="498">
      <c r="A498" s="8"/>
      <c r="B498" s="8"/>
      <c r="C498" s="18"/>
      <c r="D498" s="18"/>
      <c r="E498" s="8"/>
      <c r="F498" s="8"/>
      <c r="G498" s="8"/>
      <c r="H498" s="8"/>
      <c r="I498" s="76"/>
    </row>
    <row r="499">
      <c r="A499" s="8"/>
      <c r="B499" s="8"/>
      <c r="C499" s="18"/>
      <c r="D499" s="18"/>
      <c r="E499" s="8"/>
      <c r="F499" s="8"/>
      <c r="G499" s="8"/>
      <c r="H499" s="8"/>
      <c r="I499" s="76"/>
    </row>
    <row r="500">
      <c r="A500" s="8"/>
      <c r="B500" s="8"/>
      <c r="C500" s="18"/>
      <c r="D500" s="18"/>
      <c r="E500" s="8"/>
      <c r="F500" s="8"/>
      <c r="G500" s="8"/>
      <c r="H500" s="8"/>
      <c r="I500" s="76"/>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1" t="str">
        <f>IFERROR(__xludf.DUMMYFUNCTION("QUERY(Effectifs!A:Z, ""SELECT * WHERE E CONTAINS 'Faubourgs' ORDER BY Z ASC"", 1)"),"Assermenté")</f>
        <v>Assermenté</v>
      </c>
      <c r="B1" s="1" t="str">
        <f>IFERROR(__xludf.DUMMYFUNCTION("""COMPUTED_VALUE"""),"Grade")</f>
        <v>Grade</v>
      </c>
      <c r="C1" s="1" t="str">
        <f>IFERROR(__xludf.DUMMYFUNCTION("""COMPUTED_VALUE"""),"Prénom")</f>
        <v>Prénom</v>
      </c>
      <c r="D1" s="1" t="str">
        <f>IFERROR(__xludf.DUMMYFUNCTION("""COMPUTED_VALUE"""),"Nom")</f>
        <v>Nom</v>
      </c>
      <c r="E1" s="1" t="str">
        <f>IFERROR(__xludf.DUMMYFUNCTION("""COMPUTED_VALUE"""),"Corps")</f>
        <v>Corps</v>
      </c>
      <c r="F1" s="1" t="str">
        <f>IFERROR(__xludf.DUMMYFUNCTION("""COMPUTED_VALUE"""),"Spécialité")</f>
        <v>Spécialité</v>
      </c>
      <c r="G1" s="1" t="str">
        <f>IFERROR(__xludf.DUMMYFUNCTION("""COMPUTED_VALUE"""),"Status")</f>
        <v>Status</v>
      </c>
      <c r="H1" s="1" t="str">
        <f>IFERROR(__xludf.DUMMYFUNCTION("""COMPUTED_VALUE"""),"Métier")</f>
        <v>Métier</v>
      </c>
      <c r="I1" s="73" t="str">
        <f>IFERROR(__xludf.DUMMYFUNCTION("""COMPUTED_VALUE"""),"Recrutement")</f>
        <v>Recrutement</v>
      </c>
      <c r="J1" s="3" t="str">
        <f>IFERROR(__xludf.DUMMYFUNCTION("""COMPUTED_VALUE"""),"Jours travaillés")</f>
        <v>Jours travaillés</v>
      </c>
      <c r="K1" s="3" t="str">
        <f>IFERROR(__xludf.DUMMYFUNCTION("""COMPUTED_VALUE"""),"")</f>
        <v/>
      </c>
      <c r="L1" s="3" t="str">
        <f>IFERROR(__xludf.DUMMYFUNCTION("""COMPUTED_VALUE"""),"")</f>
        <v/>
      </c>
      <c r="M1" s="3" t="str">
        <f>IFERROR(__xludf.DUMMYFUNCTION("""COMPUTED_VALUE"""),"")</f>
        <v/>
      </c>
      <c r="N1" s="3" t="str">
        <f>IFERROR(__xludf.DUMMYFUNCTION("""COMPUTED_VALUE"""),"")</f>
        <v/>
      </c>
      <c r="O1" s="3" t="str">
        <f>IFERROR(__xludf.DUMMYFUNCTION("""COMPUTED_VALUE"""),"")</f>
        <v/>
      </c>
      <c r="P1" s="3" t="str">
        <f>IFERROR(__xludf.DUMMYFUNCTION("""COMPUTED_VALUE"""),"")</f>
        <v/>
      </c>
      <c r="Q1" s="3" t="str">
        <f>IFERROR(__xludf.DUMMYFUNCTION("""COMPUTED_VALUE"""),"")</f>
        <v/>
      </c>
      <c r="R1" s="3" t="str">
        <f>IFERROR(__xludf.DUMMYFUNCTION("""COMPUTED_VALUE"""),"")</f>
        <v/>
      </c>
      <c r="S1" s="3" t="str">
        <f>IFERROR(__xludf.DUMMYFUNCTION("""COMPUTED_VALUE"""),"")</f>
        <v/>
      </c>
      <c r="T1" s="3" t="str">
        <f>IFERROR(__xludf.DUMMYFUNCTION("""COMPUTED_VALUE"""),"")</f>
        <v/>
      </c>
      <c r="U1" s="3" t="str">
        <f>IFERROR(__xludf.DUMMYFUNCTION("""COMPUTED_VALUE"""),"")</f>
        <v/>
      </c>
      <c r="V1" s="3" t="str">
        <f>IFERROR(__xludf.DUMMYFUNCTION("""COMPUTED_VALUE"""),"")</f>
        <v/>
      </c>
      <c r="W1" s="3" t="str">
        <f>IFERROR(__xludf.DUMMYFUNCTION("""COMPUTED_VALUE"""),"")</f>
        <v/>
      </c>
      <c r="X1" s="3" t="str">
        <f>IFERROR(__xludf.DUMMYFUNCTION("""COMPUTED_VALUE"""),"")</f>
        <v/>
      </c>
      <c r="Y1" s="3" t="str">
        <f>IFERROR(__xludf.DUMMYFUNCTION("""COMPUTED_VALUE"""),"")</f>
        <v/>
      </c>
      <c r="Z1" s="4" t="str">
        <f>IFERROR(__xludf.DUMMYFUNCTION("""COMPUTED_VALUE"""),"Grade Order")</f>
        <v>Grade Order</v>
      </c>
    </row>
    <row r="2">
      <c r="A2" s="5" t="b">
        <f>IFERROR(__xludf.DUMMYFUNCTION("""COMPUTED_VALUE"""),TRUE)</f>
        <v>1</v>
      </c>
      <c r="B2" s="5" t="str">
        <f>IFERROR(__xludf.DUMMYFUNCTION("""COMPUTED_VALUE"""),"Capitaine")</f>
        <v>Capitaine</v>
      </c>
      <c r="C2" s="15" t="str">
        <f>IFERROR(__xludf.DUMMYFUNCTION("""COMPUTED_VALUE"""),"Kah-Shir")</f>
        <v>Kah-Shir</v>
      </c>
      <c r="D2" s="15" t="str">
        <f>IFERROR(__xludf.DUMMYFUNCTION("""COMPUTED_VALUE"""),"Sombre Griffe")</f>
        <v>Sombre Griffe</v>
      </c>
      <c r="E2" s="5" t="str">
        <f>IFERROR(__xludf.DUMMYFUNCTION("""COMPUTED_VALUE"""),"Faubourgs de Blancherive")</f>
        <v>Faubourgs de Blancherive</v>
      </c>
      <c r="F2" s="12" t="str">
        <f>IFERROR(__xludf.DUMMYFUNCTION("""COMPUTED_VALUE"""),"Garde, Collecteur de la garde")</f>
        <v>Garde, Collecteur de la garde</v>
      </c>
      <c r="G2" s="5" t="str">
        <f>IFERROR(__xludf.DUMMYFUNCTION("""COMPUTED_VALUE"""),"En service actif")</f>
        <v>En service actif</v>
      </c>
      <c r="H2" s="5"/>
      <c r="I2" s="74"/>
      <c r="J2" s="8">
        <f>IFERROR(__xludf.DUMMYFUNCTION("""COMPUTED_VALUE"""),4.0)</f>
        <v>4</v>
      </c>
      <c r="K2" s="8"/>
      <c r="L2" s="8"/>
      <c r="M2" s="8"/>
      <c r="N2" s="8"/>
      <c r="O2" s="8"/>
      <c r="P2" s="8"/>
      <c r="Q2" s="8"/>
      <c r="R2" s="8"/>
      <c r="S2" s="8"/>
      <c r="T2" s="8"/>
      <c r="U2" s="8"/>
      <c r="V2" s="8"/>
      <c r="W2" s="8"/>
      <c r="X2" s="8"/>
      <c r="Y2" s="8"/>
      <c r="Z2" s="8">
        <f>IFERROR(__xludf.DUMMYFUNCTION("""COMPUTED_VALUE"""),4.0)</f>
        <v>4</v>
      </c>
    </row>
    <row r="3">
      <c r="A3" s="5" t="b">
        <f>IFERROR(__xludf.DUMMYFUNCTION("""COMPUTED_VALUE"""),FALSE)</f>
        <v>0</v>
      </c>
      <c r="B3" s="5" t="str">
        <f>IFERROR(__xludf.DUMMYFUNCTION("""COMPUTED_VALUE"""),"Lieutenant-Chef")</f>
        <v>Lieutenant-Chef</v>
      </c>
      <c r="C3" s="15" t="str">
        <f>IFERROR(__xludf.DUMMYFUNCTION("""COMPUTED_VALUE"""),"Il-draz ")</f>
        <v>Il-draz </v>
      </c>
      <c r="D3" s="18" t="str">
        <f>IFERROR(__xludf.DUMMYFUNCTION("""COMPUTED_VALUE"""),"De Chasse-au-bois")</f>
        <v>De Chasse-au-bois</v>
      </c>
      <c r="E3" s="5" t="str">
        <f>IFERROR(__xludf.DUMMYFUNCTION("""COMPUTED_VALUE"""),"Faubourgs de Blancherive")</f>
        <v>Faubourgs de Blancherive</v>
      </c>
      <c r="F3" s="12" t="str">
        <f>IFERROR(__xludf.DUMMYFUNCTION("""COMPUTED_VALUE"""),"Garde")</f>
        <v>Garde</v>
      </c>
      <c r="G3" s="5" t="str">
        <f>IFERROR(__xludf.DUMMYFUNCTION("""COMPUTED_VALUE"""),"En service actif")</f>
        <v>En service actif</v>
      </c>
      <c r="H3" s="5"/>
      <c r="I3" s="74"/>
      <c r="J3" s="8">
        <f>IFERROR(__xludf.DUMMYFUNCTION("""COMPUTED_VALUE"""),0.0)</f>
        <v>0</v>
      </c>
      <c r="K3" s="8"/>
      <c r="L3" s="8"/>
      <c r="M3" s="8"/>
      <c r="N3" s="8"/>
      <c r="O3" s="8"/>
      <c r="P3" s="8"/>
      <c r="Q3" s="8"/>
      <c r="R3" s="8"/>
      <c r="S3" s="8"/>
      <c r="T3" s="8"/>
      <c r="U3" s="8"/>
      <c r="V3" s="8"/>
      <c r="W3" s="8"/>
      <c r="X3" s="8"/>
      <c r="Y3" s="8"/>
      <c r="Z3" s="8">
        <f>IFERROR(__xludf.DUMMYFUNCTION("""COMPUTED_VALUE"""),5.0)</f>
        <v>5</v>
      </c>
    </row>
    <row r="4">
      <c r="A4" s="5" t="b">
        <f>IFERROR(__xludf.DUMMYFUNCTION("""COMPUTED_VALUE"""),FALSE)</f>
        <v>0</v>
      </c>
      <c r="B4" s="5" t="str">
        <f>IFERROR(__xludf.DUMMYFUNCTION("""COMPUTED_VALUE"""),"Lieutenant")</f>
        <v>Lieutenant</v>
      </c>
      <c r="C4" s="15" t="str">
        <f>IFERROR(__xludf.DUMMYFUNCTION("""COMPUTED_VALUE"""),"Gorvin")</f>
        <v>Gorvin</v>
      </c>
      <c r="D4" s="18" t="str">
        <f>IFERROR(__xludf.DUMMYFUNCTION("""COMPUTED_VALUE"""),"Le-Moite")</f>
        <v>Le-Moite</v>
      </c>
      <c r="E4" s="5" t="str">
        <f>IFERROR(__xludf.DUMMYFUNCTION("""COMPUTED_VALUE"""),"Faubourgs de Blancherive")</f>
        <v>Faubourgs de Blancherive</v>
      </c>
      <c r="F4" s="12" t="str">
        <f>IFERROR(__xludf.DUMMYFUNCTION("""COMPUTED_VALUE"""),"Garde")</f>
        <v>Garde</v>
      </c>
      <c r="G4" s="5" t="str">
        <f>IFERROR(__xludf.DUMMYFUNCTION("""COMPUTED_VALUE"""),"En service actif")</f>
        <v>En service actif</v>
      </c>
      <c r="H4" s="5"/>
      <c r="I4" s="74"/>
      <c r="J4" s="8">
        <f>IFERROR(__xludf.DUMMYFUNCTION("""COMPUTED_VALUE"""),3.0)</f>
        <v>3</v>
      </c>
      <c r="K4" s="8"/>
      <c r="L4" s="8"/>
      <c r="M4" s="8"/>
      <c r="N4" s="8"/>
      <c r="O4" s="8"/>
      <c r="P4" s="8"/>
      <c r="Q4" s="8"/>
      <c r="R4" s="8"/>
      <c r="S4" s="8"/>
      <c r="T4" s="8"/>
      <c r="U4" s="8"/>
      <c r="V4" s="8"/>
      <c r="W4" s="8"/>
      <c r="X4" s="8"/>
      <c r="Y4" s="8"/>
      <c r="Z4" s="8">
        <f>IFERROR(__xludf.DUMMYFUNCTION("""COMPUTED_VALUE"""),6.0)</f>
        <v>6</v>
      </c>
    </row>
    <row r="5">
      <c r="A5" s="5" t="b">
        <f>IFERROR(__xludf.DUMMYFUNCTION("""COMPUTED_VALUE"""),FALSE)</f>
        <v>0</v>
      </c>
      <c r="B5" s="5" t="str">
        <f>IFERROR(__xludf.DUMMYFUNCTION("""COMPUTED_VALUE"""),"Sergent-Chef")</f>
        <v>Sergent-Chef</v>
      </c>
      <c r="C5" s="15" t="str">
        <f>IFERROR(__xludf.DUMMYFUNCTION("""COMPUTED_VALUE"""),"Astrild")</f>
        <v>Astrild</v>
      </c>
      <c r="D5" s="15"/>
      <c r="E5" s="5" t="str">
        <f>IFERROR(__xludf.DUMMYFUNCTION("""COMPUTED_VALUE"""),"Faubourgs de Blancherive")</f>
        <v>Faubourgs de Blancherive</v>
      </c>
      <c r="F5" s="12" t="str">
        <f>IFERROR(__xludf.DUMMYFUNCTION("""COMPUTED_VALUE"""),"Garde")</f>
        <v>Garde</v>
      </c>
      <c r="G5" s="5" t="str">
        <f>IFERROR(__xludf.DUMMYFUNCTION("""COMPUTED_VALUE"""),"En service actif")</f>
        <v>En service actif</v>
      </c>
      <c r="H5" s="5"/>
      <c r="I5" s="74"/>
      <c r="J5" s="8">
        <f>IFERROR(__xludf.DUMMYFUNCTION("""COMPUTED_VALUE"""),0.0)</f>
        <v>0</v>
      </c>
      <c r="K5" s="8"/>
      <c r="L5" s="8"/>
      <c r="M5" s="8"/>
      <c r="N5" s="8"/>
      <c r="O5" s="8"/>
      <c r="P5" s="8"/>
      <c r="Q5" s="8"/>
      <c r="R5" s="8"/>
      <c r="S5" s="8"/>
      <c r="T5" s="8"/>
      <c r="U5" s="8"/>
      <c r="V5" s="8"/>
      <c r="W5" s="8"/>
      <c r="X5" s="8"/>
      <c r="Y5" s="8"/>
      <c r="Z5" s="8">
        <f>IFERROR(__xludf.DUMMYFUNCTION("""COMPUTED_VALUE"""),7.0)</f>
        <v>7</v>
      </c>
    </row>
    <row r="6">
      <c r="A6" s="5" t="b">
        <f>IFERROR(__xludf.DUMMYFUNCTION("""COMPUTED_VALUE"""),FALSE)</f>
        <v>0</v>
      </c>
      <c r="B6" s="5" t="str">
        <f>IFERROR(__xludf.DUMMYFUNCTION("""COMPUTED_VALUE"""),"Sergent")</f>
        <v>Sergent</v>
      </c>
      <c r="C6" s="15" t="str">
        <f>IFERROR(__xludf.DUMMYFUNCTION("""COMPUTED_VALUE"""),"Jeebam-dee")</f>
        <v>Jeebam-dee</v>
      </c>
      <c r="D6" s="15"/>
      <c r="E6" s="5" t="str">
        <f>IFERROR(__xludf.DUMMYFUNCTION("""COMPUTED_VALUE"""),"Faubourgs de Blancherive")</f>
        <v>Faubourgs de Blancherive</v>
      </c>
      <c r="F6" s="12" t="str">
        <f>IFERROR(__xludf.DUMMYFUNCTION("""COMPUTED_VALUE"""),"Garde")</f>
        <v>Garde</v>
      </c>
      <c r="G6" s="5" t="str">
        <f>IFERROR(__xludf.DUMMYFUNCTION("""COMPUTED_VALUE"""),"En service actif")</f>
        <v>En service actif</v>
      </c>
      <c r="H6" s="5"/>
      <c r="I6" s="74"/>
      <c r="J6" s="8">
        <f>IFERROR(__xludf.DUMMYFUNCTION("""COMPUTED_VALUE"""),0.0)</f>
        <v>0</v>
      </c>
      <c r="K6" s="8"/>
      <c r="L6" s="8"/>
      <c r="M6" s="8"/>
      <c r="N6" s="8"/>
      <c r="O6" s="8"/>
      <c r="P6" s="8"/>
      <c r="Q6" s="8"/>
      <c r="R6" s="8"/>
      <c r="S6" s="8"/>
      <c r="T6" s="8"/>
      <c r="U6" s="8"/>
      <c r="V6" s="8"/>
      <c r="W6" s="8"/>
      <c r="X6" s="8"/>
      <c r="Y6" s="8"/>
      <c r="Z6" s="8">
        <f>IFERROR(__xludf.DUMMYFUNCTION("""COMPUTED_VALUE"""),8.0)</f>
        <v>8</v>
      </c>
    </row>
    <row r="7">
      <c r="A7" s="5" t="b">
        <f>IFERROR(__xludf.DUMMYFUNCTION("""COMPUTED_VALUE"""),FALSE)</f>
        <v>0</v>
      </c>
      <c r="B7" s="5" t="str">
        <f>IFERROR(__xludf.DUMMYFUNCTION("""COMPUTED_VALUE"""),"Sergent")</f>
        <v>Sergent</v>
      </c>
      <c r="C7" s="15" t="str">
        <f>IFERROR(__xludf.DUMMYFUNCTION("""COMPUTED_VALUE"""),"Ja'Shanir")</f>
        <v>Ja'Shanir</v>
      </c>
      <c r="D7" s="15"/>
      <c r="E7" s="5" t="str">
        <f>IFERROR(__xludf.DUMMYFUNCTION("""COMPUTED_VALUE"""),"Faubourgs de Blancherive")</f>
        <v>Faubourgs de Blancherive</v>
      </c>
      <c r="F7" s="12" t="str">
        <f>IFERROR(__xludf.DUMMYFUNCTION("""COMPUTED_VALUE"""),"Garde")</f>
        <v>Garde</v>
      </c>
      <c r="G7" s="5" t="str">
        <f>IFERROR(__xludf.DUMMYFUNCTION("""COMPUTED_VALUE"""),"Démissionnaire")</f>
        <v>Démissionnaire</v>
      </c>
      <c r="H7" s="8"/>
      <c r="I7" s="74"/>
      <c r="J7" s="8">
        <f>IFERROR(__xludf.DUMMYFUNCTION("""COMPUTED_VALUE"""),0.0)</f>
        <v>0</v>
      </c>
      <c r="K7" s="8"/>
      <c r="L7" s="8"/>
      <c r="M7" s="8"/>
      <c r="N7" s="8"/>
      <c r="O7" s="8"/>
      <c r="P7" s="8"/>
      <c r="Q7" s="8"/>
      <c r="R7" s="8"/>
      <c r="S7" s="8"/>
      <c r="T7" s="8"/>
      <c r="U7" s="8"/>
      <c r="V7" s="8"/>
      <c r="W7" s="8"/>
      <c r="X7" s="8"/>
      <c r="Y7" s="8"/>
      <c r="Z7" s="8">
        <f>IFERROR(__xludf.DUMMYFUNCTION("""COMPUTED_VALUE"""),8.0)</f>
        <v>8</v>
      </c>
    </row>
    <row r="8">
      <c r="A8" s="5" t="b">
        <f>IFERROR(__xludf.DUMMYFUNCTION("""COMPUTED_VALUE"""),FALSE)</f>
        <v>0</v>
      </c>
      <c r="B8" s="5" t="str">
        <f>IFERROR(__xludf.DUMMYFUNCTION("""COMPUTED_VALUE"""),"Garde")</f>
        <v>Garde</v>
      </c>
      <c r="C8" s="15" t="str">
        <f>IFERROR(__xludf.DUMMYFUNCTION("""COMPUTED_VALUE"""),"Léonce")</f>
        <v>Léonce</v>
      </c>
      <c r="D8" s="15" t="str">
        <f>IFERROR(__xludf.DUMMYFUNCTION("""COMPUTED_VALUE"""),"Réve-épine")</f>
        <v>Réve-épine</v>
      </c>
      <c r="E8" s="5" t="str">
        <f>IFERROR(__xludf.DUMMYFUNCTION("""COMPUTED_VALUE"""),"Faubourgs de Blancherive")</f>
        <v>Faubourgs de Blancherive</v>
      </c>
      <c r="F8" s="12" t="str">
        <f>IFERROR(__xludf.DUMMYFUNCTION("""COMPUTED_VALUE"""),"Garde")</f>
        <v>Garde</v>
      </c>
      <c r="G8" s="5" t="str">
        <f>IFERROR(__xludf.DUMMYFUNCTION("""COMPUTED_VALUE"""),"En service actif")</f>
        <v>En service actif</v>
      </c>
      <c r="H8" s="8"/>
      <c r="I8" s="74"/>
      <c r="J8" s="8">
        <f>IFERROR(__xludf.DUMMYFUNCTION("""COMPUTED_VALUE"""),1.0)</f>
        <v>1</v>
      </c>
      <c r="K8" s="8"/>
      <c r="L8" s="8"/>
      <c r="M8" s="8"/>
      <c r="N8" s="8"/>
      <c r="O8" s="8"/>
      <c r="P8" s="8"/>
      <c r="Q8" s="8"/>
      <c r="R8" s="8"/>
      <c r="S8" s="8"/>
      <c r="T8" s="8"/>
      <c r="U8" s="8"/>
      <c r="V8" s="8"/>
      <c r="W8" s="8"/>
      <c r="X8" s="8"/>
      <c r="Y8" s="8"/>
      <c r="Z8" s="8">
        <f>IFERROR(__xludf.DUMMYFUNCTION("""COMPUTED_VALUE"""),11.0)</f>
        <v>11</v>
      </c>
    </row>
    <row r="9">
      <c r="A9" s="5" t="b">
        <f>IFERROR(__xludf.DUMMYFUNCTION("""COMPUTED_VALUE"""),FALSE)</f>
        <v>0</v>
      </c>
      <c r="B9" s="5" t="str">
        <f>IFERROR(__xludf.DUMMYFUNCTION("""COMPUTED_VALUE"""),"Garde")</f>
        <v>Garde</v>
      </c>
      <c r="C9" s="15" t="str">
        <f>IFERROR(__xludf.DUMMYFUNCTION("""COMPUTED_VALUE"""),"Smaug")</f>
        <v>Smaug</v>
      </c>
      <c r="D9" s="75"/>
      <c r="E9" s="5" t="str">
        <f>IFERROR(__xludf.DUMMYFUNCTION("""COMPUTED_VALUE"""),"Faubourgs de Blancherive")</f>
        <v>Faubourgs de Blancherive</v>
      </c>
      <c r="F9" s="12" t="str">
        <f>IFERROR(__xludf.DUMMYFUNCTION("""COMPUTED_VALUE"""),"Garde")</f>
        <v>Garde</v>
      </c>
      <c r="G9" s="5" t="str">
        <f>IFERROR(__xludf.DUMMYFUNCTION("""COMPUTED_VALUE"""),"En service actif")</f>
        <v>En service actif</v>
      </c>
      <c r="H9" s="5"/>
      <c r="I9" s="74"/>
      <c r="J9" s="8">
        <f>IFERROR(__xludf.DUMMYFUNCTION("""COMPUTED_VALUE"""),0.0)</f>
        <v>0</v>
      </c>
      <c r="K9" s="8"/>
      <c r="L9" s="8"/>
      <c r="M9" s="8"/>
      <c r="N9" s="8"/>
      <c r="O9" s="8"/>
      <c r="P9" s="8"/>
      <c r="Q9" s="8"/>
      <c r="R9" s="8"/>
      <c r="S9" s="8"/>
      <c r="T9" s="8"/>
      <c r="U9" s="8"/>
      <c r="V9" s="8"/>
      <c r="W9" s="8"/>
      <c r="X9" s="8"/>
      <c r="Y9" s="8"/>
      <c r="Z9" s="8">
        <f>IFERROR(__xludf.DUMMYFUNCTION("""COMPUTED_VALUE"""),11.0)</f>
        <v>11</v>
      </c>
    </row>
    <row r="10">
      <c r="A10" s="8" t="b">
        <f>IFERROR(__xludf.DUMMYFUNCTION("""COMPUTED_VALUE"""),FALSE)</f>
        <v>0</v>
      </c>
      <c r="B10" s="5" t="str">
        <f>IFERROR(__xludf.DUMMYFUNCTION("""COMPUTED_VALUE"""),"Garde")</f>
        <v>Garde</v>
      </c>
      <c r="C10" s="15" t="str">
        <f>IFERROR(__xludf.DUMMYFUNCTION("""COMPUTED_VALUE"""),"Njalda")</f>
        <v>Njalda</v>
      </c>
      <c r="D10" s="15"/>
      <c r="E10" s="5" t="str">
        <f>IFERROR(__xludf.DUMMYFUNCTION("""COMPUTED_VALUE"""),"Faubourgs de Blancherive")</f>
        <v>Faubourgs de Blancherive</v>
      </c>
      <c r="F10" s="12" t="str">
        <f>IFERROR(__xludf.DUMMYFUNCTION("""COMPUTED_VALUE"""),"Garde")</f>
        <v>Garde</v>
      </c>
      <c r="G10" s="5" t="str">
        <f>IFERROR(__xludf.DUMMYFUNCTION("""COMPUTED_VALUE"""),"En service actif")</f>
        <v>En service actif</v>
      </c>
      <c r="H10" s="8"/>
      <c r="I10" s="74"/>
      <c r="J10" s="8">
        <f>IFERROR(__xludf.DUMMYFUNCTION("""COMPUTED_VALUE"""),0.0)</f>
        <v>0</v>
      </c>
      <c r="K10" s="8"/>
      <c r="L10" s="8"/>
      <c r="M10" s="8"/>
      <c r="N10" s="8"/>
      <c r="O10" s="8"/>
      <c r="P10" s="8"/>
      <c r="Q10" s="8"/>
      <c r="R10" s="8"/>
      <c r="S10" s="8"/>
      <c r="T10" s="8"/>
      <c r="U10" s="8"/>
      <c r="V10" s="8"/>
      <c r="W10" s="8"/>
      <c r="X10" s="8"/>
      <c r="Y10" s="8"/>
      <c r="Z10" s="8">
        <f>IFERROR(__xludf.DUMMYFUNCTION("""COMPUTED_VALUE"""),11.0)</f>
        <v>11</v>
      </c>
    </row>
    <row r="11">
      <c r="A11" s="8" t="b">
        <f>IFERROR(__xludf.DUMMYFUNCTION("""COMPUTED_VALUE"""),FALSE)</f>
        <v>0</v>
      </c>
      <c r="B11" s="5" t="str">
        <f>IFERROR(__xludf.DUMMYFUNCTION("""COMPUTED_VALUE"""),"Garde")</f>
        <v>Garde</v>
      </c>
      <c r="C11" s="15" t="str">
        <f>IFERROR(__xludf.DUMMYFUNCTION("""COMPUTED_VALUE"""),"Darina")</f>
        <v>Darina</v>
      </c>
      <c r="D11" s="18"/>
      <c r="E11" s="5" t="str">
        <f>IFERROR(__xludf.DUMMYFUNCTION("""COMPUTED_VALUE"""),"Faubourgs de Blancherive")</f>
        <v>Faubourgs de Blancherive</v>
      </c>
      <c r="F11" s="12" t="str">
        <f>IFERROR(__xludf.DUMMYFUNCTION("""COMPUTED_VALUE"""),"Garde")</f>
        <v>Garde</v>
      </c>
      <c r="G11" s="5" t="str">
        <f>IFERROR(__xludf.DUMMYFUNCTION("""COMPUTED_VALUE"""),"En service actif")</f>
        <v>En service actif</v>
      </c>
      <c r="H11" s="8"/>
      <c r="I11" s="74"/>
      <c r="J11" s="8">
        <f>IFERROR(__xludf.DUMMYFUNCTION("""COMPUTED_VALUE"""),0.0)</f>
        <v>0</v>
      </c>
      <c r="K11" s="8"/>
      <c r="L11" s="8"/>
      <c r="M11" s="8"/>
      <c r="N11" s="8"/>
      <c r="O11" s="8"/>
      <c r="P11" s="8"/>
      <c r="Q11" s="8"/>
      <c r="R11" s="8"/>
      <c r="S11" s="8"/>
      <c r="T11" s="8"/>
      <c r="U11" s="8"/>
      <c r="V11" s="8"/>
      <c r="W11" s="8"/>
      <c r="X11" s="8"/>
      <c r="Y11" s="8"/>
      <c r="Z11" s="8">
        <f>IFERROR(__xludf.DUMMYFUNCTION("""COMPUTED_VALUE"""),11.0)</f>
        <v>11</v>
      </c>
    </row>
    <row r="12">
      <c r="A12" s="5" t="b">
        <f>IFERROR(__xludf.DUMMYFUNCTION("""COMPUTED_VALUE"""),FALSE)</f>
        <v>0</v>
      </c>
      <c r="B12" s="5" t="str">
        <f>IFERROR(__xludf.DUMMYFUNCTION("""COMPUTED_VALUE"""),"Garde")</f>
        <v>Garde</v>
      </c>
      <c r="C12" s="15" t="str">
        <f>IFERROR(__xludf.DUMMYFUNCTION("""COMPUTED_VALUE"""),"Torald")</f>
        <v>Torald</v>
      </c>
      <c r="D12" s="18" t="str">
        <f>IFERROR(__xludf.DUMMYFUNCTION("""COMPUTED_VALUE"""),"Brise-Roche")</f>
        <v>Brise-Roche</v>
      </c>
      <c r="E12" s="5" t="str">
        <f>IFERROR(__xludf.DUMMYFUNCTION("""COMPUTED_VALUE"""),"Faubourgs de Blancherive")</f>
        <v>Faubourgs de Blancherive</v>
      </c>
      <c r="F12" s="12" t="str">
        <f>IFERROR(__xludf.DUMMYFUNCTION("""COMPUTED_VALUE"""),"Garde")</f>
        <v>Garde</v>
      </c>
      <c r="G12" s="5" t="str">
        <f>IFERROR(__xludf.DUMMYFUNCTION("""COMPUTED_VALUE"""),"En service actif")</f>
        <v>En service actif</v>
      </c>
      <c r="H12" s="5"/>
      <c r="I12" s="74"/>
      <c r="J12" s="8">
        <f>IFERROR(__xludf.DUMMYFUNCTION("""COMPUTED_VALUE"""),1.0)</f>
        <v>1</v>
      </c>
      <c r="K12" s="8"/>
      <c r="L12" s="8"/>
      <c r="M12" s="8"/>
      <c r="N12" s="8"/>
      <c r="O12" s="8"/>
      <c r="P12" s="8"/>
      <c r="Q12" s="8"/>
      <c r="R12" s="8"/>
      <c r="S12" s="8"/>
      <c r="T12" s="8"/>
      <c r="U12" s="8"/>
      <c r="V12" s="8"/>
      <c r="W12" s="8"/>
      <c r="X12" s="8"/>
      <c r="Y12" s="8"/>
      <c r="Z12" s="8">
        <f>IFERROR(__xludf.DUMMYFUNCTION("""COMPUTED_VALUE"""),11.0)</f>
        <v>11</v>
      </c>
    </row>
    <row r="13">
      <c r="A13" s="5" t="b">
        <f>IFERROR(__xludf.DUMMYFUNCTION("""COMPUTED_VALUE"""),FALSE)</f>
        <v>0</v>
      </c>
      <c r="B13" s="5" t="str">
        <f>IFERROR(__xludf.DUMMYFUNCTION("""COMPUTED_VALUE"""),"Garde")</f>
        <v>Garde</v>
      </c>
      <c r="C13" s="15" t="str">
        <f>IFERROR(__xludf.DUMMYFUNCTION("""COMPUTED_VALUE"""),"Bernis")</f>
        <v>Bernis</v>
      </c>
      <c r="D13" s="18"/>
      <c r="E13" s="5" t="str">
        <f>IFERROR(__xludf.DUMMYFUNCTION("""COMPUTED_VALUE"""),"Faubourgs de Blancherive")</f>
        <v>Faubourgs de Blancherive</v>
      </c>
      <c r="F13" s="12" t="str">
        <f>IFERROR(__xludf.DUMMYFUNCTION("""COMPUTED_VALUE"""),"Garde")</f>
        <v>Garde</v>
      </c>
      <c r="G13" s="5" t="str">
        <f>IFERROR(__xludf.DUMMYFUNCTION("""COMPUTED_VALUE"""),"En service actif")</f>
        <v>En service actif</v>
      </c>
      <c r="H13" s="5"/>
      <c r="I13" s="74"/>
      <c r="J13" s="8">
        <f>IFERROR(__xludf.DUMMYFUNCTION("""COMPUTED_VALUE"""),0.0)</f>
        <v>0</v>
      </c>
      <c r="K13" s="8"/>
      <c r="L13" s="8"/>
      <c r="M13" s="8"/>
      <c r="N13" s="8"/>
      <c r="O13" s="8"/>
      <c r="P13" s="8"/>
      <c r="Q13" s="8"/>
      <c r="R13" s="8"/>
      <c r="S13" s="8"/>
      <c r="T13" s="8"/>
      <c r="U13" s="8"/>
      <c r="V13" s="8"/>
      <c r="W13" s="8"/>
      <c r="X13" s="8"/>
      <c r="Y13" s="8"/>
      <c r="Z13" s="8">
        <f>IFERROR(__xludf.DUMMYFUNCTION("""COMPUTED_VALUE"""),11.0)</f>
        <v>11</v>
      </c>
    </row>
    <row r="14">
      <c r="A14" s="5" t="b">
        <f>IFERROR(__xludf.DUMMYFUNCTION("""COMPUTED_VALUE"""),FALSE)</f>
        <v>0</v>
      </c>
      <c r="B14" s="5" t="str">
        <f>IFERROR(__xludf.DUMMYFUNCTION("""COMPUTED_VALUE"""),"Cadet")</f>
        <v>Cadet</v>
      </c>
      <c r="C14" s="15" t="str">
        <f>IFERROR(__xludf.DUMMYFUNCTION("""COMPUTED_VALUE"""),"Ina'ra")</f>
        <v>Ina'ra</v>
      </c>
      <c r="D14" s="15"/>
      <c r="E14" s="5" t="str">
        <f>IFERROR(__xludf.DUMMYFUNCTION("""COMPUTED_VALUE"""),"Faubourgs de Blancherive")</f>
        <v>Faubourgs de Blancherive</v>
      </c>
      <c r="F14" s="12" t="str">
        <f>IFERROR(__xludf.DUMMYFUNCTION("""COMPUTED_VALUE"""),"Garde")</f>
        <v>Garde</v>
      </c>
      <c r="G14" s="5" t="str">
        <f>IFERROR(__xludf.DUMMYFUNCTION("""COMPUTED_VALUE"""),"En service actif")</f>
        <v>En service actif</v>
      </c>
      <c r="H14" s="8"/>
      <c r="I14" s="74"/>
      <c r="J14" s="8">
        <f>IFERROR(__xludf.DUMMYFUNCTION("""COMPUTED_VALUE"""),0.0)</f>
        <v>0</v>
      </c>
      <c r="K14" s="8"/>
      <c r="L14" s="8"/>
      <c r="M14" s="8"/>
      <c r="N14" s="8"/>
      <c r="O14" s="8"/>
      <c r="P14" s="8"/>
      <c r="Q14" s="8"/>
      <c r="R14" s="8"/>
      <c r="S14" s="8"/>
      <c r="T14" s="8"/>
      <c r="U14" s="8"/>
      <c r="V14" s="8"/>
      <c r="W14" s="8"/>
      <c r="X14" s="8"/>
      <c r="Y14" s="8"/>
      <c r="Z14" s="8">
        <f>IFERROR(__xludf.DUMMYFUNCTION("""COMPUTED_VALUE"""),12.0)</f>
        <v>12</v>
      </c>
    </row>
    <row r="15">
      <c r="A15" s="5"/>
      <c r="B15" s="5"/>
      <c r="C15" s="15"/>
      <c r="D15" s="15"/>
      <c r="E15" s="5"/>
      <c r="F15" s="12"/>
      <c r="G15" s="5"/>
      <c r="H15" s="8"/>
      <c r="I15" s="74"/>
    </row>
    <row r="16">
      <c r="A16" s="5"/>
      <c r="B16" s="5"/>
      <c r="C16" s="15"/>
      <c r="D16" s="15"/>
      <c r="E16" s="5"/>
      <c r="F16" s="12"/>
      <c r="G16" s="5"/>
      <c r="H16" s="8"/>
      <c r="I16" s="74"/>
    </row>
    <row r="17">
      <c r="A17" s="5"/>
      <c r="B17" s="5"/>
      <c r="C17" s="15"/>
      <c r="D17" s="15"/>
      <c r="E17" s="5"/>
      <c r="F17" s="12"/>
      <c r="G17" s="5"/>
      <c r="H17" s="8"/>
      <c r="I17" s="74"/>
    </row>
    <row r="18">
      <c r="A18" s="5"/>
      <c r="B18" s="5"/>
      <c r="C18" s="15"/>
      <c r="D18" s="18"/>
      <c r="E18" s="5"/>
      <c r="F18" s="12"/>
      <c r="G18" s="5"/>
      <c r="H18" s="8"/>
      <c r="I18" s="74"/>
    </row>
    <row r="19">
      <c r="A19" s="5"/>
      <c r="B19" s="5"/>
      <c r="C19" s="15"/>
      <c r="D19" s="18"/>
      <c r="E19" s="5"/>
      <c r="F19" s="12"/>
      <c r="G19" s="5"/>
      <c r="H19" s="8"/>
      <c r="I19" s="74"/>
    </row>
    <row r="20">
      <c r="A20" s="5"/>
      <c r="B20" s="5"/>
      <c r="C20" s="15"/>
      <c r="D20" s="18"/>
      <c r="E20" s="5"/>
      <c r="F20" s="12"/>
      <c r="G20" s="5"/>
      <c r="H20" s="8"/>
      <c r="I20" s="74"/>
    </row>
    <row r="21">
      <c r="A21" s="5"/>
      <c r="B21" s="5"/>
      <c r="C21" s="15"/>
      <c r="D21" s="15"/>
      <c r="E21" s="5"/>
      <c r="F21" s="12"/>
      <c r="G21" s="5"/>
      <c r="H21" s="5"/>
      <c r="I21" s="74"/>
    </row>
    <row r="22">
      <c r="A22" s="5"/>
      <c r="B22" s="5"/>
      <c r="C22" s="15"/>
      <c r="D22" s="15"/>
      <c r="E22" s="5"/>
      <c r="F22" s="12"/>
      <c r="G22" s="5"/>
      <c r="H22" s="5"/>
      <c r="I22" s="74"/>
    </row>
    <row r="23">
      <c r="A23" s="5"/>
      <c r="B23" s="5"/>
      <c r="C23" s="15"/>
      <c r="D23" s="15"/>
      <c r="E23" s="5"/>
      <c r="F23" s="12"/>
      <c r="G23" s="5"/>
      <c r="H23" s="5"/>
      <c r="I23" s="74"/>
    </row>
    <row r="24">
      <c r="A24" s="5"/>
      <c r="B24" s="5"/>
      <c r="C24" s="15"/>
      <c r="D24" s="18"/>
      <c r="E24" s="5"/>
      <c r="F24" s="12"/>
      <c r="G24" s="5"/>
      <c r="H24" s="5"/>
      <c r="I24" s="74"/>
    </row>
    <row r="25">
      <c r="A25" s="5"/>
      <c r="B25" s="5"/>
      <c r="C25" s="15"/>
      <c r="D25" s="15"/>
      <c r="E25" s="5"/>
      <c r="F25" s="12"/>
      <c r="G25" s="5"/>
      <c r="H25" s="8"/>
      <c r="I25" s="74"/>
    </row>
    <row r="26">
      <c r="A26" s="5"/>
      <c r="B26" s="5"/>
      <c r="C26" s="15"/>
      <c r="D26" s="18"/>
      <c r="E26" s="5"/>
      <c r="F26" s="12"/>
      <c r="G26" s="5"/>
      <c r="H26" s="8"/>
      <c r="I26" s="74"/>
    </row>
    <row r="27">
      <c r="A27" s="5"/>
      <c r="B27" s="5"/>
      <c r="C27" s="15"/>
      <c r="D27" s="18"/>
      <c r="E27" s="5"/>
      <c r="F27" s="12"/>
      <c r="G27" s="5"/>
      <c r="H27" s="8"/>
      <c r="I27" s="74"/>
    </row>
    <row r="28">
      <c r="A28" s="5"/>
      <c r="B28" s="5"/>
      <c r="C28" s="15"/>
      <c r="D28" s="15"/>
      <c r="E28" s="5"/>
      <c r="F28" s="12"/>
      <c r="G28" s="5"/>
      <c r="H28" s="8"/>
      <c r="I28" s="74"/>
    </row>
    <row r="29">
      <c r="A29" s="5"/>
      <c r="B29" s="5"/>
      <c r="C29" s="15"/>
      <c r="D29" s="15"/>
      <c r="E29" s="5"/>
      <c r="F29" s="12"/>
      <c r="G29" s="5"/>
      <c r="H29" s="8"/>
      <c r="I29" s="74"/>
    </row>
    <row r="30">
      <c r="A30" s="5"/>
      <c r="B30" s="5"/>
      <c r="C30" s="15"/>
      <c r="D30" s="18"/>
      <c r="E30" s="5"/>
      <c r="F30" s="12"/>
      <c r="G30" s="5"/>
      <c r="H30" s="8"/>
      <c r="I30" s="74"/>
    </row>
    <row r="31">
      <c r="A31" s="5"/>
      <c r="B31" s="5"/>
      <c r="C31" s="15"/>
      <c r="D31" s="18"/>
      <c r="E31" s="5"/>
      <c r="F31" s="12"/>
      <c r="G31" s="5"/>
      <c r="H31" s="8"/>
      <c r="I31" s="74"/>
    </row>
    <row r="32">
      <c r="A32" s="5"/>
      <c r="B32" s="5"/>
      <c r="C32" s="15"/>
      <c r="D32" s="15"/>
      <c r="E32" s="5"/>
      <c r="F32" s="12"/>
      <c r="G32" s="5"/>
      <c r="H32" s="8"/>
      <c r="I32" s="74"/>
    </row>
    <row r="33">
      <c r="A33" s="5"/>
      <c r="B33" s="5"/>
      <c r="C33" s="15"/>
      <c r="D33" s="15"/>
      <c r="E33" s="5"/>
      <c r="F33" s="12"/>
      <c r="G33" s="5"/>
      <c r="H33" s="8"/>
      <c r="I33" s="74"/>
    </row>
    <row r="34">
      <c r="A34" s="8"/>
      <c r="B34" s="5"/>
      <c r="C34" s="15"/>
      <c r="D34" s="18"/>
      <c r="E34" s="5"/>
      <c r="F34" s="12"/>
      <c r="G34" s="5"/>
      <c r="H34" s="8"/>
      <c r="I34" s="74"/>
    </row>
    <row r="35">
      <c r="A35" s="5"/>
      <c r="B35" s="5"/>
      <c r="C35" s="15"/>
      <c r="D35" s="18"/>
      <c r="E35" s="5"/>
      <c r="F35" s="12"/>
      <c r="G35" s="5"/>
      <c r="H35" s="8"/>
      <c r="I35" s="74"/>
    </row>
    <row r="36">
      <c r="A36" s="5"/>
      <c r="B36" s="5"/>
      <c r="C36" s="15"/>
      <c r="D36" s="15"/>
      <c r="E36" s="5"/>
      <c r="F36" s="12"/>
      <c r="G36" s="5"/>
      <c r="H36" s="8"/>
      <c r="I36" s="74"/>
    </row>
    <row r="37">
      <c r="A37" s="8"/>
      <c r="B37" s="5"/>
      <c r="C37" s="15"/>
      <c r="D37" s="15"/>
      <c r="E37" s="5"/>
      <c r="F37" s="12"/>
      <c r="G37" s="5"/>
      <c r="H37" s="8"/>
      <c r="I37" s="74"/>
    </row>
    <row r="38">
      <c r="A38" s="8"/>
      <c r="B38" s="5"/>
      <c r="C38" s="15"/>
      <c r="D38" s="15"/>
      <c r="E38" s="5"/>
      <c r="F38" s="12"/>
      <c r="G38" s="5"/>
      <c r="H38" s="8"/>
      <c r="I38" s="74"/>
    </row>
    <row r="39">
      <c r="A39" s="8"/>
      <c r="B39" s="5"/>
      <c r="C39" s="15"/>
      <c r="D39" s="18"/>
      <c r="E39" s="5"/>
      <c r="F39" s="12"/>
      <c r="G39" s="5"/>
      <c r="H39" s="8"/>
      <c r="I39" s="74"/>
    </row>
    <row r="40">
      <c r="A40" s="8"/>
      <c r="B40" s="5"/>
      <c r="C40" s="15"/>
      <c r="D40" s="18"/>
      <c r="E40" s="5"/>
      <c r="F40" s="12"/>
      <c r="G40" s="5"/>
      <c r="H40" s="5"/>
      <c r="I40" s="74"/>
    </row>
    <row r="41">
      <c r="A41" s="8"/>
      <c r="B41" s="8"/>
      <c r="C41" s="18"/>
      <c r="D41" s="18"/>
      <c r="E41" s="8"/>
      <c r="F41" s="8"/>
      <c r="G41" s="8"/>
      <c r="H41" s="8"/>
      <c r="I41" s="74"/>
    </row>
    <row r="42">
      <c r="A42" s="8"/>
      <c r="B42" s="8"/>
      <c r="C42" s="18"/>
      <c r="D42" s="18"/>
      <c r="E42" s="8"/>
      <c r="F42" s="8"/>
      <c r="G42" s="8"/>
      <c r="H42" s="8"/>
      <c r="I42" s="74"/>
    </row>
    <row r="43">
      <c r="A43" s="8"/>
      <c r="B43" s="8"/>
      <c r="C43" s="18"/>
      <c r="D43" s="18"/>
      <c r="E43" s="8"/>
      <c r="F43" s="8"/>
      <c r="G43" s="8"/>
      <c r="H43" s="8"/>
      <c r="I43" s="74"/>
    </row>
    <row r="44">
      <c r="A44" s="8"/>
      <c r="B44" s="8"/>
      <c r="C44" s="18"/>
      <c r="D44" s="18"/>
      <c r="E44" s="8"/>
      <c r="F44" s="8"/>
      <c r="G44" s="8"/>
      <c r="H44" s="8"/>
      <c r="I44" s="74"/>
    </row>
    <row r="45">
      <c r="A45" s="8"/>
      <c r="B45" s="8"/>
      <c r="C45" s="18"/>
      <c r="D45" s="18"/>
      <c r="E45" s="8"/>
      <c r="F45" s="8"/>
      <c r="G45" s="8"/>
      <c r="H45" s="8"/>
      <c r="I45" s="74"/>
    </row>
    <row r="46">
      <c r="A46" s="8"/>
      <c r="B46" s="8"/>
      <c r="C46" s="18"/>
      <c r="D46" s="18"/>
      <c r="E46" s="8"/>
      <c r="F46" s="8"/>
      <c r="G46" s="8"/>
      <c r="H46" s="8"/>
      <c r="I46" s="76"/>
    </row>
    <row r="47">
      <c r="A47" s="8"/>
      <c r="B47" s="8"/>
      <c r="C47" s="18"/>
      <c r="D47" s="18"/>
      <c r="E47" s="8"/>
      <c r="F47" s="8"/>
      <c r="G47" s="8"/>
      <c r="H47" s="8"/>
      <c r="I47" s="76"/>
    </row>
    <row r="48">
      <c r="A48" s="8"/>
      <c r="B48" s="8"/>
      <c r="C48" s="18"/>
      <c r="D48" s="18"/>
      <c r="E48" s="8"/>
      <c r="F48" s="8"/>
      <c r="G48" s="8"/>
      <c r="H48" s="8"/>
      <c r="I48" s="76"/>
    </row>
    <row r="49">
      <c r="A49" s="8"/>
      <c r="B49" s="8"/>
      <c r="C49" s="18"/>
      <c r="D49" s="18"/>
      <c r="E49" s="8"/>
      <c r="F49" s="8"/>
      <c r="G49" s="8"/>
      <c r="H49" s="8"/>
      <c r="I49" s="76"/>
    </row>
    <row r="50">
      <c r="A50" s="8"/>
      <c r="B50" s="8"/>
      <c r="C50" s="18"/>
      <c r="D50" s="18"/>
      <c r="E50" s="8"/>
      <c r="F50" s="8"/>
      <c r="G50" s="8"/>
      <c r="H50" s="8"/>
      <c r="I50" s="76"/>
    </row>
    <row r="51">
      <c r="A51" s="8"/>
      <c r="B51" s="8"/>
      <c r="C51" s="18"/>
      <c r="D51" s="18"/>
      <c r="E51" s="8"/>
      <c r="F51" s="8"/>
      <c r="G51" s="8"/>
      <c r="H51" s="8"/>
      <c r="I51" s="76"/>
    </row>
    <row r="52">
      <c r="A52" s="8"/>
      <c r="B52" s="8"/>
      <c r="C52" s="18"/>
      <c r="D52" s="18"/>
      <c r="E52" s="8"/>
      <c r="F52" s="8"/>
      <c r="G52" s="8"/>
      <c r="H52" s="8"/>
      <c r="I52" s="76"/>
    </row>
    <row r="53">
      <c r="A53" s="8"/>
      <c r="B53" s="8"/>
      <c r="C53" s="18"/>
      <c r="D53" s="18"/>
      <c r="E53" s="8"/>
      <c r="F53" s="8"/>
      <c r="G53" s="8"/>
      <c r="H53" s="8"/>
      <c r="I53" s="76"/>
    </row>
    <row r="54">
      <c r="A54" s="8"/>
      <c r="B54" s="8"/>
      <c r="C54" s="18"/>
      <c r="D54" s="18"/>
      <c r="E54" s="8"/>
      <c r="F54" s="8"/>
      <c r="G54" s="8"/>
      <c r="H54" s="8"/>
      <c r="I54" s="76"/>
    </row>
    <row r="55">
      <c r="A55" s="8"/>
      <c r="B55" s="8"/>
      <c r="C55" s="18"/>
      <c r="D55" s="18"/>
      <c r="E55" s="8"/>
      <c r="F55" s="8"/>
      <c r="G55" s="8"/>
      <c r="H55" s="8"/>
      <c r="I55" s="76"/>
    </row>
    <row r="56">
      <c r="A56" s="8"/>
      <c r="B56" s="8"/>
      <c r="C56" s="18"/>
      <c r="D56" s="18"/>
      <c r="E56" s="8"/>
      <c r="F56" s="8"/>
      <c r="G56" s="8"/>
      <c r="H56" s="8"/>
      <c r="I56" s="76"/>
    </row>
    <row r="57">
      <c r="A57" s="8"/>
      <c r="B57" s="8"/>
      <c r="C57" s="18"/>
      <c r="D57" s="18"/>
      <c r="E57" s="8"/>
      <c r="F57" s="8"/>
      <c r="G57" s="8"/>
      <c r="H57" s="8"/>
      <c r="I57" s="76"/>
    </row>
    <row r="58">
      <c r="A58" s="8"/>
      <c r="B58" s="8"/>
      <c r="C58" s="18"/>
      <c r="D58" s="18"/>
      <c r="E58" s="8"/>
      <c r="F58" s="8"/>
      <c r="G58" s="8"/>
      <c r="H58" s="8"/>
      <c r="I58" s="76"/>
    </row>
    <row r="59">
      <c r="A59" s="8"/>
      <c r="B59" s="8"/>
      <c r="C59" s="18"/>
      <c r="D59" s="18"/>
      <c r="E59" s="8"/>
      <c r="F59" s="8"/>
      <c r="G59" s="8"/>
      <c r="H59" s="8"/>
      <c r="I59" s="76"/>
    </row>
    <row r="60">
      <c r="A60" s="8"/>
      <c r="B60" s="8"/>
      <c r="C60" s="18"/>
      <c r="D60" s="18"/>
      <c r="E60" s="8"/>
      <c r="F60" s="8"/>
      <c r="G60" s="8"/>
      <c r="H60" s="8"/>
      <c r="I60" s="76"/>
    </row>
    <row r="61">
      <c r="A61" s="8"/>
      <c r="B61" s="8"/>
      <c r="C61" s="18"/>
      <c r="D61" s="18"/>
      <c r="E61" s="8"/>
      <c r="F61" s="8"/>
      <c r="G61" s="8"/>
      <c r="H61" s="8"/>
      <c r="I61" s="76"/>
    </row>
    <row r="62">
      <c r="A62" s="8"/>
      <c r="B62" s="8"/>
      <c r="C62" s="18"/>
      <c r="D62" s="18"/>
      <c r="E62" s="8"/>
      <c r="F62" s="8"/>
      <c r="G62" s="8"/>
      <c r="H62" s="8"/>
      <c r="I62" s="76"/>
    </row>
    <row r="63">
      <c r="A63" s="8"/>
      <c r="B63" s="8"/>
      <c r="C63" s="18"/>
      <c r="D63" s="18"/>
      <c r="E63" s="8"/>
      <c r="F63" s="8"/>
      <c r="G63" s="8"/>
      <c r="H63" s="8"/>
      <c r="I63" s="76"/>
    </row>
    <row r="64">
      <c r="A64" s="8"/>
      <c r="B64" s="8"/>
      <c r="C64" s="18"/>
      <c r="D64" s="18"/>
      <c r="E64" s="8"/>
      <c r="F64" s="8"/>
      <c r="G64" s="8"/>
      <c r="H64" s="8"/>
      <c r="I64" s="76"/>
    </row>
    <row r="65">
      <c r="A65" s="8"/>
      <c r="B65" s="8"/>
      <c r="C65" s="18"/>
      <c r="D65" s="18"/>
      <c r="E65" s="8"/>
      <c r="F65" s="8"/>
      <c r="G65" s="8"/>
      <c r="H65" s="8"/>
      <c r="I65" s="76"/>
    </row>
    <row r="66">
      <c r="A66" s="8"/>
      <c r="B66" s="8"/>
      <c r="C66" s="18"/>
      <c r="D66" s="18"/>
      <c r="E66" s="8"/>
      <c r="F66" s="8"/>
      <c r="G66" s="8"/>
      <c r="H66" s="8"/>
      <c r="I66" s="76"/>
    </row>
    <row r="67">
      <c r="A67" s="8"/>
      <c r="B67" s="8"/>
      <c r="C67" s="18"/>
      <c r="D67" s="18"/>
      <c r="E67" s="8"/>
      <c r="F67" s="8"/>
      <c r="G67" s="8"/>
      <c r="H67" s="8"/>
      <c r="I67" s="76"/>
    </row>
    <row r="68">
      <c r="A68" s="8"/>
      <c r="B68" s="8"/>
      <c r="C68" s="18"/>
      <c r="D68" s="18"/>
      <c r="E68" s="8"/>
      <c r="F68" s="8"/>
      <c r="G68" s="8"/>
      <c r="H68" s="8"/>
      <c r="I68" s="76"/>
    </row>
    <row r="69">
      <c r="A69" s="8"/>
      <c r="B69" s="8"/>
      <c r="C69" s="18"/>
      <c r="D69" s="18"/>
      <c r="E69" s="8"/>
      <c r="F69" s="8"/>
      <c r="G69" s="8"/>
      <c r="H69" s="8"/>
      <c r="I69" s="76"/>
    </row>
    <row r="70">
      <c r="A70" s="8"/>
      <c r="B70" s="8"/>
      <c r="C70" s="18"/>
      <c r="D70" s="18"/>
      <c r="E70" s="8"/>
      <c r="F70" s="8"/>
      <c r="G70" s="8"/>
      <c r="H70" s="8"/>
      <c r="I70" s="76"/>
    </row>
    <row r="71">
      <c r="A71" s="8"/>
      <c r="B71" s="8"/>
      <c r="C71" s="18"/>
      <c r="D71" s="18"/>
      <c r="E71" s="8"/>
      <c r="F71" s="8"/>
      <c r="G71" s="8"/>
      <c r="H71" s="8"/>
      <c r="I71" s="76"/>
    </row>
    <row r="72">
      <c r="A72" s="8"/>
      <c r="B72" s="8"/>
      <c r="C72" s="18"/>
      <c r="D72" s="18"/>
      <c r="E72" s="8"/>
      <c r="F72" s="8"/>
      <c r="G72" s="8"/>
      <c r="H72" s="8"/>
      <c r="I72" s="76"/>
    </row>
    <row r="73">
      <c r="A73" s="8"/>
      <c r="B73" s="8"/>
      <c r="C73" s="18"/>
      <c r="D73" s="18"/>
      <c r="E73" s="8"/>
      <c r="F73" s="8"/>
      <c r="G73" s="8"/>
      <c r="H73" s="8"/>
      <c r="I73" s="76"/>
    </row>
    <row r="74">
      <c r="A74" s="8"/>
      <c r="B74" s="8"/>
      <c r="C74" s="18"/>
      <c r="D74" s="18"/>
      <c r="E74" s="8"/>
      <c r="F74" s="8"/>
      <c r="G74" s="8"/>
      <c r="H74" s="8"/>
      <c r="I74" s="76"/>
    </row>
    <row r="75">
      <c r="A75" s="8"/>
      <c r="B75" s="8"/>
      <c r="C75" s="18"/>
      <c r="D75" s="18"/>
      <c r="E75" s="8"/>
      <c r="F75" s="8"/>
      <c r="G75" s="8"/>
      <c r="H75" s="8"/>
      <c r="I75" s="76"/>
    </row>
    <row r="76">
      <c r="A76" s="8"/>
      <c r="B76" s="8"/>
      <c r="C76" s="18"/>
      <c r="D76" s="18"/>
      <c r="E76" s="8"/>
      <c r="F76" s="8"/>
      <c r="G76" s="8"/>
      <c r="H76" s="8"/>
      <c r="I76" s="76"/>
    </row>
    <row r="77">
      <c r="A77" s="8"/>
      <c r="B77" s="8"/>
      <c r="C77" s="18"/>
      <c r="D77" s="18"/>
      <c r="E77" s="8"/>
      <c r="F77" s="8"/>
      <c r="G77" s="8"/>
      <c r="H77" s="8"/>
      <c r="I77" s="76"/>
    </row>
    <row r="78">
      <c r="A78" s="8"/>
      <c r="B78" s="8"/>
      <c r="C78" s="18"/>
      <c r="D78" s="18"/>
      <c r="E78" s="8"/>
      <c r="F78" s="8"/>
      <c r="G78" s="8"/>
      <c r="H78" s="8"/>
      <c r="I78" s="76"/>
    </row>
    <row r="79">
      <c r="A79" s="8"/>
      <c r="B79" s="8"/>
      <c r="C79" s="18"/>
      <c r="D79" s="18"/>
      <c r="E79" s="8"/>
      <c r="F79" s="8"/>
      <c r="G79" s="8"/>
      <c r="H79" s="8"/>
      <c r="I79" s="76"/>
    </row>
    <row r="80">
      <c r="A80" s="8"/>
      <c r="B80" s="8"/>
      <c r="C80" s="18"/>
      <c r="D80" s="18"/>
      <c r="E80" s="8"/>
      <c r="F80" s="8"/>
      <c r="G80" s="8"/>
      <c r="H80" s="8"/>
      <c r="I80" s="76"/>
    </row>
    <row r="81">
      <c r="A81" s="8"/>
      <c r="B81" s="8"/>
      <c r="C81" s="18"/>
      <c r="D81" s="18"/>
      <c r="E81" s="8"/>
      <c r="F81" s="8"/>
      <c r="G81" s="8"/>
      <c r="H81" s="8"/>
      <c r="I81" s="76"/>
    </row>
    <row r="82">
      <c r="A82" s="8"/>
      <c r="B82" s="8"/>
      <c r="C82" s="18"/>
      <c r="D82" s="18"/>
      <c r="E82" s="8"/>
      <c r="F82" s="8"/>
      <c r="G82" s="8"/>
      <c r="H82" s="8"/>
      <c r="I82" s="76"/>
    </row>
    <row r="83">
      <c r="A83" s="8"/>
      <c r="B83" s="8"/>
      <c r="C83" s="18"/>
      <c r="D83" s="18"/>
      <c r="E83" s="8"/>
      <c r="F83" s="8"/>
      <c r="G83" s="8"/>
      <c r="H83" s="8"/>
      <c r="I83" s="76"/>
    </row>
    <row r="84">
      <c r="A84" s="8"/>
      <c r="B84" s="8"/>
      <c r="C84" s="18"/>
      <c r="D84" s="18"/>
      <c r="E84" s="8"/>
      <c r="F84" s="8"/>
      <c r="G84" s="8"/>
      <c r="H84" s="8"/>
      <c r="I84" s="76"/>
    </row>
    <row r="85">
      <c r="A85" s="8"/>
      <c r="B85" s="8"/>
      <c r="C85" s="18"/>
      <c r="D85" s="18"/>
      <c r="E85" s="8"/>
      <c r="F85" s="8"/>
      <c r="G85" s="8"/>
      <c r="H85" s="8"/>
      <c r="I85" s="76"/>
    </row>
    <row r="86">
      <c r="A86" s="8"/>
      <c r="B86" s="8"/>
      <c r="C86" s="18"/>
      <c r="D86" s="18"/>
      <c r="E86" s="8"/>
      <c r="F86" s="8"/>
      <c r="G86" s="8"/>
      <c r="H86" s="8"/>
      <c r="I86" s="76"/>
    </row>
    <row r="87">
      <c r="A87" s="8"/>
      <c r="B87" s="8"/>
      <c r="C87" s="18"/>
      <c r="D87" s="18"/>
      <c r="E87" s="8"/>
      <c r="F87" s="8"/>
      <c r="G87" s="8"/>
      <c r="H87" s="8"/>
      <c r="I87" s="76"/>
    </row>
    <row r="88">
      <c r="A88" s="8"/>
      <c r="B88" s="8"/>
      <c r="C88" s="18"/>
      <c r="D88" s="18"/>
      <c r="E88" s="8"/>
      <c r="F88" s="8"/>
      <c r="G88" s="8"/>
      <c r="H88" s="8"/>
      <c r="I88" s="76"/>
    </row>
    <row r="89">
      <c r="A89" s="8"/>
      <c r="B89" s="8"/>
      <c r="C89" s="18"/>
      <c r="D89" s="18"/>
      <c r="E89" s="8"/>
      <c r="F89" s="8"/>
      <c r="G89" s="8"/>
      <c r="H89" s="8"/>
      <c r="I89" s="76"/>
    </row>
    <row r="90">
      <c r="A90" s="8"/>
      <c r="B90" s="8"/>
      <c r="C90" s="18"/>
      <c r="D90" s="18"/>
      <c r="E90" s="8"/>
      <c r="F90" s="8"/>
      <c r="G90" s="8"/>
      <c r="H90" s="8"/>
      <c r="I90" s="76"/>
    </row>
    <row r="91">
      <c r="A91" s="8"/>
      <c r="B91" s="8"/>
      <c r="C91" s="18"/>
      <c r="D91" s="18"/>
      <c r="E91" s="8"/>
      <c r="F91" s="8"/>
      <c r="G91" s="8"/>
      <c r="H91" s="8"/>
      <c r="I91" s="76"/>
    </row>
    <row r="92">
      <c r="A92" s="8"/>
      <c r="B92" s="8"/>
      <c r="C92" s="18"/>
      <c r="D92" s="18"/>
      <c r="E92" s="8"/>
      <c r="F92" s="8"/>
      <c r="G92" s="8"/>
      <c r="H92" s="8"/>
      <c r="I92" s="76"/>
    </row>
    <row r="93">
      <c r="A93" s="8"/>
      <c r="B93" s="8"/>
      <c r="C93" s="18"/>
      <c r="D93" s="18"/>
      <c r="E93" s="8"/>
      <c r="F93" s="8"/>
      <c r="G93" s="8"/>
      <c r="H93" s="8"/>
      <c r="I93" s="76"/>
    </row>
    <row r="94">
      <c r="A94" s="8"/>
      <c r="B94" s="8"/>
      <c r="C94" s="18"/>
      <c r="D94" s="18"/>
      <c r="E94" s="8"/>
      <c r="F94" s="8"/>
      <c r="G94" s="8"/>
      <c r="H94" s="8"/>
      <c r="I94" s="76"/>
    </row>
    <row r="95">
      <c r="A95" s="8"/>
      <c r="B95" s="8"/>
      <c r="C95" s="18"/>
      <c r="D95" s="18"/>
      <c r="E95" s="8"/>
      <c r="F95" s="8"/>
      <c r="G95" s="8"/>
      <c r="H95" s="8"/>
      <c r="I95" s="76"/>
    </row>
    <row r="96">
      <c r="A96" s="8"/>
      <c r="B96" s="8"/>
      <c r="C96" s="18"/>
      <c r="D96" s="18"/>
      <c r="E96" s="8"/>
      <c r="F96" s="8"/>
      <c r="G96" s="8"/>
      <c r="H96" s="8"/>
      <c r="I96" s="76"/>
    </row>
    <row r="97">
      <c r="A97" s="8"/>
      <c r="B97" s="8"/>
      <c r="C97" s="18"/>
      <c r="D97" s="18"/>
      <c r="E97" s="8"/>
      <c r="F97" s="8"/>
      <c r="G97" s="8"/>
      <c r="H97" s="8"/>
      <c r="I97" s="76"/>
    </row>
    <row r="98">
      <c r="A98" s="8"/>
      <c r="B98" s="8"/>
      <c r="C98" s="18"/>
      <c r="D98" s="18"/>
      <c r="E98" s="8"/>
      <c r="F98" s="8"/>
      <c r="G98" s="8"/>
      <c r="H98" s="8"/>
      <c r="I98" s="76"/>
    </row>
    <row r="99">
      <c r="A99" s="8"/>
      <c r="B99" s="8"/>
      <c r="C99" s="18"/>
      <c r="D99" s="18"/>
      <c r="E99" s="8"/>
      <c r="F99" s="8"/>
      <c r="G99" s="8"/>
      <c r="H99" s="8"/>
      <c r="I99" s="76"/>
    </row>
    <row r="100">
      <c r="A100" s="8"/>
      <c r="B100" s="8"/>
      <c r="C100" s="18"/>
      <c r="D100" s="18"/>
      <c r="E100" s="8"/>
      <c r="F100" s="8"/>
      <c r="G100" s="8"/>
      <c r="H100" s="8"/>
      <c r="I100" s="76"/>
    </row>
    <row r="101">
      <c r="A101" s="8"/>
      <c r="B101" s="8"/>
      <c r="C101" s="18"/>
      <c r="D101" s="18"/>
      <c r="E101" s="8"/>
      <c r="F101" s="8"/>
      <c r="G101" s="8"/>
      <c r="H101" s="8"/>
      <c r="I101" s="76"/>
    </row>
    <row r="102">
      <c r="A102" s="8"/>
      <c r="B102" s="8"/>
      <c r="C102" s="18"/>
      <c r="D102" s="18"/>
      <c r="E102" s="8"/>
      <c r="F102" s="8"/>
      <c r="G102" s="8"/>
      <c r="H102" s="8"/>
      <c r="I102" s="76"/>
    </row>
    <row r="103">
      <c r="A103" s="8"/>
      <c r="B103" s="8"/>
      <c r="C103" s="18"/>
      <c r="D103" s="18"/>
      <c r="E103" s="8"/>
      <c r="F103" s="8"/>
      <c r="G103" s="8"/>
      <c r="H103" s="8"/>
      <c r="I103" s="76"/>
    </row>
    <row r="104">
      <c r="A104" s="8"/>
      <c r="B104" s="8"/>
      <c r="C104" s="18"/>
      <c r="D104" s="18"/>
      <c r="E104" s="8"/>
      <c r="F104" s="8"/>
      <c r="G104" s="8"/>
      <c r="H104" s="8"/>
      <c r="I104" s="76"/>
    </row>
    <row r="105">
      <c r="A105" s="8"/>
      <c r="B105" s="8"/>
      <c r="C105" s="18"/>
      <c r="D105" s="18"/>
      <c r="E105" s="8"/>
      <c r="F105" s="8"/>
      <c r="G105" s="8"/>
      <c r="H105" s="8"/>
      <c r="I105" s="76"/>
    </row>
    <row r="106">
      <c r="A106" s="8"/>
      <c r="B106" s="8"/>
      <c r="C106" s="18"/>
      <c r="D106" s="18"/>
      <c r="E106" s="8"/>
      <c r="F106" s="8"/>
      <c r="G106" s="8"/>
      <c r="H106" s="8"/>
      <c r="I106" s="76"/>
    </row>
    <row r="107">
      <c r="A107" s="8"/>
      <c r="B107" s="8"/>
      <c r="C107" s="18"/>
      <c r="D107" s="18"/>
      <c r="E107" s="8"/>
      <c r="F107" s="8"/>
      <c r="G107" s="8"/>
      <c r="H107" s="8"/>
      <c r="I107" s="76"/>
    </row>
    <row r="108">
      <c r="A108" s="8"/>
      <c r="B108" s="8"/>
      <c r="C108" s="18"/>
      <c r="D108" s="18"/>
      <c r="E108" s="8"/>
      <c r="F108" s="8"/>
      <c r="G108" s="8"/>
      <c r="H108" s="8"/>
      <c r="I108" s="76"/>
    </row>
    <row r="109">
      <c r="A109" s="8"/>
      <c r="B109" s="8"/>
      <c r="C109" s="18"/>
      <c r="D109" s="18"/>
      <c r="E109" s="8"/>
      <c r="F109" s="8"/>
      <c r="G109" s="8"/>
      <c r="H109" s="8"/>
      <c r="I109" s="76"/>
    </row>
    <row r="110">
      <c r="A110" s="8"/>
      <c r="B110" s="8"/>
      <c r="C110" s="18"/>
      <c r="D110" s="18"/>
      <c r="E110" s="8"/>
      <c r="F110" s="8"/>
      <c r="G110" s="8"/>
      <c r="H110" s="8"/>
      <c r="I110" s="76"/>
    </row>
    <row r="111">
      <c r="A111" s="8"/>
      <c r="B111" s="8"/>
      <c r="C111" s="18"/>
      <c r="D111" s="18"/>
      <c r="E111" s="8"/>
      <c r="F111" s="8"/>
      <c r="G111" s="8"/>
      <c r="H111" s="8"/>
      <c r="I111" s="76"/>
    </row>
    <row r="112">
      <c r="A112" s="8"/>
      <c r="B112" s="8"/>
      <c r="C112" s="18"/>
      <c r="D112" s="18"/>
      <c r="E112" s="8"/>
      <c r="F112" s="8"/>
      <c r="G112" s="8"/>
      <c r="H112" s="8"/>
      <c r="I112" s="76"/>
    </row>
    <row r="113">
      <c r="A113" s="8"/>
      <c r="B113" s="8"/>
      <c r="C113" s="18"/>
      <c r="D113" s="18"/>
      <c r="E113" s="8"/>
      <c r="F113" s="8"/>
      <c r="G113" s="8"/>
      <c r="H113" s="8"/>
      <c r="I113" s="76"/>
    </row>
    <row r="114">
      <c r="A114" s="8"/>
      <c r="B114" s="8"/>
      <c r="C114" s="18"/>
      <c r="D114" s="18"/>
      <c r="E114" s="8"/>
      <c r="F114" s="8"/>
      <c r="G114" s="8"/>
      <c r="H114" s="8"/>
      <c r="I114" s="76"/>
    </row>
    <row r="115">
      <c r="A115" s="8"/>
      <c r="B115" s="8"/>
      <c r="C115" s="18"/>
      <c r="D115" s="18"/>
      <c r="E115" s="8"/>
      <c r="F115" s="8"/>
      <c r="G115" s="8"/>
      <c r="H115" s="8"/>
      <c r="I115" s="76"/>
    </row>
    <row r="116">
      <c r="A116" s="8"/>
      <c r="B116" s="8"/>
      <c r="C116" s="18"/>
      <c r="D116" s="18"/>
      <c r="E116" s="8"/>
      <c r="F116" s="8"/>
      <c r="G116" s="8"/>
      <c r="H116" s="8"/>
      <c r="I116" s="76"/>
    </row>
    <row r="117">
      <c r="A117" s="8"/>
      <c r="B117" s="8"/>
      <c r="C117" s="18"/>
      <c r="D117" s="18"/>
      <c r="E117" s="8"/>
      <c r="F117" s="8"/>
      <c r="G117" s="8"/>
      <c r="H117" s="8"/>
      <c r="I117" s="76"/>
    </row>
    <row r="118">
      <c r="A118" s="8"/>
      <c r="B118" s="8"/>
      <c r="C118" s="18"/>
      <c r="D118" s="18"/>
      <c r="E118" s="8"/>
      <c r="F118" s="8"/>
      <c r="G118" s="8"/>
      <c r="H118" s="8"/>
      <c r="I118" s="76"/>
    </row>
    <row r="119">
      <c r="A119" s="8"/>
      <c r="B119" s="8"/>
      <c r="C119" s="18"/>
      <c r="D119" s="18"/>
      <c r="E119" s="8"/>
      <c r="F119" s="8"/>
      <c r="G119" s="8"/>
      <c r="H119" s="8"/>
      <c r="I119" s="76"/>
    </row>
    <row r="120">
      <c r="A120" s="8"/>
      <c r="B120" s="8"/>
      <c r="C120" s="18"/>
      <c r="D120" s="18"/>
      <c r="E120" s="8"/>
      <c r="F120" s="8"/>
      <c r="G120" s="8"/>
      <c r="H120" s="8"/>
      <c r="I120" s="76"/>
    </row>
    <row r="121">
      <c r="A121" s="8"/>
      <c r="B121" s="8"/>
      <c r="C121" s="18"/>
      <c r="D121" s="18"/>
      <c r="E121" s="8"/>
      <c r="F121" s="8"/>
      <c r="G121" s="8"/>
      <c r="H121" s="8"/>
      <c r="I121" s="76"/>
    </row>
    <row r="122">
      <c r="A122" s="8"/>
      <c r="B122" s="8"/>
      <c r="C122" s="18"/>
      <c r="D122" s="18"/>
      <c r="E122" s="8"/>
      <c r="F122" s="8"/>
      <c r="G122" s="8"/>
      <c r="H122" s="8"/>
      <c r="I122" s="76"/>
    </row>
    <row r="123">
      <c r="A123" s="8"/>
      <c r="B123" s="8"/>
      <c r="C123" s="18"/>
      <c r="D123" s="18"/>
      <c r="E123" s="8"/>
      <c r="F123" s="8"/>
      <c r="G123" s="8"/>
      <c r="H123" s="8"/>
      <c r="I123" s="76"/>
    </row>
    <row r="124">
      <c r="A124" s="8"/>
      <c r="B124" s="8"/>
      <c r="C124" s="18"/>
      <c r="D124" s="18"/>
      <c r="E124" s="8"/>
      <c r="F124" s="8"/>
      <c r="G124" s="8"/>
      <c r="H124" s="8"/>
      <c r="I124" s="76"/>
    </row>
    <row r="125">
      <c r="A125" s="8"/>
      <c r="B125" s="8"/>
      <c r="C125" s="18"/>
      <c r="D125" s="18"/>
      <c r="E125" s="8"/>
      <c r="F125" s="8"/>
      <c r="G125" s="8"/>
      <c r="H125" s="8"/>
      <c r="I125" s="76"/>
    </row>
    <row r="126">
      <c r="A126" s="8"/>
      <c r="B126" s="8"/>
      <c r="C126" s="18"/>
      <c r="D126" s="18"/>
      <c r="E126" s="8"/>
      <c r="F126" s="8"/>
      <c r="G126" s="8"/>
      <c r="H126" s="8"/>
      <c r="I126" s="76"/>
    </row>
    <row r="127">
      <c r="A127" s="8"/>
      <c r="B127" s="8"/>
      <c r="C127" s="18"/>
      <c r="D127" s="18"/>
      <c r="E127" s="8"/>
      <c r="F127" s="8"/>
      <c r="G127" s="8"/>
      <c r="H127" s="8"/>
      <c r="I127" s="76"/>
    </row>
    <row r="128">
      <c r="A128" s="8"/>
      <c r="B128" s="8"/>
      <c r="C128" s="18"/>
      <c r="D128" s="18"/>
      <c r="E128" s="8"/>
      <c r="F128" s="8"/>
      <c r="G128" s="8"/>
      <c r="H128" s="8"/>
      <c r="I128" s="76"/>
    </row>
    <row r="129">
      <c r="A129" s="8"/>
      <c r="B129" s="8"/>
      <c r="C129" s="18"/>
      <c r="D129" s="18"/>
      <c r="E129" s="8"/>
      <c r="F129" s="8"/>
      <c r="G129" s="8"/>
      <c r="H129" s="8"/>
      <c r="I129" s="76"/>
    </row>
    <row r="130">
      <c r="A130" s="8"/>
      <c r="B130" s="8"/>
      <c r="C130" s="18"/>
      <c r="D130" s="18"/>
      <c r="E130" s="8"/>
      <c r="F130" s="8"/>
      <c r="G130" s="8"/>
      <c r="H130" s="8"/>
      <c r="I130" s="76"/>
    </row>
    <row r="131">
      <c r="A131" s="8"/>
      <c r="B131" s="8"/>
      <c r="C131" s="18"/>
      <c r="D131" s="18"/>
      <c r="E131" s="8"/>
      <c r="F131" s="8"/>
      <c r="G131" s="8"/>
      <c r="H131" s="8"/>
      <c r="I131" s="76"/>
    </row>
    <row r="132">
      <c r="A132" s="8"/>
      <c r="B132" s="8"/>
      <c r="C132" s="18"/>
      <c r="D132" s="18"/>
      <c r="E132" s="8"/>
      <c r="F132" s="8"/>
      <c r="G132" s="8"/>
      <c r="H132" s="8"/>
      <c r="I132" s="76"/>
    </row>
    <row r="133">
      <c r="A133" s="8"/>
      <c r="B133" s="8"/>
      <c r="C133" s="18"/>
      <c r="D133" s="18"/>
      <c r="E133" s="8"/>
      <c r="F133" s="8"/>
      <c r="G133" s="8"/>
      <c r="H133" s="8"/>
      <c r="I133" s="76"/>
    </row>
    <row r="134">
      <c r="A134" s="8"/>
      <c r="B134" s="8"/>
      <c r="C134" s="18"/>
      <c r="D134" s="18"/>
      <c r="E134" s="8"/>
      <c r="F134" s="8"/>
      <c r="G134" s="8"/>
      <c r="H134" s="8"/>
      <c r="I134" s="76"/>
    </row>
    <row r="135">
      <c r="A135" s="8"/>
      <c r="B135" s="8"/>
      <c r="C135" s="18"/>
      <c r="D135" s="18"/>
      <c r="E135" s="8"/>
      <c r="F135" s="8"/>
      <c r="G135" s="8"/>
      <c r="H135" s="8"/>
      <c r="I135" s="76"/>
    </row>
    <row r="136">
      <c r="A136" s="8"/>
      <c r="B136" s="8"/>
      <c r="C136" s="18"/>
      <c r="D136" s="18"/>
      <c r="E136" s="8"/>
      <c r="F136" s="8"/>
      <c r="G136" s="8"/>
      <c r="H136" s="8"/>
      <c r="I136" s="76"/>
    </row>
    <row r="137">
      <c r="A137" s="8"/>
      <c r="B137" s="8"/>
      <c r="C137" s="18"/>
      <c r="D137" s="18"/>
      <c r="E137" s="8"/>
      <c r="F137" s="8"/>
      <c r="G137" s="8"/>
      <c r="H137" s="8"/>
      <c r="I137" s="76"/>
    </row>
    <row r="138">
      <c r="A138" s="8"/>
      <c r="B138" s="8"/>
      <c r="C138" s="18"/>
      <c r="D138" s="18"/>
      <c r="E138" s="8"/>
      <c r="F138" s="8"/>
      <c r="G138" s="8"/>
      <c r="H138" s="8"/>
      <c r="I138" s="76"/>
    </row>
    <row r="139">
      <c r="A139" s="8"/>
      <c r="B139" s="8"/>
      <c r="C139" s="18"/>
      <c r="D139" s="18"/>
      <c r="E139" s="8"/>
      <c r="F139" s="8"/>
      <c r="G139" s="8"/>
      <c r="H139" s="8"/>
      <c r="I139" s="76"/>
    </row>
    <row r="140">
      <c r="A140" s="8"/>
      <c r="B140" s="8"/>
      <c r="C140" s="18"/>
      <c r="D140" s="18"/>
      <c r="E140" s="8"/>
      <c r="F140" s="8"/>
      <c r="G140" s="8"/>
      <c r="H140" s="8"/>
      <c r="I140" s="76"/>
    </row>
    <row r="141">
      <c r="A141" s="8"/>
      <c r="B141" s="8"/>
      <c r="C141" s="18"/>
      <c r="D141" s="18"/>
      <c r="E141" s="8"/>
      <c r="F141" s="8"/>
      <c r="G141" s="8"/>
      <c r="H141" s="8"/>
      <c r="I141" s="76"/>
    </row>
    <row r="142">
      <c r="A142" s="8"/>
      <c r="B142" s="8"/>
      <c r="C142" s="18"/>
      <c r="D142" s="18"/>
      <c r="E142" s="8"/>
      <c r="F142" s="8"/>
      <c r="G142" s="8"/>
      <c r="H142" s="8"/>
      <c r="I142" s="76"/>
    </row>
    <row r="143">
      <c r="A143" s="8"/>
      <c r="B143" s="8"/>
      <c r="C143" s="18"/>
      <c r="D143" s="18"/>
      <c r="E143" s="8"/>
      <c r="F143" s="8"/>
      <c r="G143" s="8"/>
      <c r="H143" s="8"/>
      <c r="I143" s="76"/>
    </row>
    <row r="144">
      <c r="A144" s="8"/>
      <c r="B144" s="8"/>
      <c r="C144" s="18"/>
      <c r="D144" s="18"/>
      <c r="E144" s="8"/>
      <c r="F144" s="8"/>
      <c r="G144" s="8"/>
      <c r="H144" s="8"/>
      <c r="I144" s="76"/>
    </row>
    <row r="145">
      <c r="A145" s="8"/>
      <c r="B145" s="8"/>
      <c r="C145" s="18"/>
      <c r="D145" s="18"/>
      <c r="E145" s="8"/>
      <c r="F145" s="8"/>
      <c r="G145" s="8"/>
      <c r="H145" s="8"/>
      <c r="I145" s="76"/>
    </row>
    <row r="146">
      <c r="A146" s="8"/>
      <c r="B146" s="8"/>
      <c r="C146" s="18"/>
      <c r="D146" s="18"/>
      <c r="E146" s="8"/>
      <c r="F146" s="8"/>
      <c r="G146" s="8"/>
      <c r="H146" s="8"/>
      <c r="I146" s="76"/>
    </row>
    <row r="147">
      <c r="A147" s="8"/>
      <c r="B147" s="8"/>
      <c r="C147" s="18"/>
      <c r="D147" s="18"/>
      <c r="E147" s="8"/>
      <c r="F147" s="8"/>
      <c r="G147" s="8"/>
      <c r="H147" s="8"/>
      <c r="I147" s="76"/>
    </row>
    <row r="148">
      <c r="A148" s="8"/>
      <c r="B148" s="8"/>
      <c r="C148" s="18"/>
      <c r="D148" s="18"/>
      <c r="E148" s="8"/>
      <c r="F148" s="8"/>
      <c r="G148" s="8"/>
      <c r="H148" s="8"/>
      <c r="I148" s="76"/>
    </row>
    <row r="149">
      <c r="A149" s="8"/>
      <c r="B149" s="8"/>
      <c r="C149" s="18"/>
      <c r="D149" s="18"/>
      <c r="E149" s="8"/>
      <c r="F149" s="8"/>
      <c r="G149" s="8"/>
      <c r="H149" s="8"/>
      <c r="I149" s="76"/>
    </row>
    <row r="150">
      <c r="A150" s="8"/>
      <c r="B150" s="8"/>
      <c r="C150" s="18"/>
      <c r="D150" s="18"/>
      <c r="E150" s="8"/>
      <c r="F150" s="8"/>
      <c r="G150" s="8"/>
      <c r="H150" s="8"/>
      <c r="I150" s="76"/>
    </row>
    <row r="151">
      <c r="A151" s="8"/>
      <c r="B151" s="8"/>
      <c r="C151" s="18"/>
      <c r="D151" s="18"/>
      <c r="E151" s="8"/>
      <c r="F151" s="8"/>
      <c r="G151" s="8"/>
      <c r="H151" s="8"/>
      <c r="I151" s="76"/>
    </row>
    <row r="152">
      <c r="A152" s="8"/>
      <c r="B152" s="8"/>
      <c r="C152" s="18"/>
      <c r="D152" s="18"/>
      <c r="E152" s="8"/>
      <c r="F152" s="8"/>
      <c r="G152" s="8"/>
      <c r="H152" s="8"/>
      <c r="I152" s="76"/>
    </row>
    <row r="153">
      <c r="A153" s="8"/>
      <c r="B153" s="8"/>
      <c r="C153" s="18"/>
      <c r="D153" s="18"/>
      <c r="E153" s="8"/>
      <c r="F153" s="8"/>
      <c r="G153" s="8"/>
      <c r="H153" s="8"/>
      <c r="I153" s="76"/>
    </row>
    <row r="154">
      <c r="A154" s="8"/>
      <c r="B154" s="8"/>
      <c r="C154" s="18"/>
      <c r="D154" s="18"/>
      <c r="E154" s="8"/>
      <c r="F154" s="8"/>
      <c r="G154" s="8"/>
      <c r="H154" s="8"/>
      <c r="I154" s="76"/>
    </row>
    <row r="155">
      <c r="A155" s="8"/>
      <c r="B155" s="8"/>
      <c r="C155" s="18"/>
      <c r="D155" s="18"/>
      <c r="E155" s="8"/>
      <c r="F155" s="8"/>
      <c r="G155" s="8"/>
      <c r="H155" s="8"/>
      <c r="I155" s="76"/>
    </row>
    <row r="156">
      <c r="A156" s="8"/>
      <c r="B156" s="8"/>
      <c r="C156" s="18"/>
      <c r="D156" s="18"/>
      <c r="E156" s="8"/>
      <c r="F156" s="8"/>
      <c r="G156" s="8"/>
      <c r="H156" s="8"/>
      <c r="I156" s="76"/>
    </row>
    <row r="157">
      <c r="A157" s="8"/>
      <c r="B157" s="8"/>
      <c r="C157" s="18"/>
      <c r="D157" s="18"/>
      <c r="E157" s="8"/>
      <c r="F157" s="8"/>
      <c r="G157" s="8"/>
      <c r="H157" s="8"/>
      <c r="I157" s="76"/>
    </row>
    <row r="158">
      <c r="A158" s="8"/>
      <c r="B158" s="8"/>
      <c r="C158" s="18"/>
      <c r="D158" s="18"/>
      <c r="E158" s="8"/>
      <c r="F158" s="8"/>
      <c r="G158" s="8"/>
      <c r="H158" s="8"/>
      <c r="I158" s="76"/>
    </row>
    <row r="159">
      <c r="A159" s="8"/>
      <c r="B159" s="8"/>
      <c r="C159" s="18"/>
      <c r="D159" s="18"/>
      <c r="E159" s="8"/>
      <c r="F159" s="8"/>
      <c r="G159" s="8"/>
      <c r="H159" s="8"/>
      <c r="I159" s="76"/>
    </row>
    <row r="160">
      <c r="A160" s="8"/>
      <c r="B160" s="8"/>
      <c r="C160" s="18"/>
      <c r="D160" s="18"/>
      <c r="E160" s="8"/>
      <c r="F160" s="8"/>
      <c r="G160" s="8"/>
      <c r="H160" s="8"/>
      <c r="I160" s="76"/>
    </row>
    <row r="161">
      <c r="A161" s="8"/>
      <c r="B161" s="8"/>
      <c r="C161" s="18"/>
      <c r="D161" s="18"/>
      <c r="E161" s="8"/>
      <c r="F161" s="8"/>
      <c r="G161" s="8"/>
      <c r="H161" s="8"/>
      <c r="I161" s="76"/>
    </row>
    <row r="162">
      <c r="A162" s="8"/>
      <c r="B162" s="8"/>
      <c r="C162" s="18"/>
      <c r="D162" s="18"/>
      <c r="E162" s="8"/>
      <c r="F162" s="8"/>
      <c r="G162" s="8"/>
      <c r="H162" s="8"/>
      <c r="I162" s="76"/>
    </row>
    <row r="163">
      <c r="A163" s="8"/>
      <c r="B163" s="8"/>
      <c r="C163" s="18"/>
      <c r="D163" s="18"/>
      <c r="E163" s="8"/>
      <c r="F163" s="8"/>
      <c r="G163" s="8"/>
      <c r="H163" s="8"/>
      <c r="I163" s="76"/>
    </row>
    <row r="164">
      <c r="A164" s="8"/>
      <c r="B164" s="8"/>
      <c r="C164" s="18"/>
      <c r="D164" s="18"/>
      <c r="E164" s="8"/>
      <c r="F164" s="8"/>
      <c r="G164" s="8"/>
      <c r="H164" s="8"/>
      <c r="I164" s="76"/>
    </row>
    <row r="165">
      <c r="A165" s="8"/>
      <c r="B165" s="8"/>
      <c r="C165" s="18"/>
      <c r="D165" s="18"/>
      <c r="E165" s="8"/>
      <c r="F165" s="8"/>
      <c r="G165" s="8"/>
      <c r="H165" s="8"/>
      <c r="I165" s="76"/>
    </row>
    <row r="166">
      <c r="A166" s="8"/>
      <c r="B166" s="8"/>
      <c r="C166" s="18"/>
      <c r="D166" s="18"/>
      <c r="E166" s="8"/>
      <c r="F166" s="8"/>
      <c r="G166" s="8"/>
      <c r="H166" s="8"/>
      <c r="I166" s="76"/>
    </row>
    <row r="167">
      <c r="A167" s="8"/>
      <c r="B167" s="8"/>
      <c r="C167" s="18"/>
      <c r="D167" s="18"/>
      <c r="E167" s="8"/>
      <c r="F167" s="8"/>
      <c r="G167" s="8"/>
      <c r="H167" s="8"/>
      <c r="I167" s="76"/>
    </row>
    <row r="168">
      <c r="A168" s="8"/>
      <c r="B168" s="8"/>
      <c r="C168" s="18"/>
      <c r="D168" s="18"/>
      <c r="E168" s="8"/>
      <c r="F168" s="8"/>
      <c r="G168" s="8"/>
      <c r="H168" s="8"/>
      <c r="I168" s="76"/>
    </row>
    <row r="169">
      <c r="A169" s="8"/>
      <c r="B169" s="8"/>
      <c r="C169" s="18"/>
      <c r="D169" s="18"/>
      <c r="E169" s="8"/>
      <c r="F169" s="8"/>
      <c r="G169" s="8"/>
      <c r="H169" s="8"/>
      <c r="I169" s="76"/>
    </row>
    <row r="170">
      <c r="A170" s="8"/>
      <c r="B170" s="8"/>
      <c r="C170" s="18"/>
      <c r="D170" s="18"/>
      <c r="E170" s="8"/>
      <c r="F170" s="8"/>
      <c r="G170" s="8"/>
      <c r="H170" s="8"/>
      <c r="I170" s="76"/>
    </row>
    <row r="171">
      <c r="A171" s="8"/>
      <c r="B171" s="8"/>
      <c r="C171" s="18"/>
      <c r="D171" s="18"/>
      <c r="E171" s="8"/>
      <c r="F171" s="8"/>
      <c r="G171" s="8"/>
      <c r="H171" s="8"/>
      <c r="I171" s="76"/>
    </row>
    <row r="172">
      <c r="A172" s="8"/>
      <c r="B172" s="8"/>
      <c r="C172" s="18"/>
      <c r="D172" s="18"/>
      <c r="E172" s="8"/>
      <c r="F172" s="8"/>
      <c r="G172" s="8"/>
      <c r="H172" s="8"/>
      <c r="I172" s="76"/>
    </row>
    <row r="173">
      <c r="A173" s="8"/>
      <c r="B173" s="8"/>
      <c r="C173" s="18"/>
      <c r="D173" s="18"/>
      <c r="E173" s="8"/>
      <c r="F173" s="8"/>
      <c r="G173" s="8"/>
      <c r="H173" s="8"/>
      <c r="I173" s="76"/>
    </row>
    <row r="174">
      <c r="A174" s="8"/>
      <c r="B174" s="8"/>
      <c r="C174" s="18"/>
      <c r="D174" s="18"/>
      <c r="E174" s="8"/>
      <c r="F174" s="8"/>
      <c r="G174" s="8"/>
      <c r="H174" s="8"/>
      <c r="I174" s="76"/>
    </row>
    <row r="175">
      <c r="A175" s="8"/>
      <c r="B175" s="8"/>
      <c r="C175" s="18"/>
      <c r="D175" s="18"/>
      <c r="E175" s="8"/>
      <c r="F175" s="8"/>
      <c r="G175" s="8"/>
      <c r="H175" s="8"/>
      <c r="I175" s="76"/>
    </row>
    <row r="176">
      <c r="A176" s="8"/>
      <c r="B176" s="8"/>
      <c r="C176" s="18"/>
      <c r="D176" s="18"/>
      <c r="E176" s="8"/>
      <c r="F176" s="8"/>
      <c r="G176" s="8"/>
      <c r="H176" s="8"/>
      <c r="I176" s="76"/>
    </row>
    <row r="177">
      <c r="A177" s="8"/>
      <c r="B177" s="8"/>
      <c r="C177" s="18"/>
      <c r="D177" s="18"/>
      <c r="E177" s="8"/>
      <c r="F177" s="8"/>
      <c r="G177" s="8"/>
      <c r="H177" s="8"/>
      <c r="I177" s="76"/>
    </row>
    <row r="178">
      <c r="A178" s="8"/>
      <c r="B178" s="8"/>
      <c r="C178" s="18"/>
      <c r="D178" s="18"/>
      <c r="E178" s="8"/>
      <c r="F178" s="8"/>
      <c r="G178" s="8"/>
      <c r="H178" s="8"/>
      <c r="I178" s="76"/>
    </row>
    <row r="179">
      <c r="A179" s="8"/>
      <c r="B179" s="8"/>
      <c r="C179" s="18"/>
      <c r="D179" s="18"/>
      <c r="E179" s="8"/>
      <c r="F179" s="8"/>
      <c r="G179" s="8"/>
      <c r="H179" s="8"/>
      <c r="I179" s="76"/>
    </row>
    <row r="180">
      <c r="A180" s="8"/>
      <c r="B180" s="8"/>
      <c r="C180" s="18"/>
      <c r="D180" s="18"/>
      <c r="E180" s="8"/>
      <c r="F180" s="8"/>
      <c r="G180" s="8"/>
      <c r="H180" s="8"/>
      <c r="I180" s="76"/>
    </row>
    <row r="181">
      <c r="A181" s="8"/>
      <c r="B181" s="8"/>
      <c r="C181" s="18"/>
      <c r="D181" s="18"/>
      <c r="E181" s="8"/>
      <c r="F181" s="8"/>
      <c r="G181" s="8"/>
      <c r="H181" s="8"/>
      <c r="I181" s="76"/>
    </row>
    <row r="182">
      <c r="A182" s="8"/>
      <c r="B182" s="8"/>
      <c r="C182" s="18"/>
      <c r="D182" s="18"/>
      <c r="E182" s="8"/>
      <c r="F182" s="8"/>
      <c r="G182" s="8"/>
      <c r="H182" s="8"/>
      <c r="I182" s="76"/>
    </row>
    <row r="183">
      <c r="A183" s="8"/>
      <c r="B183" s="8"/>
      <c r="C183" s="18"/>
      <c r="D183" s="18"/>
      <c r="E183" s="8"/>
      <c r="F183" s="8"/>
      <c r="G183" s="8"/>
      <c r="H183" s="8"/>
      <c r="I183" s="76"/>
    </row>
    <row r="184">
      <c r="A184" s="8"/>
      <c r="B184" s="8"/>
      <c r="C184" s="18"/>
      <c r="D184" s="18"/>
      <c r="E184" s="8"/>
      <c r="F184" s="8"/>
      <c r="G184" s="8"/>
      <c r="H184" s="8"/>
      <c r="I184" s="76"/>
    </row>
    <row r="185">
      <c r="A185" s="8"/>
      <c r="B185" s="8"/>
      <c r="C185" s="18"/>
      <c r="D185" s="18"/>
      <c r="E185" s="8"/>
      <c r="F185" s="8"/>
      <c r="G185" s="8"/>
      <c r="H185" s="8"/>
      <c r="I185" s="76"/>
    </row>
    <row r="186">
      <c r="A186" s="8"/>
      <c r="B186" s="8"/>
      <c r="C186" s="18"/>
      <c r="D186" s="18"/>
      <c r="E186" s="8"/>
      <c r="F186" s="8"/>
      <c r="G186" s="8"/>
      <c r="H186" s="8"/>
      <c r="I186" s="76"/>
    </row>
    <row r="187">
      <c r="A187" s="8"/>
      <c r="B187" s="8"/>
      <c r="C187" s="18"/>
      <c r="D187" s="18"/>
      <c r="E187" s="8"/>
      <c r="F187" s="8"/>
      <c r="G187" s="8"/>
      <c r="H187" s="8"/>
      <c r="I187" s="76"/>
    </row>
    <row r="188">
      <c r="A188" s="8"/>
      <c r="B188" s="8"/>
      <c r="C188" s="18"/>
      <c r="D188" s="18"/>
      <c r="E188" s="8"/>
      <c r="F188" s="8"/>
      <c r="G188" s="8"/>
      <c r="H188" s="8"/>
      <c r="I188" s="76"/>
    </row>
    <row r="189">
      <c r="A189" s="8"/>
      <c r="B189" s="8"/>
      <c r="C189" s="18"/>
      <c r="D189" s="18"/>
      <c r="E189" s="8"/>
      <c r="F189" s="8"/>
      <c r="G189" s="8"/>
      <c r="H189" s="8"/>
      <c r="I189" s="76"/>
    </row>
    <row r="190">
      <c r="A190" s="8"/>
      <c r="B190" s="8"/>
      <c r="C190" s="18"/>
      <c r="D190" s="18"/>
      <c r="E190" s="8"/>
      <c r="F190" s="8"/>
      <c r="G190" s="8"/>
      <c r="H190" s="8"/>
      <c r="I190" s="76"/>
    </row>
    <row r="191">
      <c r="A191" s="8"/>
      <c r="B191" s="8"/>
      <c r="C191" s="18"/>
      <c r="D191" s="18"/>
      <c r="E191" s="8"/>
      <c r="F191" s="8"/>
      <c r="G191" s="8"/>
      <c r="H191" s="8"/>
      <c r="I191" s="76"/>
    </row>
    <row r="192">
      <c r="A192" s="8"/>
      <c r="B192" s="8"/>
      <c r="C192" s="18"/>
      <c r="D192" s="18"/>
      <c r="E192" s="8"/>
      <c r="F192" s="8"/>
      <c r="G192" s="8"/>
      <c r="H192" s="8"/>
      <c r="I192" s="76"/>
    </row>
    <row r="193">
      <c r="A193" s="8"/>
      <c r="B193" s="8"/>
      <c r="C193" s="18"/>
      <c r="D193" s="18"/>
      <c r="E193" s="8"/>
      <c r="F193" s="8"/>
      <c r="G193" s="8"/>
      <c r="H193" s="8"/>
      <c r="I193" s="76"/>
    </row>
    <row r="194">
      <c r="A194" s="8"/>
      <c r="B194" s="8"/>
      <c r="C194" s="18"/>
      <c r="D194" s="18"/>
      <c r="E194" s="8"/>
      <c r="F194" s="8"/>
      <c r="G194" s="8"/>
      <c r="H194" s="8"/>
      <c r="I194" s="76"/>
    </row>
    <row r="195">
      <c r="A195" s="8"/>
      <c r="B195" s="8"/>
      <c r="C195" s="18"/>
      <c r="D195" s="18"/>
      <c r="E195" s="8"/>
      <c r="F195" s="8"/>
      <c r="G195" s="8"/>
      <c r="H195" s="8"/>
      <c r="I195" s="76"/>
    </row>
    <row r="196">
      <c r="A196" s="8"/>
      <c r="B196" s="8"/>
      <c r="C196" s="18"/>
      <c r="D196" s="18"/>
      <c r="E196" s="8"/>
      <c r="F196" s="8"/>
      <c r="G196" s="8"/>
      <c r="H196" s="8"/>
      <c r="I196" s="76"/>
    </row>
    <row r="197">
      <c r="A197" s="8"/>
      <c r="B197" s="8"/>
      <c r="C197" s="18"/>
      <c r="D197" s="18"/>
      <c r="E197" s="8"/>
      <c r="F197" s="8"/>
      <c r="G197" s="8"/>
      <c r="H197" s="8"/>
      <c r="I197" s="76"/>
    </row>
    <row r="198">
      <c r="A198" s="8"/>
      <c r="B198" s="8"/>
      <c r="C198" s="18"/>
      <c r="D198" s="18"/>
      <c r="E198" s="8"/>
      <c r="F198" s="8"/>
      <c r="G198" s="8"/>
      <c r="H198" s="8"/>
      <c r="I198" s="76"/>
    </row>
    <row r="199">
      <c r="A199" s="8"/>
      <c r="B199" s="8"/>
      <c r="C199" s="18"/>
      <c r="D199" s="18"/>
      <c r="E199" s="8"/>
      <c r="F199" s="8"/>
      <c r="G199" s="8"/>
      <c r="H199" s="8"/>
      <c r="I199" s="76"/>
    </row>
    <row r="200">
      <c r="A200" s="8"/>
      <c r="B200" s="8"/>
      <c r="C200" s="18"/>
      <c r="D200" s="18"/>
      <c r="E200" s="8"/>
      <c r="F200" s="8"/>
      <c r="G200" s="8"/>
      <c r="H200" s="8"/>
      <c r="I200" s="76"/>
    </row>
    <row r="201">
      <c r="A201" s="8"/>
      <c r="B201" s="8"/>
      <c r="C201" s="18"/>
      <c r="D201" s="18"/>
      <c r="E201" s="8"/>
      <c r="F201" s="8"/>
      <c r="G201" s="8"/>
      <c r="H201" s="8"/>
      <c r="I201" s="76"/>
    </row>
    <row r="202">
      <c r="A202" s="8"/>
      <c r="B202" s="8"/>
      <c r="C202" s="18"/>
      <c r="D202" s="18"/>
      <c r="E202" s="8"/>
      <c r="F202" s="8"/>
      <c r="G202" s="8"/>
      <c r="H202" s="8"/>
      <c r="I202" s="76"/>
    </row>
    <row r="203">
      <c r="A203" s="8"/>
      <c r="B203" s="8"/>
      <c r="C203" s="18"/>
      <c r="D203" s="18"/>
      <c r="E203" s="8"/>
      <c r="F203" s="8"/>
      <c r="G203" s="8"/>
      <c r="H203" s="8"/>
      <c r="I203" s="76"/>
    </row>
    <row r="204">
      <c r="A204" s="8"/>
      <c r="B204" s="8"/>
      <c r="C204" s="18"/>
      <c r="D204" s="18"/>
      <c r="E204" s="8"/>
      <c r="F204" s="8"/>
      <c r="G204" s="8"/>
      <c r="H204" s="8"/>
      <c r="I204" s="76"/>
    </row>
    <row r="205">
      <c r="A205" s="8"/>
      <c r="B205" s="8"/>
      <c r="C205" s="18"/>
      <c r="D205" s="18"/>
      <c r="E205" s="8"/>
      <c r="F205" s="8"/>
      <c r="G205" s="8"/>
      <c r="H205" s="8"/>
      <c r="I205" s="76"/>
    </row>
    <row r="206">
      <c r="A206" s="8"/>
      <c r="B206" s="8"/>
      <c r="C206" s="18"/>
      <c r="D206" s="18"/>
      <c r="E206" s="8"/>
      <c r="F206" s="8"/>
      <c r="G206" s="8"/>
      <c r="H206" s="8"/>
      <c r="I206" s="76"/>
    </row>
    <row r="207">
      <c r="A207" s="8"/>
      <c r="B207" s="8"/>
      <c r="C207" s="18"/>
      <c r="D207" s="18"/>
      <c r="E207" s="8"/>
      <c r="F207" s="8"/>
      <c r="G207" s="8"/>
      <c r="H207" s="8"/>
      <c r="I207" s="76"/>
    </row>
    <row r="208">
      <c r="A208" s="8"/>
      <c r="B208" s="8"/>
      <c r="C208" s="18"/>
      <c r="D208" s="18"/>
      <c r="E208" s="8"/>
      <c r="F208" s="8"/>
      <c r="G208" s="8"/>
      <c r="H208" s="8"/>
      <c r="I208" s="76"/>
    </row>
    <row r="209">
      <c r="A209" s="8"/>
      <c r="B209" s="8"/>
      <c r="C209" s="18"/>
      <c r="D209" s="18"/>
      <c r="E209" s="8"/>
      <c r="F209" s="8"/>
      <c r="G209" s="8"/>
      <c r="H209" s="8"/>
      <c r="I209" s="76"/>
    </row>
    <row r="210">
      <c r="A210" s="8"/>
      <c r="B210" s="8"/>
      <c r="C210" s="18"/>
      <c r="D210" s="18"/>
      <c r="E210" s="8"/>
      <c r="F210" s="8"/>
      <c r="G210" s="8"/>
      <c r="H210" s="8"/>
      <c r="I210" s="76"/>
    </row>
    <row r="211">
      <c r="A211" s="8"/>
      <c r="B211" s="8"/>
      <c r="C211" s="18"/>
      <c r="D211" s="18"/>
      <c r="E211" s="8"/>
      <c r="F211" s="8"/>
      <c r="G211" s="8"/>
      <c r="H211" s="8"/>
      <c r="I211" s="76"/>
    </row>
    <row r="212">
      <c r="A212" s="8"/>
      <c r="B212" s="8"/>
      <c r="C212" s="18"/>
      <c r="D212" s="18"/>
      <c r="E212" s="8"/>
      <c r="F212" s="8"/>
      <c r="G212" s="8"/>
      <c r="H212" s="8"/>
      <c r="I212" s="76"/>
    </row>
    <row r="213">
      <c r="A213" s="8"/>
      <c r="B213" s="8"/>
      <c r="C213" s="18"/>
      <c r="D213" s="18"/>
      <c r="E213" s="8"/>
      <c r="F213" s="8"/>
      <c r="G213" s="8"/>
      <c r="H213" s="8"/>
      <c r="I213" s="76"/>
    </row>
    <row r="214">
      <c r="A214" s="8"/>
      <c r="B214" s="8"/>
      <c r="C214" s="18"/>
      <c r="D214" s="18"/>
      <c r="E214" s="8"/>
      <c r="F214" s="8"/>
      <c r="G214" s="8"/>
      <c r="H214" s="8"/>
      <c r="I214" s="76"/>
    </row>
    <row r="215">
      <c r="A215" s="8"/>
      <c r="B215" s="8"/>
      <c r="C215" s="18"/>
      <c r="D215" s="18"/>
      <c r="E215" s="8"/>
      <c r="F215" s="8"/>
      <c r="G215" s="8"/>
      <c r="H215" s="8"/>
      <c r="I215" s="76"/>
    </row>
    <row r="216">
      <c r="A216" s="8"/>
      <c r="B216" s="8"/>
      <c r="C216" s="18"/>
      <c r="D216" s="18"/>
      <c r="E216" s="8"/>
      <c r="F216" s="8"/>
      <c r="G216" s="8"/>
      <c r="H216" s="8"/>
      <c r="I216" s="76"/>
    </row>
    <row r="217">
      <c r="A217" s="8"/>
      <c r="B217" s="8"/>
      <c r="C217" s="18"/>
      <c r="D217" s="18"/>
      <c r="E217" s="8"/>
      <c r="F217" s="8"/>
      <c r="G217" s="8"/>
      <c r="H217" s="8"/>
      <c r="I217" s="76"/>
    </row>
    <row r="218">
      <c r="A218" s="8"/>
      <c r="B218" s="8"/>
      <c r="C218" s="18"/>
      <c r="D218" s="18"/>
      <c r="E218" s="8"/>
      <c r="F218" s="8"/>
      <c r="G218" s="8"/>
      <c r="H218" s="8"/>
      <c r="I218" s="76"/>
    </row>
    <row r="219">
      <c r="A219" s="8"/>
      <c r="B219" s="8"/>
      <c r="C219" s="18"/>
      <c r="D219" s="18"/>
      <c r="E219" s="8"/>
      <c r="F219" s="8"/>
      <c r="G219" s="8"/>
      <c r="H219" s="8"/>
      <c r="I219" s="76"/>
    </row>
    <row r="220">
      <c r="A220" s="8"/>
      <c r="B220" s="8"/>
      <c r="C220" s="18"/>
      <c r="D220" s="18"/>
      <c r="E220" s="8"/>
      <c r="F220" s="8"/>
      <c r="G220" s="8"/>
      <c r="H220" s="8"/>
      <c r="I220" s="76"/>
    </row>
    <row r="221">
      <c r="A221" s="8"/>
      <c r="B221" s="8"/>
      <c r="C221" s="18"/>
      <c r="D221" s="18"/>
      <c r="E221" s="8"/>
      <c r="F221" s="8"/>
      <c r="G221" s="8"/>
      <c r="H221" s="8"/>
      <c r="I221" s="76"/>
    </row>
    <row r="222">
      <c r="A222" s="8"/>
      <c r="B222" s="8"/>
      <c r="C222" s="18"/>
      <c r="D222" s="18"/>
      <c r="E222" s="8"/>
      <c r="F222" s="8"/>
      <c r="G222" s="8"/>
      <c r="H222" s="8"/>
      <c r="I222" s="76"/>
    </row>
    <row r="223">
      <c r="A223" s="8"/>
      <c r="B223" s="8"/>
      <c r="C223" s="18"/>
      <c r="D223" s="18"/>
      <c r="E223" s="8"/>
      <c r="F223" s="8"/>
      <c r="G223" s="8"/>
      <c r="H223" s="8"/>
      <c r="I223" s="76"/>
    </row>
    <row r="224">
      <c r="A224" s="8"/>
      <c r="B224" s="8"/>
      <c r="C224" s="18"/>
      <c r="D224" s="18"/>
      <c r="E224" s="8"/>
      <c r="F224" s="8"/>
      <c r="G224" s="8"/>
      <c r="H224" s="8"/>
      <c r="I224" s="76"/>
    </row>
    <row r="225">
      <c r="A225" s="8"/>
      <c r="B225" s="8"/>
      <c r="C225" s="18"/>
      <c r="D225" s="18"/>
      <c r="E225" s="8"/>
      <c r="F225" s="8"/>
      <c r="G225" s="8"/>
      <c r="H225" s="8"/>
      <c r="I225" s="76"/>
    </row>
    <row r="226">
      <c r="A226" s="8"/>
      <c r="B226" s="8"/>
      <c r="C226" s="18"/>
      <c r="D226" s="18"/>
      <c r="E226" s="8"/>
      <c r="F226" s="8"/>
      <c r="G226" s="8"/>
      <c r="H226" s="8"/>
      <c r="I226" s="76"/>
    </row>
    <row r="227">
      <c r="A227" s="8"/>
      <c r="B227" s="8"/>
      <c r="C227" s="18"/>
      <c r="D227" s="18"/>
      <c r="E227" s="8"/>
      <c r="F227" s="8"/>
      <c r="G227" s="8"/>
      <c r="H227" s="8"/>
      <c r="I227" s="76"/>
    </row>
    <row r="228">
      <c r="A228" s="8"/>
      <c r="B228" s="8"/>
      <c r="C228" s="18"/>
      <c r="D228" s="18"/>
      <c r="E228" s="8"/>
      <c r="F228" s="8"/>
      <c r="G228" s="8"/>
      <c r="H228" s="8"/>
      <c r="I228" s="76"/>
    </row>
    <row r="229">
      <c r="A229" s="8"/>
      <c r="B229" s="8"/>
      <c r="C229" s="18"/>
      <c r="D229" s="18"/>
      <c r="E229" s="8"/>
      <c r="F229" s="8"/>
      <c r="G229" s="8"/>
      <c r="H229" s="8"/>
      <c r="I229" s="76"/>
    </row>
    <row r="230">
      <c r="A230" s="8"/>
      <c r="B230" s="8"/>
      <c r="C230" s="18"/>
      <c r="D230" s="18"/>
      <c r="E230" s="8"/>
      <c r="F230" s="8"/>
      <c r="G230" s="8"/>
      <c r="H230" s="8"/>
      <c r="I230" s="76"/>
    </row>
    <row r="231">
      <c r="A231" s="8"/>
      <c r="B231" s="8"/>
      <c r="C231" s="18"/>
      <c r="D231" s="18"/>
      <c r="E231" s="8"/>
      <c r="F231" s="8"/>
      <c r="G231" s="8"/>
      <c r="H231" s="8"/>
      <c r="I231" s="76"/>
    </row>
    <row r="232">
      <c r="A232" s="8"/>
      <c r="B232" s="8"/>
      <c r="C232" s="18"/>
      <c r="D232" s="18"/>
      <c r="E232" s="8"/>
      <c r="F232" s="8"/>
      <c r="G232" s="8"/>
      <c r="H232" s="8"/>
      <c r="I232" s="76"/>
    </row>
    <row r="233">
      <c r="A233" s="8"/>
      <c r="B233" s="8"/>
      <c r="C233" s="18"/>
      <c r="D233" s="18"/>
      <c r="E233" s="8"/>
      <c r="F233" s="8"/>
      <c r="G233" s="8"/>
      <c r="H233" s="8"/>
      <c r="I233" s="76"/>
    </row>
    <row r="234">
      <c r="A234" s="8"/>
      <c r="B234" s="8"/>
      <c r="C234" s="18"/>
      <c r="D234" s="18"/>
      <c r="E234" s="8"/>
      <c r="F234" s="8"/>
      <c r="G234" s="8"/>
      <c r="H234" s="8"/>
      <c r="I234" s="76"/>
    </row>
    <row r="235">
      <c r="A235" s="8"/>
      <c r="B235" s="8"/>
      <c r="C235" s="18"/>
      <c r="D235" s="18"/>
      <c r="E235" s="8"/>
      <c r="F235" s="8"/>
      <c r="G235" s="8"/>
      <c r="H235" s="8"/>
      <c r="I235" s="76"/>
    </row>
    <row r="236">
      <c r="A236" s="8"/>
      <c r="B236" s="8"/>
      <c r="C236" s="18"/>
      <c r="D236" s="18"/>
      <c r="E236" s="8"/>
      <c r="F236" s="8"/>
      <c r="G236" s="8"/>
      <c r="H236" s="8"/>
      <c r="I236" s="76"/>
    </row>
    <row r="237">
      <c r="A237" s="8"/>
      <c r="B237" s="8"/>
      <c r="C237" s="18"/>
      <c r="D237" s="18"/>
      <c r="E237" s="8"/>
      <c r="F237" s="8"/>
      <c r="G237" s="8"/>
      <c r="H237" s="8"/>
      <c r="I237" s="76"/>
    </row>
    <row r="238">
      <c r="A238" s="8"/>
      <c r="B238" s="8"/>
      <c r="C238" s="18"/>
      <c r="D238" s="18"/>
      <c r="E238" s="8"/>
      <c r="F238" s="8"/>
      <c r="G238" s="8"/>
      <c r="H238" s="8"/>
      <c r="I238" s="76"/>
    </row>
    <row r="239">
      <c r="A239" s="8"/>
      <c r="B239" s="8"/>
      <c r="C239" s="18"/>
      <c r="D239" s="18"/>
      <c r="E239" s="8"/>
      <c r="F239" s="8"/>
      <c r="G239" s="8"/>
      <c r="H239" s="8"/>
      <c r="I239" s="76"/>
    </row>
    <row r="240">
      <c r="A240" s="8"/>
      <c r="B240" s="8"/>
      <c r="C240" s="18"/>
      <c r="D240" s="18"/>
      <c r="E240" s="8"/>
      <c r="F240" s="8"/>
      <c r="G240" s="8"/>
      <c r="H240" s="8"/>
      <c r="I240" s="76"/>
    </row>
    <row r="241">
      <c r="A241" s="8"/>
      <c r="B241" s="8"/>
      <c r="C241" s="18"/>
      <c r="D241" s="18"/>
      <c r="E241" s="8"/>
      <c r="F241" s="8"/>
      <c r="G241" s="8"/>
      <c r="H241" s="8"/>
      <c r="I241" s="76"/>
    </row>
    <row r="242">
      <c r="A242" s="8"/>
      <c r="B242" s="8"/>
      <c r="C242" s="18"/>
      <c r="D242" s="18"/>
      <c r="E242" s="8"/>
      <c r="F242" s="8"/>
      <c r="G242" s="8"/>
      <c r="H242" s="8"/>
      <c r="I242" s="76"/>
    </row>
    <row r="243">
      <c r="A243" s="8"/>
      <c r="B243" s="8"/>
      <c r="C243" s="18"/>
      <c r="D243" s="18"/>
      <c r="E243" s="8"/>
      <c r="F243" s="8"/>
      <c r="G243" s="8"/>
      <c r="H243" s="8"/>
      <c r="I243" s="76"/>
    </row>
    <row r="244">
      <c r="A244" s="8"/>
      <c r="B244" s="8"/>
      <c r="C244" s="18"/>
      <c r="D244" s="18"/>
      <c r="E244" s="8"/>
      <c r="F244" s="8"/>
      <c r="G244" s="8"/>
      <c r="H244" s="8"/>
      <c r="I244" s="76"/>
    </row>
    <row r="245">
      <c r="A245" s="8"/>
      <c r="B245" s="8"/>
      <c r="C245" s="18"/>
      <c r="D245" s="18"/>
      <c r="E245" s="8"/>
      <c r="F245" s="8"/>
      <c r="G245" s="8"/>
      <c r="H245" s="8"/>
      <c r="I245" s="76"/>
    </row>
    <row r="246">
      <c r="A246" s="8"/>
      <c r="B246" s="8"/>
      <c r="C246" s="18"/>
      <c r="D246" s="18"/>
      <c r="E246" s="8"/>
      <c r="F246" s="8"/>
      <c r="G246" s="8"/>
      <c r="H246" s="8"/>
      <c r="I246" s="76"/>
    </row>
    <row r="247">
      <c r="A247" s="8"/>
      <c r="B247" s="8"/>
      <c r="C247" s="18"/>
      <c r="D247" s="18"/>
      <c r="E247" s="8"/>
      <c r="F247" s="8"/>
      <c r="G247" s="8"/>
      <c r="H247" s="8"/>
      <c r="I247" s="76"/>
    </row>
    <row r="248">
      <c r="A248" s="8"/>
      <c r="B248" s="8"/>
      <c r="C248" s="18"/>
      <c r="D248" s="18"/>
      <c r="E248" s="8"/>
      <c r="F248" s="8"/>
      <c r="G248" s="8"/>
      <c r="H248" s="8"/>
      <c r="I248" s="76"/>
    </row>
    <row r="249">
      <c r="A249" s="8"/>
      <c r="B249" s="8"/>
      <c r="C249" s="18"/>
      <c r="D249" s="18"/>
      <c r="E249" s="8"/>
      <c r="F249" s="8"/>
      <c r="G249" s="8"/>
      <c r="H249" s="8"/>
      <c r="I249" s="76"/>
    </row>
    <row r="250">
      <c r="A250" s="8"/>
      <c r="B250" s="8"/>
      <c r="C250" s="18"/>
      <c r="D250" s="18"/>
      <c r="E250" s="8"/>
      <c r="F250" s="8"/>
      <c r="G250" s="8"/>
      <c r="H250" s="8"/>
      <c r="I250" s="76"/>
    </row>
    <row r="251">
      <c r="A251" s="8"/>
      <c r="B251" s="8"/>
      <c r="C251" s="18"/>
      <c r="D251" s="18"/>
      <c r="E251" s="8"/>
      <c r="F251" s="8"/>
      <c r="G251" s="8"/>
      <c r="H251" s="8"/>
      <c r="I251" s="76"/>
    </row>
    <row r="252">
      <c r="A252" s="8"/>
      <c r="B252" s="8"/>
      <c r="C252" s="18"/>
      <c r="D252" s="18"/>
      <c r="E252" s="8"/>
      <c r="F252" s="8"/>
      <c r="G252" s="8"/>
      <c r="H252" s="8"/>
      <c r="I252" s="76"/>
    </row>
    <row r="253">
      <c r="A253" s="8"/>
      <c r="B253" s="8"/>
      <c r="C253" s="18"/>
      <c r="D253" s="18"/>
      <c r="E253" s="8"/>
      <c r="F253" s="8"/>
      <c r="G253" s="8"/>
      <c r="H253" s="8"/>
      <c r="I253" s="76"/>
    </row>
    <row r="254">
      <c r="A254" s="8"/>
      <c r="B254" s="8"/>
      <c r="C254" s="18"/>
      <c r="D254" s="18"/>
      <c r="E254" s="8"/>
      <c r="F254" s="8"/>
      <c r="G254" s="8"/>
      <c r="H254" s="8"/>
      <c r="I254" s="76"/>
    </row>
    <row r="255">
      <c r="A255" s="8"/>
      <c r="B255" s="8"/>
      <c r="C255" s="18"/>
      <c r="D255" s="18"/>
      <c r="E255" s="8"/>
      <c r="F255" s="8"/>
      <c r="G255" s="8"/>
      <c r="H255" s="8"/>
      <c r="I255" s="76"/>
    </row>
    <row r="256">
      <c r="A256" s="8"/>
      <c r="B256" s="8"/>
      <c r="C256" s="18"/>
      <c r="D256" s="18"/>
      <c r="E256" s="8"/>
      <c r="F256" s="8"/>
      <c r="G256" s="8"/>
      <c r="H256" s="8"/>
      <c r="I256" s="76"/>
    </row>
    <row r="257">
      <c r="A257" s="8"/>
      <c r="B257" s="8"/>
      <c r="C257" s="18"/>
      <c r="D257" s="18"/>
      <c r="E257" s="8"/>
      <c r="F257" s="8"/>
      <c r="G257" s="8"/>
      <c r="H257" s="8"/>
      <c r="I257" s="76"/>
    </row>
    <row r="258">
      <c r="A258" s="8"/>
      <c r="B258" s="8"/>
      <c r="C258" s="18"/>
      <c r="D258" s="18"/>
      <c r="E258" s="8"/>
      <c r="F258" s="8"/>
      <c r="G258" s="8"/>
      <c r="H258" s="8"/>
      <c r="I258" s="76"/>
    </row>
    <row r="259">
      <c r="A259" s="8"/>
      <c r="B259" s="8"/>
      <c r="C259" s="18"/>
      <c r="D259" s="18"/>
      <c r="E259" s="8"/>
      <c r="F259" s="8"/>
      <c r="G259" s="8"/>
      <c r="H259" s="8"/>
      <c r="I259" s="76"/>
    </row>
    <row r="260">
      <c r="A260" s="8"/>
      <c r="B260" s="8"/>
      <c r="C260" s="18"/>
      <c r="D260" s="18"/>
      <c r="E260" s="8"/>
      <c r="F260" s="8"/>
      <c r="G260" s="8"/>
      <c r="H260" s="8"/>
      <c r="I260" s="76"/>
    </row>
    <row r="261">
      <c r="A261" s="8"/>
      <c r="B261" s="8"/>
      <c r="C261" s="18"/>
      <c r="D261" s="18"/>
      <c r="E261" s="8"/>
      <c r="F261" s="8"/>
      <c r="G261" s="8"/>
      <c r="H261" s="8"/>
      <c r="I261" s="76"/>
    </row>
    <row r="262">
      <c r="A262" s="8"/>
      <c r="B262" s="8"/>
      <c r="C262" s="18"/>
      <c r="D262" s="18"/>
      <c r="E262" s="8"/>
      <c r="F262" s="8"/>
      <c r="G262" s="8"/>
      <c r="H262" s="8"/>
      <c r="I262" s="76"/>
    </row>
    <row r="263">
      <c r="A263" s="8"/>
      <c r="B263" s="8"/>
      <c r="C263" s="18"/>
      <c r="D263" s="18"/>
      <c r="E263" s="8"/>
      <c r="F263" s="8"/>
      <c r="G263" s="8"/>
      <c r="H263" s="8"/>
      <c r="I263" s="76"/>
    </row>
    <row r="264">
      <c r="A264" s="8"/>
      <c r="B264" s="8"/>
      <c r="C264" s="18"/>
      <c r="D264" s="18"/>
      <c r="E264" s="8"/>
      <c r="F264" s="8"/>
      <c r="G264" s="8"/>
      <c r="H264" s="8"/>
      <c r="I264" s="76"/>
    </row>
    <row r="265">
      <c r="A265" s="8"/>
      <c r="B265" s="8"/>
      <c r="C265" s="18"/>
      <c r="D265" s="18"/>
      <c r="E265" s="8"/>
      <c r="F265" s="8"/>
      <c r="G265" s="8"/>
      <c r="H265" s="8"/>
      <c r="I265" s="76"/>
    </row>
    <row r="266">
      <c r="A266" s="8"/>
      <c r="B266" s="8"/>
      <c r="C266" s="18"/>
      <c r="D266" s="18"/>
      <c r="E266" s="8"/>
      <c r="F266" s="8"/>
      <c r="G266" s="8"/>
      <c r="H266" s="8"/>
      <c r="I266" s="76"/>
    </row>
    <row r="267">
      <c r="A267" s="8"/>
      <c r="B267" s="8"/>
      <c r="C267" s="18"/>
      <c r="D267" s="18"/>
      <c r="E267" s="8"/>
      <c r="F267" s="8"/>
      <c r="G267" s="8"/>
      <c r="H267" s="8"/>
      <c r="I267" s="76"/>
    </row>
    <row r="268">
      <c r="A268" s="8"/>
      <c r="B268" s="8"/>
      <c r="C268" s="18"/>
      <c r="D268" s="18"/>
      <c r="E268" s="8"/>
      <c r="F268" s="8"/>
      <c r="G268" s="8"/>
      <c r="H268" s="8"/>
      <c r="I268" s="76"/>
    </row>
    <row r="269">
      <c r="A269" s="8"/>
      <c r="B269" s="8"/>
      <c r="C269" s="18"/>
      <c r="D269" s="18"/>
      <c r="E269" s="8"/>
      <c r="F269" s="8"/>
      <c r="G269" s="8"/>
      <c r="H269" s="8"/>
      <c r="I269" s="76"/>
    </row>
    <row r="270">
      <c r="A270" s="8"/>
      <c r="B270" s="8"/>
      <c r="C270" s="18"/>
      <c r="D270" s="18"/>
      <c r="E270" s="8"/>
      <c r="F270" s="8"/>
      <c r="G270" s="8"/>
      <c r="H270" s="8"/>
      <c r="I270" s="76"/>
    </row>
    <row r="271">
      <c r="A271" s="8"/>
      <c r="B271" s="8"/>
      <c r="C271" s="18"/>
      <c r="D271" s="18"/>
      <c r="E271" s="8"/>
      <c r="F271" s="8"/>
      <c r="G271" s="8"/>
      <c r="H271" s="8"/>
      <c r="I271" s="76"/>
    </row>
    <row r="272">
      <c r="A272" s="8"/>
      <c r="B272" s="8"/>
      <c r="C272" s="18"/>
      <c r="D272" s="18"/>
      <c r="E272" s="8"/>
      <c r="F272" s="8"/>
      <c r="G272" s="8"/>
      <c r="H272" s="8"/>
      <c r="I272" s="76"/>
    </row>
    <row r="273">
      <c r="A273" s="8"/>
      <c r="B273" s="8"/>
      <c r="C273" s="18"/>
      <c r="D273" s="18"/>
      <c r="E273" s="8"/>
      <c r="F273" s="8"/>
      <c r="G273" s="8"/>
      <c r="H273" s="8"/>
      <c r="I273" s="76"/>
    </row>
    <row r="274">
      <c r="A274" s="8"/>
      <c r="B274" s="8"/>
      <c r="C274" s="18"/>
      <c r="D274" s="18"/>
      <c r="E274" s="8"/>
      <c r="F274" s="8"/>
      <c r="G274" s="8"/>
      <c r="H274" s="8"/>
      <c r="I274" s="76"/>
    </row>
    <row r="275">
      <c r="A275" s="8"/>
      <c r="B275" s="8"/>
      <c r="C275" s="18"/>
      <c r="D275" s="18"/>
      <c r="E275" s="8"/>
      <c r="F275" s="8"/>
      <c r="G275" s="8"/>
      <c r="H275" s="8"/>
      <c r="I275" s="76"/>
    </row>
    <row r="276">
      <c r="A276" s="8"/>
      <c r="B276" s="8"/>
      <c r="C276" s="18"/>
      <c r="D276" s="18"/>
      <c r="E276" s="8"/>
      <c r="F276" s="8"/>
      <c r="G276" s="8"/>
      <c r="H276" s="8"/>
      <c r="I276" s="76"/>
    </row>
    <row r="277">
      <c r="A277" s="8"/>
      <c r="B277" s="8"/>
      <c r="C277" s="18"/>
      <c r="D277" s="18"/>
      <c r="E277" s="8"/>
      <c r="F277" s="8"/>
      <c r="G277" s="8"/>
      <c r="H277" s="8"/>
      <c r="I277" s="76"/>
    </row>
    <row r="278">
      <c r="A278" s="8"/>
      <c r="B278" s="8"/>
      <c r="C278" s="18"/>
      <c r="D278" s="18"/>
      <c r="E278" s="8"/>
      <c r="F278" s="8"/>
      <c r="G278" s="8"/>
      <c r="H278" s="8"/>
      <c r="I278" s="76"/>
    </row>
    <row r="279">
      <c r="A279" s="8"/>
      <c r="B279" s="8"/>
      <c r="C279" s="18"/>
      <c r="D279" s="18"/>
      <c r="E279" s="8"/>
      <c r="F279" s="8"/>
      <c r="G279" s="8"/>
      <c r="H279" s="8"/>
      <c r="I279" s="76"/>
    </row>
    <row r="280">
      <c r="A280" s="8"/>
      <c r="B280" s="8"/>
      <c r="C280" s="18"/>
      <c r="D280" s="18"/>
      <c r="E280" s="8"/>
      <c r="F280" s="8"/>
      <c r="G280" s="8"/>
      <c r="H280" s="8"/>
      <c r="I280" s="76"/>
    </row>
    <row r="281">
      <c r="A281" s="8"/>
      <c r="B281" s="8"/>
      <c r="C281" s="18"/>
      <c r="D281" s="18"/>
      <c r="E281" s="8"/>
      <c r="F281" s="8"/>
      <c r="G281" s="8"/>
      <c r="H281" s="8"/>
      <c r="I281" s="76"/>
    </row>
    <row r="282">
      <c r="A282" s="8"/>
      <c r="B282" s="8"/>
      <c r="C282" s="18"/>
      <c r="D282" s="18"/>
      <c r="E282" s="8"/>
      <c r="F282" s="8"/>
      <c r="G282" s="8"/>
      <c r="H282" s="8"/>
      <c r="I282" s="76"/>
    </row>
    <row r="283">
      <c r="A283" s="8"/>
      <c r="B283" s="8"/>
      <c r="C283" s="18"/>
      <c r="D283" s="18"/>
      <c r="E283" s="8"/>
      <c r="F283" s="8"/>
      <c r="G283" s="8"/>
      <c r="H283" s="8"/>
      <c r="I283" s="76"/>
    </row>
    <row r="284">
      <c r="A284" s="8"/>
      <c r="B284" s="8"/>
      <c r="C284" s="18"/>
      <c r="D284" s="18"/>
      <c r="E284" s="8"/>
      <c r="F284" s="8"/>
      <c r="G284" s="8"/>
      <c r="H284" s="8"/>
      <c r="I284" s="76"/>
    </row>
    <row r="285">
      <c r="A285" s="8"/>
      <c r="B285" s="8"/>
      <c r="C285" s="18"/>
      <c r="D285" s="18"/>
      <c r="E285" s="8"/>
      <c r="F285" s="8"/>
      <c r="G285" s="8"/>
      <c r="H285" s="8"/>
      <c r="I285" s="76"/>
    </row>
    <row r="286">
      <c r="A286" s="8"/>
      <c r="B286" s="8"/>
      <c r="C286" s="18"/>
      <c r="D286" s="18"/>
      <c r="E286" s="8"/>
      <c r="F286" s="8"/>
      <c r="G286" s="8"/>
      <c r="H286" s="8"/>
      <c r="I286" s="76"/>
    </row>
    <row r="287">
      <c r="A287" s="8"/>
      <c r="B287" s="8"/>
      <c r="C287" s="18"/>
      <c r="D287" s="18"/>
      <c r="E287" s="8"/>
      <c r="F287" s="8"/>
      <c r="G287" s="8"/>
      <c r="H287" s="8"/>
      <c r="I287" s="76"/>
    </row>
    <row r="288">
      <c r="A288" s="8"/>
      <c r="B288" s="8"/>
      <c r="C288" s="18"/>
      <c r="D288" s="18"/>
      <c r="E288" s="8"/>
      <c r="F288" s="8"/>
      <c r="G288" s="8"/>
      <c r="H288" s="8"/>
      <c r="I288" s="76"/>
    </row>
    <row r="289">
      <c r="A289" s="8"/>
      <c r="B289" s="8"/>
      <c r="C289" s="18"/>
      <c r="D289" s="18"/>
      <c r="E289" s="8"/>
      <c r="F289" s="8"/>
      <c r="G289" s="8"/>
      <c r="H289" s="8"/>
      <c r="I289" s="76"/>
    </row>
    <row r="290">
      <c r="A290" s="8"/>
      <c r="B290" s="8"/>
      <c r="C290" s="18"/>
      <c r="D290" s="18"/>
      <c r="E290" s="8"/>
      <c r="F290" s="8"/>
      <c r="G290" s="8"/>
      <c r="H290" s="8"/>
      <c r="I290" s="76"/>
    </row>
    <row r="291">
      <c r="A291" s="8"/>
      <c r="B291" s="8"/>
      <c r="C291" s="18"/>
      <c r="D291" s="18"/>
      <c r="E291" s="8"/>
      <c r="F291" s="8"/>
      <c r="G291" s="8"/>
      <c r="H291" s="8"/>
      <c r="I291" s="76"/>
    </row>
    <row r="292">
      <c r="A292" s="8"/>
      <c r="B292" s="8"/>
      <c r="C292" s="18"/>
      <c r="D292" s="18"/>
      <c r="E292" s="8"/>
      <c r="F292" s="8"/>
      <c r="G292" s="8"/>
      <c r="H292" s="8"/>
      <c r="I292" s="76"/>
    </row>
    <row r="293">
      <c r="A293" s="8"/>
      <c r="B293" s="8"/>
      <c r="C293" s="18"/>
      <c r="D293" s="18"/>
      <c r="E293" s="8"/>
      <c r="F293" s="8"/>
      <c r="G293" s="8"/>
      <c r="H293" s="8"/>
      <c r="I293" s="76"/>
    </row>
    <row r="294">
      <c r="A294" s="8"/>
      <c r="B294" s="8"/>
      <c r="C294" s="18"/>
      <c r="D294" s="18"/>
      <c r="E294" s="8"/>
      <c r="F294" s="8"/>
      <c r="G294" s="8"/>
      <c r="H294" s="8"/>
      <c r="I294" s="76"/>
    </row>
    <row r="295">
      <c r="A295" s="8"/>
      <c r="B295" s="8"/>
      <c r="C295" s="18"/>
      <c r="D295" s="18"/>
      <c r="E295" s="8"/>
      <c r="F295" s="8"/>
      <c r="G295" s="8"/>
      <c r="H295" s="8"/>
      <c r="I295" s="76"/>
    </row>
    <row r="296">
      <c r="A296" s="8"/>
      <c r="B296" s="8"/>
      <c r="C296" s="18"/>
      <c r="D296" s="18"/>
      <c r="E296" s="8"/>
      <c r="F296" s="8"/>
      <c r="G296" s="8"/>
      <c r="H296" s="8"/>
      <c r="I296" s="76"/>
    </row>
    <row r="297">
      <c r="A297" s="8"/>
      <c r="B297" s="8"/>
      <c r="C297" s="18"/>
      <c r="D297" s="18"/>
      <c r="E297" s="8"/>
      <c r="F297" s="8"/>
      <c r="G297" s="8"/>
      <c r="H297" s="8"/>
      <c r="I297" s="76"/>
    </row>
    <row r="298">
      <c r="A298" s="8"/>
      <c r="B298" s="8"/>
      <c r="C298" s="18"/>
      <c r="D298" s="18"/>
      <c r="E298" s="8"/>
      <c r="F298" s="8"/>
      <c r="G298" s="8"/>
      <c r="H298" s="8"/>
      <c r="I298" s="76"/>
    </row>
    <row r="299">
      <c r="A299" s="8"/>
      <c r="B299" s="8"/>
      <c r="C299" s="18"/>
      <c r="D299" s="18"/>
      <c r="E299" s="8"/>
      <c r="F299" s="8"/>
      <c r="G299" s="8"/>
      <c r="H299" s="8"/>
      <c r="I299" s="76"/>
    </row>
    <row r="300">
      <c r="A300" s="8"/>
      <c r="B300" s="8"/>
      <c r="C300" s="18"/>
      <c r="D300" s="18"/>
      <c r="E300" s="8"/>
      <c r="F300" s="8"/>
      <c r="G300" s="8"/>
      <c r="H300" s="8"/>
      <c r="I300" s="76"/>
    </row>
    <row r="301">
      <c r="A301" s="8"/>
      <c r="B301" s="8"/>
      <c r="C301" s="18"/>
      <c r="D301" s="18"/>
      <c r="E301" s="8"/>
      <c r="F301" s="8"/>
      <c r="G301" s="8"/>
      <c r="H301" s="8"/>
      <c r="I301" s="76"/>
    </row>
    <row r="302">
      <c r="A302" s="8"/>
      <c r="B302" s="8"/>
      <c r="C302" s="18"/>
      <c r="D302" s="18"/>
      <c r="E302" s="8"/>
      <c r="F302" s="8"/>
      <c r="G302" s="8"/>
      <c r="H302" s="8"/>
      <c r="I302" s="76"/>
    </row>
    <row r="303">
      <c r="A303" s="8"/>
      <c r="B303" s="8"/>
      <c r="C303" s="18"/>
      <c r="D303" s="18"/>
      <c r="E303" s="8"/>
      <c r="F303" s="8"/>
      <c r="G303" s="8"/>
      <c r="H303" s="8"/>
      <c r="I303" s="76"/>
    </row>
    <row r="304">
      <c r="A304" s="8"/>
      <c r="B304" s="8"/>
      <c r="C304" s="18"/>
      <c r="D304" s="18"/>
      <c r="E304" s="8"/>
      <c r="F304" s="8"/>
      <c r="G304" s="8"/>
      <c r="H304" s="8"/>
      <c r="I304" s="76"/>
    </row>
    <row r="305">
      <c r="A305" s="8"/>
      <c r="B305" s="8"/>
      <c r="C305" s="18"/>
      <c r="D305" s="18"/>
      <c r="E305" s="8"/>
      <c r="F305" s="8"/>
      <c r="G305" s="8"/>
      <c r="H305" s="8"/>
      <c r="I305" s="76"/>
    </row>
    <row r="306">
      <c r="A306" s="8"/>
      <c r="B306" s="8"/>
      <c r="C306" s="18"/>
      <c r="D306" s="18"/>
      <c r="E306" s="8"/>
      <c r="F306" s="8"/>
      <c r="G306" s="8"/>
      <c r="H306" s="8"/>
      <c r="I306" s="76"/>
    </row>
    <row r="307">
      <c r="A307" s="8"/>
      <c r="B307" s="8"/>
      <c r="C307" s="18"/>
      <c r="D307" s="18"/>
      <c r="E307" s="8"/>
      <c r="F307" s="8"/>
      <c r="G307" s="8"/>
      <c r="H307" s="8"/>
      <c r="I307" s="76"/>
    </row>
    <row r="308">
      <c r="A308" s="8"/>
      <c r="B308" s="8"/>
      <c r="C308" s="18"/>
      <c r="D308" s="18"/>
      <c r="E308" s="8"/>
      <c r="F308" s="8"/>
      <c r="G308" s="8"/>
      <c r="H308" s="8"/>
      <c r="I308" s="76"/>
    </row>
    <row r="309">
      <c r="A309" s="8"/>
      <c r="B309" s="8"/>
      <c r="C309" s="18"/>
      <c r="D309" s="18"/>
      <c r="E309" s="8"/>
      <c r="F309" s="8"/>
      <c r="G309" s="8"/>
      <c r="H309" s="8"/>
      <c r="I309" s="76"/>
    </row>
    <row r="310">
      <c r="A310" s="8"/>
      <c r="B310" s="8"/>
      <c r="C310" s="18"/>
      <c r="D310" s="18"/>
      <c r="E310" s="8"/>
      <c r="F310" s="8"/>
      <c r="G310" s="8"/>
      <c r="H310" s="8"/>
      <c r="I310" s="76"/>
    </row>
    <row r="311">
      <c r="A311" s="8"/>
      <c r="B311" s="8"/>
      <c r="C311" s="18"/>
      <c r="D311" s="18"/>
      <c r="E311" s="8"/>
      <c r="F311" s="8"/>
      <c r="G311" s="8"/>
      <c r="H311" s="8"/>
      <c r="I311" s="76"/>
    </row>
    <row r="312">
      <c r="A312" s="8"/>
      <c r="B312" s="8"/>
      <c r="C312" s="18"/>
      <c r="D312" s="18"/>
      <c r="E312" s="8"/>
      <c r="F312" s="8"/>
      <c r="G312" s="8"/>
      <c r="H312" s="8"/>
      <c r="I312" s="76"/>
    </row>
    <row r="313">
      <c r="A313" s="8"/>
      <c r="B313" s="8"/>
      <c r="C313" s="18"/>
      <c r="D313" s="18"/>
      <c r="E313" s="8"/>
      <c r="F313" s="8"/>
      <c r="G313" s="8"/>
      <c r="H313" s="8"/>
      <c r="I313" s="76"/>
    </row>
    <row r="314">
      <c r="A314" s="8"/>
      <c r="B314" s="8"/>
      <c r="C314" s="18"/>
      <c r="D314" s="18"/>
      <c r="E314" s="8"/>
      <c r="F314" s="8"/>
      <c r="G314" s="8"/>
      <c r="H314" s="8"/>
      <c r="I314" s="76"/>
    </row>
    <row r="315">
      <c r="A315" s="8"/>
      <c r="B315" s="8"/>
      <c r="C315" s="18"/>
      <c r="D315" s="18"/>
      <c r="E315" s="8"/>
      <c r="F315" s="8"/>
      <c r="G315" s="8"/>
      <c r="H315" s="8"/>
      <c r="I315" s="76"/>
    </row>
    <row r="316">
      <c r="A316" s="8"/>
      <c r="B316" s="8"/>
      <c r="C316" s="18"/>
      <c r="D316" s="18"/>
      <c r="E316" s="8"/>
      <c r="F316" s="8"/>
      <c r="G316" s="8"/>
      <c r="H316" s="8"/>
      <c r="I316" s="76"/>
    </row>
    <row r="317">
      <c r="A317" s="8"/>
      <c r="B317" s="8"/>
      <c r="C317" s="18"/>
      <c r="D317" s="18"/>
      <c r="E317" s="8"/>
      <c r="F317" s="8"/>
      <c r="G317" s="8"/>
      <c r="H317" s="8"/>
      <c r="I317" s="76"/>
    </row>
    <row r="318">
      <c r="A318" s="8"/>
      <c r="B318" s="8"/>
      <c r="C318" s="18"/>
      <c r="D318" s="18"/>
      <c r="E318" s="8"/>
      <c r="F318" s="8"/>
      <c r="G318" s="8"/>
      <c r="H318" s="8"/>
      <c r="I318" s="76"/>
    </row>
    <row r="319">
      <c r="A319" s="8"/>
      <c r="B319" s="8"/>
      <c r="C319" s="18"/>
      <c r="D319" s="18"/>
      <c r="E319" s="8"/>
      <c r="F319" s="8"/>
      <c r="G319" s="8"/>
      <c r="H319" s="8"/>
      <c r="I319" s="76"/>
    </row>
    <row r="320">
      <c r="A320" s="8"/>
      <c r="B320" s="8"/>
      <c r="C320" s="18"/>
      <c r="D320" s="18"/>
      <c r="E320" s="8"/>
      <c r="F320" s="8"/>
      <c r="G320" s="8"/>
      <c r="H320" s="8"/>
      <c r="I320" s="76"/>
    </row>
    <row r="321">
      <c r="A321" s="8"/>
      <c r="B321" s="8"/>
      <c r="C321" s="18"/>
      <c r="D321" s="18"/>
      <c r="E321" s="8"/>
      <c r="F321" s="8"/>
      <c r="G321" s="8"/>
      <c r="H321" s="8"/>
      <c r="I321" s="76"/>
    </row>
    <row r="322">
      <c r="A322" s="8"/>
      <c r="B322" s="8"/>
      <c r="C322" s="18"/>
      <c r="D322" s="18"/>
      <c r="E322" s="8"/>
      <c r="F322" s="8"/>
      <c r="G322" s="8"/>
      <c r="H322" s="8"/>
      <c r="I322" s="76"/>
    </row>
    <row r="323">
      <c r="A323" s="8"/>
      <c r="B323" s="8"/>
      <c r="C323" s="18"/>
      <c r="D323" s="18"/>
      <c r="E323" s="8"/>
      <c r="F323" s="8"/>
      <c r="G323" s="8"/>
      <c r="H323" s="8"/>
      <c r="I323" s="76"/>
    </row>
    <row r="324">
      <c r="A324" s="8"/>
      <c r="B324" s="8"/>
      <c r="C324" s="18"/>
      <c r="D324" s="18"/>
      <c r="E324" s="8"/>
      <c r="F324" s="8"/>
      <c r="G324" s="8"/>
      <c r="H324" s="8"/>
      <c r="I324" s="76"/>
    </row>
    <row r="325">
      <c r="A325" s="8"/>
      <c r="B325" s="8"/>
      <c r="C325" s="18"/>
      <c r="D325" s="18"/>
      <c r="E325" s="8"/>
      <c r="F325" s="8"/>
      <c r="G325" s="8"/>
      <c r="H325" s="8"/>
      <c r="I325" s="76"/>
    </row>
    <row r="326">
      <c r="A326" s="8"/>
      <c r="B326" s="8"/>
      <c r="C326" s="18"/>
      <c r="D326" s="18"/>
      <c r="E326" s="8"/>
      <c r="F326" s="8"/>
      <c r="G326" s="8"/>
      <c r="H326" s="8"/>
      <c r="I326" s="76"/>
    </row>
    <row r="327">
      <c r="A327" s="8"/>
      <c r="B327" s="8"/>
      <c r="C327" s="18"/>
      <c r="D327" s="18"/>
      <c r="E327" s="8"/>
      <c r="F327" s="8"/>
      <c r="G327" s="8"/>
      <c r="H327" s="8"/>
      <c r="I327" s="76"/>
    </row>
    <row r="328">
      <c r="A328" s="8"/>
      <c r="B328" s="8"/>
      <c r="C328" s="18"/>
      <c r="D328" s="18"/>
      <c r="E328" s="8"/>
      <c r="F328" s="8"/>
      <c r="G328" s="8"/>
      <c r="H328" s="8"/>
      <c r="I328" s="76"/>
    </row>
    <row r="329">
      <c r="A329" s="8"/>
      <c r="B329" s="8"/>
      <c r="C329" s="18"/>
      <c r="D329" s="18"/>
      <c r="E329" s="8"/>
      <c r="F329" s="8"/>
      <c r="G329" s="8"/>
      <c r="H329" s="8"/>
      <c r="I329" s="76"/>
    </row>
    <row r="330">
      <c r="A330" s="8"/>
      <c r="B330" s="8"/>
      <c r="C330" s="18"/>
      <c r="D330" s="18"/>
      <c r="E330" s="8"/>
      <c r="F330" s="8"/>
      <c r="G330" s="8"/>
      <c r="H330" s="8"/>
      <c r="I330" s="76"/>
    </row>
    <row r="331">
      <c r="A331" s="8"/>
      <c r="B331" s="8"/>
      <c r="C331" s="18"/>
      <c r="D331" s="18"/>
      <c r="E331" s="8"/>
      <c r="F331" s="8"/>
      <c r="G331" s="8"/>
      <c r="H331" s="8"/>
      <c r="I331" s="76"/>
    </row>
    <row r="332">
      <c r="A332" s="8"/>
      <c r="B332" s="8"/>
      <c r="C332" s="18"/>
      <c r="D332" s="18"/>
      <c r="E332" s="8"/>
      <c r="F332" s="8"/>
      <c r="G332" s="8"/>
      <c r="H332" s="8"/>
      <c r="I332" s="76"/>
    </row>
    <row r="333">
      <c r="A333" s="8"/>
      <c r="B333" s="8"/>
      <c r="C333" s="18"/>
      <c r="D333" s="18"/>
      <c r="E333" s="8"/>
      <c r="F333" s="8"/>
      <c r="G333" s="8"/>
      <c r="H333" s="8"/>
      <c r="I333" s="76"/>
    </row>
    <row r="334">
      <c r="A334" s="8"/>
      <c r="B334" s="8"/>
      <c r="C334" s="18"/>
      <c r="D334" s="18"/>
      <c r="E334" s="8"/>
      <c r="F334" s="8"/>
      <c r="G334" s="8"/>
      <c r="H334" s="8"/>
      <c r="I334" s="76"/>
    </row>
    <row r="335">
      <c r="A335" s="8"/>
      <c r="B335" s="8"/>
      <c r="C335" s="18"/>
      <c r="D335" s="18"/>
      <c r="E335" s="8"/>
      <c r="F335" s="8"/>
      <c r="G335" s="8"/>
      <c r="H335" s="8"/>
      <c r="I335" s="76"/>
    </row>
    <row r="336">
      <c r="A336" s="8"/>
      <c r="B336" s="8"/>
      <c r="C336" s="18"/>
      <c r="D336" s="18"/>
      <c r="E336" s="8"/>
      <c r="F336" s="8"/>
      <c r="G336" s="8"/>
      <c r="H336" s="8"/>
      <c r="I336" s="76"/>
    </row>
    <row r="337">
      <c r="A337" s="8"/>
      <c r="B337" s="8"/>
      <c r="C337" s="18"/>
      <c r="D337" s="18"/>
      <c r="E337" s="8"/>
      <c r="F337" s="8"/>
      <c r="G337" s="8"/>
      <c r="H337" s="8"/>
      <c r="I337" s="76"/>
    </row>
    <row r="338">
      <c r="A338" s="8"/>
      <c r="B338" s="8"/>
      <c r="C338" s="18"/>
      <c r="D338" s="18"/>
      <c r="E338" s="8"/>
      <c r="F338" s="8"/>
      <c r="G338" s="8"/>
      <c r="H338" s="8"/>
      <c r="I338" s="76"/>
    </row>
    <row r="339">
      <c r="A339" s="8"/>
      <c r="B339" s="8"/>
      <c r="C339" s="18"/>
      <c r="D339" s="18"/>
      <c r="E339" s="8"/>
      <c r="F339" s="8"/>
      <c r="G339" s="8"/>
      <c r="H339" s="8"/>
      <c r="I339" s="76"/>
    </row>
    <row r="340">
      <c r="A340" s="8"/>
      <c r="B340" s="8"/>
      <c r="C340" s="18"/>
      <c r="D340" s="18"/>
      <c r="E340" s="8"/>
      <c r="F340" s="8"/>
      <c r="G340" s="8"/>
      <c r="H340" s="8"/>
      <c r="I340" s="76"/>
    </row>
    <row r="341">
      <c r="A341" s="8"/>
      <c r="B341" s="8"/>
      <c r="C341" s="18"/>
      <c r="D341" s="18"/>
      <c r="E341" s="8"/>
      <c r="F341" s="8"/>
      <c r="G341" s="8"/>
      <c r="H341" s="8"/>
      <c r="I341" s="76"/>
    </row>
    <row r="342">
      <c r="A342" s="8"/>
      <c r="B342" s="8"/>
      <c r="C342" s="18"/>
      <c r="D342" s="18"/>
      <c r="E342" s="8"/>
      <c r="F342" s="8"/>
      <c r="G342" s="8"/>
      <c r="H342" s="8"/>
      <c r="I342" s="76"/>
    </row>
    <row r="343">
      <c r="A343" s="8"/>
      <c r="B343" s="8"/>
      <c r="C343" s="18"/>
      <c r="D343" s="18"/>
      <c r="E343" s="8"/>
      <c r="F343" s="8"/>
      <c r="G343" s="8"/>
      <c r="H343" s="8"/>
      <c r="I343" s="76"/>
    </row>
    <row r="344">
      <c r="A344" s="8"/>
      <c r="B344" s="8"/>
      <c r="C344" s="18"/>
      <c r="D344" s="18"/>
      <c r="E344" s="8"/>
      <c r="F344" s="8"/>
      <c r="G344" s="8"/>
      <c r="H344" s="8"/>
      <c r="I344" s="76"/>
    </row>
    <row r="345">
      <c r="A345" s="8"/>
      <c r="B345" s="8"/>
      <c r="C345" s="18"/>
      <c r="D345" s="18"/>
      <c r="E345" s="8"/>
      <c r="F345" s="8"/>
      <c r="G345" s="8"/>
      <c r="H345" s="8"/>
      <c r="I345" s="76"/>
    </row>
    <row r="346">
      <c r="A346" s="8"/>
      <c r="B346" s="8"/>
      <c r="C346" s="18"/>
      <c r="D346" s="18"/>
      <c r="E346" s="8"/>
      <c r="F346" s="8"/>
      <c r="G346" s="8"/>
      <c r="H346" s="8"/>
      <c r="I346" s="76"/>
    </row>
    <row r="347">
      <c r="A347" s="8"/>
      <c r="B347" s="8"/>
      <c r="C347" s="18"/>
      <c r="D347" s="18"/>
      <c r="E347" s="8"/>
      <c r="F347" s="8"/>
      <c r="G347" s="8"/>
      <c r="H347" s="8"/>
      <c r="I347" s="76"/>
    </row>
    <row r="348">
      <c r="A348" s="8"/>
      <c r="B348" s="8"/>
      <c r="C348" s="18"/>
      <c r="D348" s="18"/>
      <c r="E348" s="8"/>
      <c r="F348" s="8"/>
      <c r="G348" s="8"/>
      <c r="H348" s="8"/>
      <c r="I348" s="76"/>
    </row>
    <row r="349">
      <c r="A349" s="8"/>
      <c r="B349" s="8"/>
      <c r="C349" s="18"/>
      <c r="D349" s="18"/>
      <c r="E349" s="8"/>
      <c r="F349" s="8"/>
      <c r="G349" s="8"/>
      <c r="H349" s="8"/>
      <c r="I349" s="76"/>
    </row>
    <row r="350">
      <c r="A350" s="8"/>
      <c r="B350" s="8"/>
      <c r="C350" s="18"/>
      <c r="D350" s="18"/>
      <c r="E350" s="8"/>
      <c r="F350" s="8"/>
      <c r="G350" s="8"/>
      <c r="H350" s="8"/>
      <c r="I350" s="76"/>
    </row>
    <row r="351">
      <c r="A351" s="8"/>
      <c r="B351" s="8"/>
      <c r="C351" s="18"/>
      <c r="D351" s="18"/>
      <c r="E351" s="8"/>
      <c r="F351" s="8"/>
      <c r="G351" s="8"/>
      <c r="H351" s="8"/>
      <c r="I351" s="76"/>
    </row>
    <row r="352">
      <c r="A352" s="8"/>
      <c r="B352" s="8"/>
      <c r="C352" s="18"/>
      <c r="D352" s="18"/>
      <c r="E352" s="8"/>
      <c r="F352" s="8"/>
      <c r="G352" s="8"/>
      <c r="H352" s="8"/>
      <c r="I352" s="76"/>
    </row>
    <row r="353">
      <c r="A353" s="8"/>
      <c r="B353" s="8"/>
      <c r="C353" s="18"/>
      <c r="D353" s="18"/>
      <c r="E353" s="8"/>
      <c r="F353" s="8"/>
      <c r="G353" s="8"/>
      <c r="H353" s="8"/>
      <c r="I353" s="76"/>
    </row>
    <row r="354">
      <c r="A354" s="8"/>
      <c r="B354" s="8"/>
      <c r="C354" s="18"/>
      <c r="D354" s="18"/>
      <c r="E354" s="8"/>
      <c r="F354" s="8"/>
      <c r="G354" s="8"/>
      <c r="H354" s="8"/>
      <c r="I354" s="76"/>
    </row>
    <row r="355">
      <c r="A355" s="8"/>
      <c r="B355" s="8"/>
      <c r="C355" s="18"/>
      <c r="D355" s="18"/>
      <c r="E355" s="8"/>
      <c r="F355" s="8"/>
      <c r="G355" s="8"/>
      <c r="H355" s="8"/>
      <c r="I355" s="76"/>
    </row>
    <row r="356">
      <c r="A356" s="8"/>
      <c r="B356" s="8"/>
      <c r="C356" s="18"/>
      <c r="D356" s="18"/>
      <c r="E356" s="8"/>
      <c r="F356" s="8"/>
      <c r="G356" s="8"/>
      <c r="H356" s="8"/>
      <c r="I356" s="76"/>
    </row>
    <row r="357">
      <c r="A357" s="8"/>
      <c r="B357" s="8"/>
      <c r="C357" s="18"/>
      <c r="D357" s="18"/>
      <c r="E357" s="8"/>
      <c r="F357" s="8"/>
      <c r="G357" s="8"/>
      <c r="H357" s="8"/>
      <c r="I357" s="76"/>
    </row>
    <row r="358">
      <c r="A358" s="8"/>
      <c r="B358" s="8"/>
      <c r="C358" s="18"/>
      <c r="D358" s="18"/>
      <c r="E358" s="8"/>
      <c r="F358" s="8"/>
      <c r="G358" s="8"/>
      <c r="H358" s="8"/>
      <c r="I358" s="76"/>
    </row>
    <row r="359">
      <c r="A359" s="8"/>
      <c r="B359" s="8"/>
      <c r="C359" s="18"/>
      <c r="D359" s="18"/>
      <c r="E359" s="8"/>
      <c r="F359" s="8"/>
      <c r="G359" s="8"/>
      <c r="H359" s="8"/>
      <c r="I359" s="76"/>
    </row>
    <row r="360">
      <c r="A360" s="8"/>
      <c r="B360" s="8"/>
      <c r="C360" s="18"/>
      <c r="D360" s="18"/>
      <c r="E360" s="8"/>
      <c r="F360" s="8"/>
      <c r="G360" s="8"/>
      <c r="H360" s="8"/>
      <c r="I360" s="76"/>
    </row>
    <row r="361">
      <c r="A361" s="8"/>
      <c r="B361" s="8"/>
      <c r="C361" s="18"/>
      <c r="D361" s="18"/>
      <c r="E361" s="8"/>
      <c r="F361" s="8"/>
      <c r="G361" s="8"/>
      <c r="H361" s="8"/>
      <c r="I361" s="76"/>
    </row>
    <row r="362">
      <c r="A362" s="8"/>
      <c r="B362" s="8"/>
      <c r="C362" s="18"/>
      <c r="D362" s="18"/>
      <c r="E362" s="8"/>
      <c r="F362" s="8"/>
      <c r="G362" s="8"/>
      <c r="H362" s="8"/>
      <c r="I362" s="76"/>
    </row>
    <row r="363">
      <c r="A363" s="8"/>
      <c r="B363" s="8"/>
      <c r="C363" s="18"/>
      <c r="D363" s="18"/>
      <c r="E363" s="8"/>
      <c r="F363" s="8"/>
      <c r="G363" s="8"/>
      <c r="H363" s="8"/>
      <c r="I363" s="76"/>
    </row>
    <row r="364">
      <c r="A364" s="8"/>
      <c r="B364" s="8"/>
      <c r="C364" s="18"/>
      <c r="D364" s="18"/>
      <c r="E364" s="8"/>
      <c r="F364" s="8"/>
      <c r="G364" s="8"/>
      <c r="H364" s="8"/>
      <c r="I364" s="76"/>
    </row>
    <row r="365">
      <c r="A365" s="8"/>
      <c r="B365" s="8"/>
      <c r="C365" s="18"/>
      <c r="D365" s="18"/>
      <c r="E365" s="8"/>
      <c r="F365" s="8"/>
      <c r="G365" s="8"/>
      <c r="H365" s="8"/>
      <c r="I365" s="76"/>
    </row>
    <row r="366">
      <c r="A366" s="8"/>
      <c r="B366" s="8"/>
      <c r="C366" s="18"/>
      <c r="D366" s="18"/>
      <c r="E366" s="8"/>
      <c r="F366" s="8"/>
      <c r="G366" s="8"/>
      <c r="H366" s="8"/>
      <c r="I366" s="76"/>
    </row>
    <row r="367">
      <c r="A367" s="8"/>
      <c r="B367" s="8"/>
      <c r="C367" s="18"/>
      <c r="D367" s="18"/>
      <c r="E367" s="8"/>
      <c r="F367" s="8"/>
      <c r="G367" s="8"/>
      <c r="H367" s="8"/>
      <c r="I367" s="76"/>
    </row>
    <row r="368">
      <c r="A368" s="8"/>
      <c r="B368" s="8"/>
      <c r="C368" s="18"/>
      <c r="D368" s="18"/>
      <c r="E368" s="8"/>
      <c r="F368" s="8"/>
      <c r="G368" s="8"/>
      <c r="H368" s="8"/>
      <c r="I368" s="76"/>
    </row>
    <row r="369">
      <c r="A369" s="8"/>
      <c r="B369" s="8"/>
      <c r="C369" s="18"/>
      <c r="D369" s="18"/>
      <c r="E369" s="8"/>
      <c r="F369" s="8"/>
      <c r="G369" s="8"/>
      <c r="H369" s="8"/>
      <c r="I369" s="76"/>
    </row>
    <row r="370">
      <c r="A370" s="8"/>
      <c r="B370" s="8"/>
      <c r="C370" s="18"/>
      <c r="D370" s="18"/>
      <c r="E370" s="8"/>
      <c r="F370" s="8"/>
      <c r="G370" s="8"/>
      <c r="H370" s="8"/>
      <c r="I370" s="76"/>
    </row>
    <row r="371">
      <c r="A371" s="8"/>
      <c r="B371" s="8"/>
      <c r="C371" s="18"/>
      <c r="D371" s="18"/>
      <c r="E371" s="8"/>
      <c r="F371" s="8"/>
      <c r="G371" s="8"/>
      <c r="H371" s="8"/>
      <c r="I371" s="76"/>
    </row>
    <row r="372">
      <c r="A372" s="8"/>
      <c r="B372" s="8"/>
      <c r="C372" s="18"/>
      <c r="D372" s="18"/>
      <c r="E372" s="8"/>
      <c r="F372" s="8"/>
      <c r="G372" s="8"/>
      <c r="H372" s="8"/>
      <c r="I372" s="76"/>
    </row>
    <row r="373">
      <c r="A373" s="8"/>
      <c r="B373" s="8"/>
      <c r="C373" s="18"/>
      <c r="D373" s="18"/>
      <c r="E373" s="8"/>
      <c r="F373" s="8"/>
      <c r="G373" s="8"/>
      <c r="H373" s="8"/>
      <c r="I373" s="76"/>
    </row>
    <row r="374">
      <c r="A374" s="8"/>
      <c r="B374" s="8"/>
      <c r="C374" s="18"/>
      <c r="D374" s="18"/>
      <c r="E374" s="8"/>
      <c r="F374" s="8"/>
      <c r="G374" s="8"/>
      <c r="H374" s="8"/>
      <c r="I374" s="76"/>
    </row>
    <row r="375">
      <c r="A375" s="8"/>
      <c r="B375" s="8"/>
      <c r="C375" s="18"/>
      <c r="D375" s="18"/>
      <c r="E375" s="8"/>
      <c r="F375" s="8"/>
      <c r="G375" s="8"/>
      <c r="H375" s="8"/>
      <c r="I375" s="76"/>
    </row>
    <row r="376">
      <c r="A376" s="8"/>
      <c r="B376" s="8"/>
      <c r="C376" s="18"/>
      <c r="D376" s="18"/>
      <c r="E376" s="8"/>
      <c r="F376" s="8"/>
      <c r="G376" s="8"/>
      <c r="H376" s="8"/>
      <c r="I376" s="76"/>
    </row>
    <row r="377">
      <c r="A377" s="8"/>
      <c r="B377" s="8"/>
      <c r="C377" s="18"/>
      <c r="D377" s="18"/>
      <c r="E377" s="8"/>
      <c r="F377" s="8"/>
      <c r="G377" s="8"/>
      <c r="H377" s="8"/>
      <c r="I377" s="76"/>
    </row>
    <row r="378">
      <c r="A378" s="8"/>
      <c r="B378" s="8"/>
      <c r="C378" s="18"/>
      <c r="D378" s="18"/>
      <c r="E378" s="8"/>
      <c r="F378" s="8"/>
      <c r="G378" s="8"/>
      <c r="H378" s="8"/>
      <c r="I378" s="76"/>
    </row>
    <row r="379">
      <c r="A379" s="8"/>
      <c r="B379" s="8"/>
      <c r="C379" s="18"/>
      <c r="D379" s="18"/>
      <c r="E379" s="8"/>
      <c r="F379" s="8"/>
      <c r="G379" s="8"/>
      <c r="H379" s="8"/>
      <c r="I379" s="76"/>
    </row>
    <row r="380">
      <c r="A380" s="8"/>
      <c r="B380" s="8"/>
      <c r="C380" s="18"/>
      <c r="D380" s="18"/>
      <c r="E380" s="8"/>
      <c r="F380" s="8"/>
      <c r="G380" s="8"/>
      <c r="H380" s="8"/>
      <c r="I380" s="76"/>
    </row>
    <row r="381">
      <c r="A381" s="8"/>
      <c r="B381" s="8"/>
      <c r="C381" s="18"/>
      <c r="D381" s="18"/>
      <c r="E381" s="8"/>
      <c r="F381" s="8"/>
      <c r="G381" s="8"/>
      <c r="H381" s="8"/>
      <c r="I381" s="76"/>
    </row>
    <row r="382">
      <c r="A382" s="8"/>
      <c r="B382" s="8"/>
      <c r="C382" s="18"/>
      <c r="D382" s="18"/>
      <c r="E382" s="8"/>
      <c r="F382" s="8"/>
      <c r="G382" s="8"/>
      <c r="H382" s="8"/>
      <c r="I382" s="76"/>
    </row>
    <row r="383">
      <c r="A383" s="8"/>
      <c r="B383" s="8"/>
      <c r="C383" s="18"/>
      <c r="D383" s="18"/>
      <c r="E383" s="8"/>
      <c r="F383" s="8"/>
      <c r="G383" s="8"/>
      <c r="H383" s="8"/>
      <c r="I383" s="76"/>
    </row>
    <row r="384">
      <c r="A384" s="8"/>
      <c r="B384" s="8"/>
      <c r="C384" s="18"/>
      <c r="D384" s="18"/>
      <c r="E384" s="8"/>
      <c r="F384" s="8"/>
      <c r="G384" s="8"/>
      <c r="H384" s="8"/>
      <c r="I384" s="76"/>
    </row>
    <row r="385">
      <c r="A385" s="8"/>
      <c r="B385" s="8"/>
      <c r="C385" s="18"/>
      <c r="D385" s="18"/>
      <c r="E385" s="8"/>
      <c r="F385" s="8"/>
      <c r="G385" s="8"/>
      <c r="H385" s="8"/>
      <c r="I385" s="76"/>
    </row>
    <row r="386">
      <c r="A386" s="8"/>
      <c r="B386" s="8"/>
      <c r="C386" s="18"/>
      <c r="D386" s="18"/>
      <c r="E386" s="8"/>
      <c r="F386" s="8"/>
      <c r="G386" s="8"/>
      <c r="H386" s="8"/>
      <c r="I386" s="76"/>
    </row>
    <row r="387">
      <c r="A387" s="8"/>
      <c r="B387" s="8"/>
      <c r="C387" s="18"/>
      <c r="D387" s="18"/>
      <c r="E387" s="8"/>
      <c r="F387" s="8"/>
      <c r="G387" s="8"/>
      <c r="H387" s="8"/>
      <c r="I387" s="76"/>
    </row>
    <row r="388">
      <c r="A388" s="8"/>
      <c r="B388" s="8"/>
      <c r="C388" s="18"/>
      <c r="D388" s="18"/>
      <c r="E388" s="8"/>
      <c r="F388" s="8"/>
      <c r="G388" s="8"/>
      <c r="H388" s="8"/>
      <c r="I388" s="76"/>
    </row>
    <row r="389">
      <c r="A389" s="8"/>
      <c r="B389" s="8"/>
      <c r="C389" s="18"/>
      <c r="D389" s="18"/>
      <c r="E389" s="8"/>
      <c r="F389" s="8"/>
      <c r="G389" s="8"/>
      <c r="H389" s="8"/>
      <c r="I389" s="76"/>
    </row>
    <row r="390">
      <c r="A390" s="8"/>
      <c r="B390" s="8"/>
      <c r="C390" s="18"/>
      <c r="D390" s="18"/>
      <c r="E390" s="8"/>
      <c r="F390" s="8"/>
      <c r="G390" s="8"/>
      <c r="H390" s="8"/>
      <c r="I390" s="76"/>
    </row>
    <row r="391">
      <c r="A391" s="8"/>
      <c r="B391" s="8"/>
      <c r="C391" s="18"/>
      <c r="D391" s="18"/>
      <c r="E391" s="8"/>
      <c r="F391" s="8"/>
      <c r="G391" s="8"/>
      <c r="H391" s="8"/>
      <c r="I391" s="76"/>
    </row>
    <row r="392">
      <c r="A392" s="8"/>
      <c r="B392" s="8"/>
      <c r="C392" s="18"/>
      <c r="D392" s="18"/>
      <c r="E392" s="8"/>
      <c r="F392" s="8"/>
      <c r="G392" s="8"/>
      <c r="H392" s="8"/>
      <c r="I392" s="76"/>
    </row>
    <row r="393">
      <c r="A393" s="8"/>
      <c r="B393" s="8"/>
      <c r="C393" s="18"/>
      <c r="D393" s="18"/>
      <c r="E393" s="8"/>
      <c r="F393" s="8"/>
      <c r="G393" s="8"/>
      <c r="H393" s="8"/>
      <c r="I393" s="76"/>
    </row>
    <row r="394">
      <c r="A394" s="8"/>
      <c r="B394" s="8"/>
      <c r="C394" s="18"/>
      <c r="D394" s="18"/>
      <c r="E394" s="8"/>
      <c r="F394" s="8"/>
      <c r="G394" s="8"/>
      <c r="H394" s="8"/>
      <c r="I394" s="76"/>
    </row>
    <row r="395">
      <c r="A395" s="8"/>
      <c r="B395" s="8"/>
      <c r="C395" s="18"/>
      <c r="D395" s="18"/>
      <c r="E395" s="8"/>
      <c r="F395" s="8"/>
      <c r="G395" s="8"/>
      <c r="H395" s="8"/>
      <c r="I395" s="76"/>
    </row>
    <row r="396">
      <c r="A396" s="8"/>
      <c r="B396" s="8"/>
      <c r="C396" s="18"/>
      <c r="D396" s="18"/>
      <c r="E396" s="8"/>
      <c r="F396" s="8"/>
      <c r="G396" s="8"/>
      <c r="H396" s="8"/>
      <c r="I396" s="76"/>
    </row>
    <row r="397">
      <c r="A397" s="8"/>
      <c r="B397" s="8"/>
      <c r="C397" s="18"/>
      <c r="D397" s="18"/>
      <c r="E397" s="8"/>
      <c r="F397" s="8"/>
      <c r="G397" s="8"/>
      <c r="H397" s="8"/>
      <c r="I397" s="76"/>
    </row>
    <row r="398">
      <c r="A398" s="8"/>
      <c r="B398" s="8"/>
      <c r="C398" s="18"/>
      <c r="D398" s="18"/>
      <c r="E398" s="8"/>
      <c r="F398" s="8"/>
      <c r="G398" s="8"/>
      <c r="H398" s="8"/>
      <c r="I398" s="76"/>
    </row>
    <row r="399">
      <c r="A399" s="8"/>
      <c r="B399" s="8"/>
      <c r="C399" s="18"/>
      <c r="D399" s="18"/>
      <c r="E399" s="8"/>
      <c r="F399" s="8"/>
      <c r="G399" s="8"/>
      <c r="H399" s="8"/>
      <c r="I399" s="76"/>
    </row>
    <row r="400">
      <c r="A400" s="8"/>
      <c r="B400" s="8"/>
      <c r="C400" s="18"/>
      <c r="D400" s="18"/>
      <c r="E400" s="8"/>
      <c r="F400" s="8"/>
      <c r="G400" s="8"/>
      <c r="H400" s="8"/>
      <c r="I400" s="76"/>
    </row>
    <row r="401">
      <c r="A401" s="8"/>
      <c r="B401" s="8"/>
      <c r="C401" s="18"/>
      <c r="D401" s="18"/>
      <c r="E401" s="8"/>
      <c r="F401" s="8"/>
      <c r="G401" s="8"/>
      <c r="H401" s="8"/>
      <c r="I401" s="76"/>
    </row>
    <row r="402">
      <c r="A402" s="8"/>
      <c r="B402" s="8"/>
      <c r="C402" s="18"/>
      <c r="D402" s="18"/>
      <c r="E402" s="8"/>
      <c r="F402" s="8"/>
      <c r="G402" s="8"/>
      <c r="H402" s="8"/>
      <c r="I402" s="76"/>
    </row>
    <row r="403">
      <c r="A403" s="8"/>
      <c r="B403" s="8"/>
      <c r="C403" s="18"/>
      <c r="D403" s="18"/>
      <c r="E403" s="8"/>
      <c r="F403" s="8"/>
      <c r="G403" s="8"/>
      <c r="H403" s="8"/>
      <c r="I403" s="76"/>
    </row>
    <row r="404">
      <c r="A404" s="8"/>
      <c r="B404" s="8"/>
      <c r="C404" s="18"/>
      <c r="D404" s="18"/>
      <c r="E404" s="8"/>
      <c r="F404" s="8"/>
      <c r="G404" s="8"/>
      <c r="H404" s="8"/>
      <c r="I404" s="76"/>
    </row>
    <row r="405">
      <c r="A405" s="8"/>
      <c r="B405" s="8"/>
      <c r="C405" s="18"/>
      <c r="D405" s="18"/>
      <c r="E405" s="8"/>
      <c r="F405" s="8"/>
      <c r="G405" s="8"/>
      <c r="H405" s="8"/>
      <c r="I405" s="76"/>
    </row>
    <row r="406">
      <c r="A406" s="8"/>
      <c r="B406" s="8"/>
      <c r="C406" s="18"/>
      <c r="D406" s="18"/>
      <c r="E406" s="8"/>
      <c r="F406" s="8"/>
      <c r="G406" s="8"/>
      <c r="H406" s="8"/>
      <c r="I406" s="76"/>
    </row>
    <row r="407">
      <c r="A407" s="8"/>
      <c r="B407" s="8"/>
      <c r="C407" s="18"/>
      <c r="D407" s="18"/>
      <c r="E407" s="8"/>
      <c r="F407" s="8"/>
      <c r="G407" s="8"/>
      <c r="H407" s="8"/>
      <c r="I407" s="76"/>
    </row>
    <row r="408">
      <c r="A408" s="8"/>
      <c r="B408" s="8"/>
      <c r="C408" s="18"/>
      <c r="D408" s="18"/>
      <c r="E408" s="8"/>
      <c r="F408" s="8"/>
      <c r="G408" s="8"/>
      <c r="H408" s="8"/>
      <c r="I408" s="76"/>
    </row>
    <row r="409">
      <c r="A409" s="8"/>
      <c r="B409" s="8"/>
      <c r="C409" s="18"/>
      <c r="D409" s="18"/>
      <c r="E409" s="8"/>
      <c r="F409" s="8"/>
      <c r="G409" s="8"/>
      <c r="H409" s="8"/>
      <c r="I409" s="76"/>
    </row>
    <row r="410">
      <c r="A410" s="8"/>
      <c r="B410" s="8"/>
      <c r="C410" s="18"/>
      <c r="D410" s="18"/>
      <c r="E410" s="8"/>
      <c r="F410" s="8"/>
      <c r="G410" s="8"/>
      <c r="H410" s="8"/>
      <c r="I410" s="76"/>
    </row>
    <row r="411">
      <c r="A411" s="8"/>
      <c r="B411" s="8"/>
      <c r="C411" s="18"/>
      <c r="D411" s="18"/>
      <c r="E411" s="8"/>
      <c r="F411" s="8"/>
      <c r="G411" s="8"/>
      <c r="H411" s="8"/>
      <c r="I411" s="76"/>
    </row>
    <row r="412">
      <c r="A412" s="8"/>
      <c r="B412" s="8"/>
      <c r="C412" s="18"/>
      <c r="D412" s="18"/>
      <c r="E412" s="8"/>
      <c r="F412" s="8"/>
      <c r="G412" s="8"/>
      <c r="H412" s="8"/>
      <c r="I412" s="76"/>
    </row>
    <row r="413">
      <c r="A413" s="8"/>
      <c r="B413" s="8"/>
      <c r="C413" s="18"/>
      <c r="D413" s="18"/>
      <c r="E413" s="8"/>
      <c r="F413" s="8"/>
      <c r="G413" s="8"/>
      <c r="H413" s="8"/>
      <c r="I413" s="76"/>
    </row>
    <row r="414">
      <c r="A414" s="8"/>
      <c r="B414" s="8"/>
      <c r="C414" s="18"/>
      <c r="D414" s="18"/>
      <c r="E414" s="8"/>
      <c r="F414" s="8"/>
      <c r="G414" s="8"/>
      <c r="H414" s="8"/>
      <c r="I414" s="76"/>
    </row>
    <row r="415">
      <c r="A415" s="8"/>
      <c r="B415" s="8"/>
      <c r="C415" s="18"/>
      <c r="D415" s="18"/>
      <c r="E415" s="8"/>
      <c r="F415" s="8"/>
      <c r="G415" s="8"/>
      <c r="H415" s="8"/>
      <c r="I415" s="76"/>
    </row>
    <row r="416">
      <c r="A416" s="8"/>
      <c r="B416" s="8"/>
      <c r="C416" s="18"/>
      <c r="D416" s="18"/>
      <c r="E416" s="8"/>
      <c r="F416" s="8"/>
      <c r="G416" s="8"/>
      <c r="H416" s="8"/>
      <c r="I416" s="76"/>
    </row>
    <row r="417">
      <c r="A417" s="8"/>
      <c r="B417" s="8"/>
      <c r="C417" s="18"/>
      <c r="D417" s="18"/>
      <c r="E417" s="8"/>
      <c r="F417" s="8"/>
      <c r="G417" s="8"/>
      <c r="H417" s="8"/>
      <c r="I417" s="76"/>
    </row>
    <row r="418">
      <c r="A418" s="8"/>
      <c r="B418" s="8"/>
      <c r="C418" s="18"/>
      <c r="D418" s="18"/>
      <c r="E418" s="8"/>
      <c r="F418" s="8"/>
      <c r="G418" s="8"/>
      <c r="H418" s="8"/>
      <c r="I418" s="76"/>
    </row>
    <row r="419">
      <c r="A419" s="8"/>
      <c r="B419" s="8"/>
      <c r="C419" s="18"/>
      <c r="D419" s="18"/>
      <c r="E419" s="8"/>
      <c r="F419" s="8"/>
      <c r="G419" s="8"/>
      <c r="H419" s="8"/>
      <c r="I419" s="76"/>
    </row>
    <row r="420">
      <c r="A420" s="8"/>
      <c r="B420" s="8"/>
      <c r="C420" s="18"/>
      <c r="D420" s="18"/>
      <c r="E420" s="8"/>
      <c r="F420" s="8"/>
      <c r="G420" s="8"/>
      <c r="H420" s="8"/>
      <c r="I420" s="76"/>
    </row>
    <row r="421">
      <c r="A421" s="8"/>
      <c r="B421" s="8"/>
      <c r="C421" s="18"/>
      <c r="D421" s="18"/>
      <c r="E421" s="8"/>
      <c r="F421" s="8"/>
      <c r="G421" s="8"/>
      <c r="H421" s="8"/>
      <c r="I421" s="76"/>
    </row>
    <row r="422">
      <c r="A422" s="8"/>
      <c r="B422" s="8"/>
      <c r="C422" s="18"/>
      <c r="D422" s="18"/>
      <c r="E422" s="8"/>
      <c r="F422" s="8"/>
      <c r="G422" s="8"/>
      <c r="H422" s="8"/>
      <c r="I422" s="76"/>
    </row>
    <row r="423">
      <c r="A423" s="8"/>
      <c r="B423" s="8"/>
      <c r="C423" s="18"/>
      <c r="D423" s="18"/>
      <c r="E423" s="8"/>
      <c r="F423" s="8"/>
      <c r="G423" s="8"/>
      <c r="H423" s="8"/>
      <c r="I423" s="76"/>
    </row>
    <row r="424">
      <c r="A424" s="8"/>
      <c r="B424" s="8"/>
      <c r="C424" s="18"/>
      <c r="D424" s="18"/>
      <c r="E424" s="8"/>
      <c r="F424" s="8"/>
      <c r="G424" s="8"/>
      <c r="H424" s="8"/>
      <c r="I424" s="76"/>
    </row>
    <row r="425">
      <c r="A425" s="8"/>
      <c r="B425" s="8"/>
      <c r="C425" s="18"/>
      <c r="D425" s="18"/>
      <c r="E425" s="8"/>
      <c r="F425" s="8"/>
      <c r="G425" s="8"/>
      <c r="H425" s="8"/>
      <c r="I425" s="76"/>
    </row>
    <row r="426">
      <c r="A426" s="8"/>
      <c r="B426" s="8"/>
      <c r="C426" s="18"/>
      <c r="D426" s="18"/>
      <c r="E426" s="8"/>
      <c r="F426" s="8"/>
      <c r="G426" s="8"/>
      <c r="H426" s="8"/>
      <c r="I426" s="76"/>
    </row>
    <row r="427">
      <c r="A427" s="8"/>
      <c r="B427" s="8"/>
      <c r="C427" s="18"/>
      <c r="D427" s="18"/>
      <c r="E427" s="8"/>
      <c r="F427" s="8"/>
      <c r="G427" s="8"/>
      <c r="H427" s="8"/>
      <c r="I427" s="76"/>
    </row>
    <row r="428">
      <c r="A428" s="8"/>
      <c r="B428" s="8"/>
      <c r="C428" s="18"/>
      <c r="D428" s="18"/>
      <c r="E428" s="8"/>
      <c r="F428" s="8"/>
      <c r="G428" s="8"/>
      <c r="H428" s="8"/>
      <c r="I428" s="76"/>
    </row>
    <row r="429">
      <c r="A429" s="8"/>
      <c r="B429" s="8"/>
      <c r="C429" s="18"/>
      <c r="D429" s="18"/>
      <c r="E429" s="8"/>
      <c r="F429" s="8"/>
      <c r="G429" s="8"/>
      <c r="H429" s="8"/>
      <c r="I429" s="76"/>
    </row>
    <row r="430">
      <c r="A430" s="8"/>
      <c r="B430" s="8"/>
      <c r="C430" s="18"/>
      <c r="D430" s="18"/>
      <c r="E430" s="8"/>
      <c r="F430" s="8"/>
      <c r="G430" s="8"/>
      <c r="H430" s="8"/>
      <c r="I430" s="76"/>
    </row>
    <row r="431">
      <c r="A431" s="8"/>
      <c r="B431" s="8"/>
      <c r="C431" s="18"/>
      <c r="D431" s="18"/>
      <c r="E431" s="8"/>
      <c r="F431" s="8"/>
      <c r="G431" s="8"/>
      <c r="H431" s="8"/>
      <c r="I431" s="76"/>
    </row>
    <row r="432">
      <c r="A432" s="8"/>
      <c r="B432" s="8"/>
      <c r="C432" s="18"/>
      <c r="D432" s="18"/>
      <c r="E432" s="8"/>
      <c r="F432" s="8"/>
      <c r="G432" s="8"/>
      <c r="H432" s="8"/>
      <c r="I432" s="76"/>
    </row>
    <row r="433">
      <c r="A433" s="8"/>
      <c r="B433" s="8"/>
      <c r="C433" s="18"/>
      <c r="D433" s="18"/>
      <c r="E433" s="8"/>
      <c r="F433" s="8"/>
      <c r="G433" s="8"/>
      <c r="H433" s="8"/>
      <c r="I433" s="76"/>
    </row>
    <row r="434">
      <c r="A434" s="8"/>
      <c r="B434" s="8"/>
      <c r="C434" s="18"/>
      <c r="D434" s="18"/>
      <c r="E434" s="8"/>
      <c r="F434" s="8"/>
      <c r="G434" s="8"/>
      <c r="H434" s="8"/>
      <c r="I434" s="76"/>
    </row>
    <row r="435">
      <c r="A435" s="8"/>
      <c r="B435" s="8"/>
      <c r="C435" s="18"/>
      <c r="D435" s="18"/>
      <c r="E435" s="8"/>
      <c r="F435" s="8"/>
      <c r="G435" s="8"/>
      <c r="H435" s="8"/>
      <c r="I435" s="76"/>
    </row>
    <row r="436">
      <c r="A436" s="8"/>
      <c r="B436" s="8"/>
      <c r="C436" s="18"/>
      <c r="D436" s="18"/>
      <c r="E436" s="8"/>
      <c r="F436" s="8"/>
      <c r="G436" s="8"/>
      <c r="H436" s="8"/>
      <c r="I436" s="76"/>
    </row>
    <row r="437">
      <c r="A437" s="8"/>
      <c r="B437" s="8"/>
      <c r="C437" s="18"/>
      <c r="D437" s="18"/>
      <c r="E437" s="8"/>
      <c r="F437" s="8"/>
      <c r="G437" s="8"/>
      <c r="H437" s="8"/>
      <c r="I437" s="76"/>
    </row>
    <row r="438">
      <c r="A438" s="8"/>
      <c r="B438" s="8"/>
      <c r="C438" s="18"/>
      <c r="D438" s="18"/>
      <c r="E438" s="8"/>
      <c r="F438" s="8"/>
      <c r="G438" s="8"/>
      <c r="H438" s="8"/>
      <c r="I438" s="76"/>
    </row>
    <row r="439">
      <c r="A439" s="8"/>
      <c r="B439" s="8"/>
      <c r="C439" s="18"/>
      <c r="D439" s="18"/>
      <c r="E439" s="8"/>
      <c r="F439" s="8"/>
      <c r="G439" s="8"/>
      <c r="H439" s="8"/>
      <c r="I439" s="76"/>
    </row>
    <row r="440">
      <c r="A440" s="8"/>
      <c r="B440" s="8"/>
      <c r="C440" s="18"/>
      <c r="D440" s="18"/>
      <c r="E440" s="8"/>
      <c r="F440" s="8"/>
      <c r="G440" s="8"/>
      <c r="H440" s="8"/>
      <c r="I440" s="76"/>
    </row>
    <row r="441">
      <c r="A441" s="8"/>
      <c r="B441" s="8"/>
      <c r="C441" s="18"/>
      <c r="D441" s="18"/>
      <c r="E441" s="8"/>
      <c r="F441" s="8"/>
      <c r="G441" s="8"/>
      <c r="H441" s="8"/>
      <c r="I441" s="76"/>
    </row>
    <row r="442">
      <c r="A442" s="8"/>
      <c r="B442" s="8"/>
      <c r="C442" s="18"/>
      <c r="D442" s="18"/>
      <c r="E442" s="8"/>
      <c r="F442" s="8"/>
      <c r="G442" s="8"/>
      <c r="H442" s="8"/>
      <c r="I442" s="76"/>
    </row>
    <row r="443">
      <c r="A443" s="8"/>
      <c r="B443" s="8"/>
      <c r="C443" s="18"/>
      <c r="D443" s="18"/>
      <c r="E443" s="8"/>
      <c r="F443" s="8"/>
      <c r="G443" s="8"/>
      <c r="H443" s="8"/>
      <c r="I443" s="76"/>
    </row>
    <row r="444">
      <c r="A444" s="8"/>
      <c r="B444" s="8"/>
      <c r="C444" s="18"/>
      <c r="D444" s="18"/>
      <c r="E444" s="8"/>
      <c r="F444" s="8"/>
      <c r="G444" s="8"/>
      <c r="H444" s="8"/>
      <c r="I444" s="76"/>
    </row>
    <row r="445">
      <c r="A445" s="8"/>
      <c r="B445" s="8"/>
      <c r="C445" s="18"/>
      <c r="D445" s="18"/>
      <c r="E445" s="8"/>
      <c r="F445" s="8"/>
      <c r="G445" s="8"/>
      <c r="H445" s="8"/>
      <c r="I445" s="76"/>
    </row>
    <row r="446">
      <c r="A446" s="8"/>
      <c r="B446" s="8"/>
      <c r="C446" s="18"/>
      <c r="D446" s="18"/>
      <c r="E446" s="8"/>
      <c r="F446" s="8"/>
      <c r="G446" s="8"/>
      <c r="H446" s="8"/>
      <c r="I446" s="76"/>
    </row>
    <row r="447">
      <c r="A447" s="8"/>
      <c r="B447" s="8"/>
      <c r="C447" s="18"/>
      <c r="D447" s="18"/>
      <c r="E447" s="8"/>
      <c r="F447" s="8"/>
      <c r="G447" s="8"/>
      <c r="H447" s="8"/>
      <c r="I447" s="76"/>
    </row>
    <row r="448">
      <c r="A448" s="8"/>
      <c r="B448" s="8"/>
      <c r="C448" s="18"/>
      <c r="D448" s="18"/>
      <c r="E448" s="8"/>
      <c r="F448" s="8"/>
      <c r="G448" s="8"/>
      <c r="H448" s="8"/>
      <c r="I448" s="76"/>
    </row>
    <row r="449">
      <c r="A449" s="8"/>
      <c r="B449" s="8"/>
      <c r="C449" s="18"/>
      <c r="D449" s="18"/>
      <c r="E449" s="8"/>
      <c r="F449" s="8"/>
      <c r="G449" s="8"/>
      <c r="H449" s="8"/>
      <c r="I449" s="76"/>
    </row>
    <row r="450">
      <c r="A450" s="8"/>
      <c r="B450" s="8"/>
      <c r="C450" s="18"/>
      <c r="D450" s="18"/>
      <c r="E450" s="8"/>
      <c r="F450" s="8"/>
      <c r="G450" s="8"/>
      <c r="H450" s="8"/>
      <c r="I450" s="76"/>
    </row>
    <row r="451">
      <c r="A451" s="8"/>
      <c r="B451" s="8"/>
      <c r="C451" s="18"/>
      <c r="D451" s="18"/>
      <c r="E451" s="8"/>
      <c r="F451" s="8"/>
      <c r="G451" s="8"/>
      <c r="H451" s="8"/>
      <c r="I451" s="76"/>
    </row>
    <row r="452">
      <c r="A452" s="8"/>
      <c r="B452" s="8"/>
      <c r="C452" s="18"/>
      <c r="D452" s="18"/>
      <c r="E452" s="8"/>
      <c r="F452" s="8"/>
      <c r="G452" s="8"/>
      <c r="H452" s="8"/>
      <c r="I452" s="76"/>
    </row>
    <row r="453">
      <c r="A453" s="8"/>
      <c r="B453" s="8"/>
      <c r="C453" s="18"/>
      <c r="D453" s="18"/>
      <c r="E453" s="8"/>
      <c r="F453" s="8"/>
      <c r="G453" s="8"/>
      <c r="H453" s="8"/>
      <c r="I453" s="76"/>
    </row>
    <row r="454">
      <c r="A454" s="8"/>
      <c r="B454" s="8"/>
      <c r="C454" s="18"/>
      <c r="D454" s="18"/>
      <c r="E454" s="8"/>
      <c r="F454" s="8"/>
      <c r="G454" s="8"/>
      <c r="H454" s="8"/>
      <c r="I454" s="76"/>
    </row>
    <row r="455">
      <c r="A455" s="8"/>
      <c r="B455" s="8"/>
      <c r="C455" s="18"/>
      <c r="D455" s="18"/>
      <c r="E455" s="8"/>
      <c r="F455" s="8"/>
      <c r="G455" s="8"/>
      <c r="H455" s="8"/>
      <c r="I455" s="76"/>
    </row>
    <row r="456">
      <c r="A456" s="8"/>
      <c r="B456" s="8"/>
      <c r="C456" s="18"/>
      <c r="D456" s="18"/>
      <c r="E456" s="8"/>
      <c r="F456" s="8"/>
      <c r="G456" s="8"/>
      <c r="H456" s="8"/>
      <c r="I456" s="76"/>
    </row>
    <row r="457">
      <c r="A457" s="8"/>
      <c r="B457" s="8"/>
      <c r="C457" s="18"/>
      <c r="D457" s="18"/>
      <c r="E457" s="8"/>
      <c r="F457" s="8"/>
      <c r="G457" s="8"/>
      <c r="H457" s="8"/>
      <c r="I457" s="76"/>
    </row>
    <row r="458">
      <c r="A458" s="8"/>
      <c r="B458" s="8"/>
      <c r="C458" s="18"/>
      <c r="D458" s="18"/>
      <c r="E458" s="8"/>
      <c r="F458" s="8"/>
      <c r="G458" s="8"/>
      <c r="H458" s="8"/>
      <c r="I458" s="76"/>
    </row>
    <row r="459">
      <c r="A459" s="8"/>
      <c r="B459" s="8"/>
      <c r="C459" s="18"/>
      <c r="D459" s="18"/>
      <c r="E459" s="8"/>
      <c r="F459" s="8"/>
      <c r="G459" s="8"/>
      <c r="H459" s="8"/>
      <c r="I459" s="76"/>
    </row>
    <row r="460">
      <c r="A460" s="8"/>
      <c r="B460" s="8"/>
      <c r="C460" s="18"/>
      <c r="D460" s="18"/>
      <c r="E460" s="8"/>
      <c r="F460" s="8"/>
      <c r="G460" s="8"/>
      <c r="H460" s="8"/>
      <c r="I460" s="76"/>
    </row>
    <row r="461">
      <c r="A461" s="8"/>
      <c r="B461" s="8"/>
      <c r="C461" s="18"/>
      <c r="D461" s="18"/>
      <c r="E461" s="8"/>
      <c r="F461" s="8"/>
      <c r="G461" s="8"/>
      <c r="H461" s="8"/>
      <c r="I461" s="76"/>
    </row>
    <row r="462">
      <c r="A462" s="8"/>
      <c r="B462" s="8"/>
      <c r="C462" s="18"/>
      <c r="D462" s="18"/>
      <c r="E462" s="8"/>
      <c r="F462" s="8"/>
      <c r="G462" s="8"/>
      <c r="H462" s="8"/>
      <c r="I462" s="76"/>
    </row>
    <row r="463">
      <c r="A463" s="8"/>
      <c r="B463" s="8"/>
      <c r="C463" s="18"/>
      <c r="D463" s="18"/>
      <c r="E463" s="8"/>
      <c r="F463" s="8"/>
      <c r="G463" s="8"/>
      <c r="H463" s="8"/>
      <c r="I463" s="76"/>
    </row>
    <row r="464">
      <c r="A464" s="8"/>
      <c r="B464" s="8"/>
      <c r="C464" s="18"/>
      <c r="D464" s="18"/>
      <c r="E464" s="8"/>
      <c r="F464" s="8"/>
      <c r="G464" s="8"/>
      <c r="H464" s="8"/>
      <c r="I464" s="76"/>
    </row>
    <row r="465">
      <c r="A465" s="8"/>
      <c r="B465" s="8"/>
      <c r="C465" s="18"/>
      <c r="D465" s="18"/>
      <c r="E465" s="8"/>
      <c r="F465" s="8"/>
      <c r="G465" s="8"/>
      <c r="H465" s="8"/>
      <c r="I465" s="76"/>
    </row>
    <row r="466">
      <c r="A466" s="8"/>
      <c r="B466" s="8"/>
      <c r="C466" s="18"/>
      <c r="D466" s="18"/>
      <c r="E466" s="8"/>
      <c r="F466" s="8"/>
      <c r="G466" s="8"/>
      <c r="H466" s="8"/>
      <c r="I466" s="76"/>
    </row>
    <row r="467">
      <c r="A467" s="8"/>
      <c r="B467" s="8"/>
      <c r="C467" s="18"/>
      <c r="D467" s="18"/>
      <c r="E467" s="8"/>
      <c r="F467" s="8"/>
      <c r="G467" s="8"/>
      <c r="H467" s="8"/>
      <c r="I467" s="76"/>
    </row>
    <row r="468">
      <c r="A468" s="8"/>
      <c r="B468" s="8"/>
      <c r="C468" s="18"/>
      <c r="D468" s="18"/>
      <c r="E468" s="8"/>
      <c r="F468" s="8"/>
      <c r="G468" s="8"/>
      <c r="H468" s="8"/>
      <c r="I468" s="76"/>
    </row>
    <row r="469">
      <c r="A469" s="8"/>
      <c r="B469" s="8"/>
      <c r="C469" s="18"/>
      <c r="D469" s="18"/>
      <c r="E469" s="8"/>
      <c r="F469" s="8"/>
      <c r="G469" s="8"/>
      <c r="H469" s="8"/>
      <c r="I469" s="76"/>
    </row>
    <row r="470">
      <c r="A470" s="8"/>
      <c r="B470" s="8"/>
      <c r="C470" s="18"/>
      <c r="D470" s="18"/>
      <c r="E470" s="8"/>
      <c r="F470" s="8"/>
      <c r="G470" s="8"/>
      <c r="H470" s="8"/>
      <c r="I470" s="76"/>
    </row>
    <row r="471">
      <c r="A471" s="8"/>
      <c r="B471" s="8"/>
      <c r="C471" s="18"/>
      <c r="D471" s="18"/>
      <c r="E471" s="8"/>
      <c r="F471" s="8"/>
      <c r="G471" s="8"/>
      <c r="H471" s="8"/>
      <c r="I471" s="76"/>
    </row>
    <row r="472">
      <c r="A472" s="8"/>
      <c r="B472" s="8"/>
      <c r="C472" s="18"/>
      <c r="D472" s="18"/>
      <c r="E472" s="8"/>
      <c r="F472" s="8"/>
      <c r="G472" s="8"/>
      <c r="H472" s="8"/>
      <c r="I472" s="76"/>
    </row>
    <row r="473">
      <c r="A473" s="8"/>
      <c r="B473" s="8"/>
      <c r="C473" s="18"/>
      <c r="D473" s="18"/>
      <c r="E473" s="8"/>
      <c r="F473" s="8"/>
      <c r="G473" s="8"/>
      <c r="H473" s="8"/>
      <c r="I473" s="76"/>
    </row>
    <row r="474">
      <c r="A474" s="8"/>
      <c r="B474" s="8"/>
      <c r="C474" s="18"/>
      <c r="D474" s="18"/>
      <c r="E474" s="8"/>
      <c r="F474" s="8"/>
      <c r="G474" s="8"/>
      <c r="H474" s="8"/>
      <c r="I474" s="76"/>
    </row>
    <row r="475">
      <c r="A475" s="8"/>
      <c r="B475" s="8"/>
      <c r="C475" s="18"/>
      <c r="D475" s="18"/>
      <c r="E475" s="8"/>
      <c r="F475" s="8"/>
      <c r="G475" s="8"/>
      <c r="H475" s="8"/>
      <c r="I475" s="76"/>
    </row>
    <row r="476">
      <c r="A476" s="8"/>
      <c r="B476" s="8"/>
      <c r="C476" s="18"/>
      <c r="D476" s="18"/>
      <c r="E476" s="8"/>
      <c r="F476" s="8"/>
      <c r="G476" s="8"/>
      <c r="H476" s="8"/>
      <c r="I476" s="76"/>
    </row>
    <row r="477">
      <c r="A477" s="8"/>
      <c r="B477" s="8"/>
      <c r="C477" s="18"/>
      <c r="D477" s="18"/>
      <c r="E477" s="8"/>
      <c r="F477" s="8"/>
      <c r="G477" s="8"/>
      <c r="H477" s="8"/>
      <c r="I477" s="76"/>
    </row>
    <row r="478">
      <c r="A478" s="8"/>
      <c r="B478" s="8"/>
      <c r="C478" s="18"/>
      <c r="D478" s="18"/>
      <c r="E478" s="8"/>
      <c r="F478" s="8"/>
      <c r="G478" s="8"/>
      <c r="H478" s="8"/>
      <c r="I478" s="76"/>
    </row>
    <row r="479">
      <c r="A479" s="8"/>
      <c r="B479" s="8"/>
      <c r="C479" s="18"/>
      <c r="D479" s="18"/>
      <c r="E479" s="8"/>
      <c r="F479" s="8"/>
      <c r="G479" s="8"/>
      <c r="H479" s="8"/>
      <c r="I479" s="76"/>
    </row>
    <row r="480">
      <c r="A480" s="8"/>
      <c r="B480" s="8"/>
      <c r="C480" s="18"/>
      <c r="D480" s="18"/>
      <c r="E480" s="8"/>
      <c r="F480" s="8"/>
      <c r="G480" s="8"/>
      <c r="H480" s="8"/>
      <c r="I480" s="76"/>
    </row>
    <row r="481">
      <c r="A481" s="8"/>
      <c r="B481" s="8"/>
      <c r="C481" s="18"/>
      <c r="D481" s="18"/>
      <c r="E481" s="8"/>
      <c r="F481" s="8"/>
      <c r="G481" s="8"/>
      <c r="H481" s="8"/>
      <c r="I481" s="76"/>
    </row>
    <row r="482">
      <c r="A482" s="8"/>
      <c r="B482" s="8"/>
      <c r="C482" s="18"/>
      <c r="D482" s="18"/>
      <c r="E482" s="8"/>
      <c r="F482" s="8"/>
      <c r="G482" s="8"/>
      <c r="H482" s="8"/>
      <c r="I482" s="76"/>
    </row>
    <row r="483">
      <c r="A483" s="8"/>
      <c r="B483" s="8"/>
      <c r="C483" s="18"/>
      <c r="D483" s="18"/>
      <c r="E483" s="8"/>
      <c r="F483" s="8"/>
      <c r="G483" s="8"/>
      <c r="H483" s="8"/>
      <c r="I483" s="76"/>
    </row>
    <row r="484">
      <c r="A484" s="8"/>
      <c r="B484" s="8"/>
      <c r="C484" s="18"/>
      <c r="D484" s="18"/>
      <c r="E484" s="8"/>
      <c r="F484" s="8"/>
      <c r="G484" s="8"/>
      <c r="H484" s="8"/>
      <c r="I484" s="76"/>
    </row>
    <row r="485">
      <c r="A485" s="8"/>
      <c r="B485" s="8"/>
      <c r="C485" s="18"/>
      <c r="D485" s="18"/>
      <c r="E485" s="8"/>
      <c r="F485" s="8"/>
      <c r="G485" s="8"/>
      <c r="H485" s="8"/>
      <c r="I485" s="76"/>
    </row>
    <row r="486">
      <c r="A486" s="8"/>
      <c r="B486" s="8"/>
      <c r="C486" s="18"/>
      <c r="D486" s="18"/>
      <c r="E486" s="8"/>
      <c r="F486" s="8"/>
      <c r="G486" s="8"/>
      <c r="H486" s="8"/>
      <c r="I486" s="76"/>
    </row>
    <row r="487">
      <c r="A487" s="8"/>
      <c r="B487" s="8"/>
      <c r="C487" s="18"/>
      <c r="D487" s="18"/>
      <c r="E487" s="8"/>
      <c r="F487" s="8"/>
      <c r="G487" s="8"/>
      <c r="H487" s="8"/>
      <c r="I487" s="76"/>
    </row>
    <row r="488">
      <c r="A488" s="8"/>
      <c r="B488" s="8"/>
      <c r="C488" s="18"/>
      <c r="D488" s="18"/>
      <c r="E488" s="8"/>
      <c r="F488" s="8"/>
      <c r="G488" s="8"/>
      <c r="H488" s="8"/>
      <c r="I488" s="76"/>
    </row>
    <row r="489">
      <c r="A489" s="8"/>
      <c r="B489" s="8"/>
      <c r="C489" s="18"/>
      <c r="D489" s="18"/>
      <c r="E489" s="8"/>
      <c r="F489" s="8"/>
      <c r="G489" s="8"/>
      <c r="H489" s="8"/>
      <c r="I489" s="76"/>
    </row>
    <row r="490">
      <c r="A490" s="8"/>
      <c r="B490" s="8"/>
      <c r="C490" s="18"/>
      <c r="D490" s="18"/>
      <c r="E490" s="8"/>
      <c r="F490" s="8"/>
      <c r="G490" s="8"/>
      <c r="H490" s="8"/>
      <c r="I490" s="76"/>
    </row>
    <row r="491">
      <c r="A491" s="8"/>
      <c r="B491" s="8"/>
      <c r="C491" s="18"/>
      <c r="D491" s="18"/>
      <c r="E491" s="8"/>
      <c r="F491" s="8"/>
      <c r="G491" s="8"/>
      <c r="H491" s="8"/>
      <c r="I491" s="76"/>
    </row>
    <row r="492">
      <c r="A492" s="8"/>
      <c r="B492" s="8"/>
      <c r="C492" s="18"/>
      <c r="D492" s="18"/>
      <c r="E492" s="8"/>
      <c r="F492" s="8"/>
      <c r="G492" s="8"/>
      <c r="H492" s="8"/>
      <c r="I492" s="76"/>
    </row>
    <row r="493">
      <c r="A493" s="8"/>
      <c r="B493" s="8"/>
      <c r="C493" s="18"/>
      <c r="D493" s="18"/>
      <c r="E493" s="8"/>
      <c r="F493" s="8"/>
      <c r="G493" s="8"/>
      <c r="H493" s="8"/>
      <c r="I493" s="76"/>
    </row>
    <row r="494">
      <c r="A494" s="8"/>
      <c r="B494" s="8"/>
      <c r="C494" s="18"/>
      <c r="D494" s="18"/>
      <c r="E494" s="8"/>
      <c r="F494" s="8"/>
      <c r="G494" s="8"/>
      <c r="H494" s="8"/>
      <c r="I494" s="76"/>
    </row>
    <row r="495">
      <c r="A495" s="8"/>
      <c r="B495" s="8"/>
      <c r="C495" s="18"/>
      <c r="D495" s="18"/>
      <c r="E495" s="8"/>
      <c r="F495" s="8"/>
      <c r="G495" s="8"/>
      <c r="H495" s="8"/>
      <c r="I495" s="76"/>
    </row>
    <row r="496">
      <c r="A496" s="8"/>
      <c r="B496" s="8"/>
      <c r="C496" s="18"/>
      <c r="D496" s="18"/>
      <c r="E496" s="8"/>
      <c r="F496" s="8"/>
      <c r="G496" s="8"/>
      <c r="H496" s="8"/>
      <c r="I496" s="76"/>
    </row>
    <row r="497">
      <c r="A497" s="8"/>
      <c r="B497" s="8"/>
      <c r="C497" s="18"/>
      <c r="D497" s="18"/>
      <c r="E497" s="8"/>
      <c r="F497" s="8"/>
      <c r="G497" s="8"/>
      <c r="H497" s="8"/>
      <c r="I497" s="76"/>
    </row>
    <row r="498">
      <c r="A498" s="8"/>
      <c r="B498" s="8"/>
      <c r="C498" s="18"/>
      <c r="D498" s="18"/>
      <c r="E498" s="8"/>
      <c r="F498" s="8"/>
      <c r="G498" s="8"/>
      <c r="H498" s="8"/>
      <c r="I498" s="76"/>
    </row>
    <row r="499">
      <c r="A499" s="8"/>
      <c r="B499" s="8"/>
      <c r="C499" s="18"/>
      <c r="D499" s="18"/>
      <c r="E499" s="8"/>
      <c r="F499" s="8"/>
      <c r="G499" s="8"/>
      <c r="H499" s="8"/>
      <c r="I499" s="76"/>
    </row>
    <row r="500">
      <c r="A500" s="8"/>
      <c r="B500" s="8"/>
      <c r="C500" s="18"/>
      <c r="D500" s="18"/>
      <c r="E500" s="8"/>
      <c r="F500" s="8"/>
      <c r="G500" s="8"/>
      <c r="H500" s="8"/>
      <c r="I500" s="76"/>
    </row>
  </sheetData>
  <conditionalFormatting sqref="A2:Z500">
    <cfRule type="cellIs" dxfId="3" priority="1" operator="equal">
      <formula>"VRAI"</formula>
    </cfRule>
  </conditionalFormatting>
  <dataValidations>
    <dataValidation type="list" allowBlank="1" showErrorMessage="1" sqref="E2:E500">
      <formula1>'Données'!$G$2:$G999</formula1>
    </dataValidation>
    <dataValidation type="list" allowBlank="1" showErrorMessage="1" sqref="B2:B500">
      <formula1>'Données'!$A$2:$A999</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'Données'!$E$2:$E999</formula1>
    </dataValidation>
    <dataValidation type="custom" allowBlank="1" showDropDown="1" sqref="I2:I500">
      <formula1>OR(NOT(ISERROR(DATEVALUE(I2))), AND(ISNUMBER(I2), LEFT(CELL("format", I2))="D"))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1" t="str">
        <f>IFERROR(__xludf.DUMMYFUNCTION("QUERY(Effectifs!A:Z, ""SELECT * WHERE E CONTAINS 'Hird' ORDER BY Z ASC"", 1)"),"Assermenté")</f>
        <v>Assermenté</v>
      </c>
      <c r="B1" s="1" t="str">
        <f>IFERROR(__xludf.DUMMYFUNCTION("""COMPUTED_VALUE"""),"Grade")</f>
        <v>Grade</v>
      </c>
      <c r="C1" s="1" t="str">
        <f>IFERROR(__xludf.DUMMYFUNCTION("""COMPUTED_VALUE"""),"Prénom")</f>
        <v>Prénom</v>
      </c>
      <c r="D1" s="2" t="str">
        <f>IFERROR(__xludf.DUMMYFUNCTION("""COMPUTED_VALUE"""),"Nom")</f>
        <v>Nom</v>
      </c>
      <c r="E1" s="1" t="str">
        <f>IFERROR(__xludf.DUMMYFUNCTION("""COMPUTED_VALUE"""),"Corps")</f>
        <v>Corps</v>
      </c>
      <c r="F1" s="1" t="str">
        <f>IFERROR(__xludf.DUMMYFUNCTION("""COMPUTED_VALUE"""),"Spécialité")</f>
        <v>Spécialité</v>
      </c>
      <c r="G1" s="1" t="str">
        <f>IFERROR(__xludf.DUMMYFUNCTION("""COMPUTED_VALUE"""),"Status")</f>
        <v>Status</v>
      </c>
      <c r="H1" s="1" t="str">
        <f>IFERROR(__xludf.DUMMYFUNCTION("""COMPUTED_VALUE"""),"Métier")</f>
        <v>Métier</v>
      </c>
      <c r="I1" s="73" t="str">
        <f>IFERROR(__xludf.DUMMYFUNCTION("""COMPUTED_VALUE"""),"Recrutement")</f>
        <v>Recrutement</v>
      </c>
      <c r="J1" s="3" t="str">
        <f>IFERROR(__xludf.DUMMYFUNCTION("""COMPUTED_VALUE"""),"Jours travaillés")</f>
        <v>Jours travaillés</v>
      </c>
      <c r="K1" s="3" t="str">
        <f>IFERROR(__xludf.DUMMYFUNCTION("""COMPUTED_VALUE"""),"")</f>
        <v/>
      </c>
      <c r="L1" s="3" t="str">
        <f>IFERROR(__xludf.DUMMYFUNCTION("""COMPUTED_VALUE"""),"")</f>
        <v/>
      </c>
      <c r="M1" s="3" t="str">
        <f>IFERROR(__xludf.DUMMYFUNCTION("""COMPUTED_VALUE"""),"")</f>
        <v/>
      </c>
      <c r="N1" s="3" t="str">
        <f>IFERROR(__xludf.DUMMYFUNCTION("""COMPUTED_VALUE"""),"")</f>
        <v/>
      </c>
      <c r="O1" s="3" t="str">
        <f>IFERROR(__xludf.DUMMYFUNCTION("""COMPUTED_VALUE"""),"")</f>
        <v/>
      </c>
      <c r="P1" s="3" t="str">
        <f>IFERROR(__xludf.DUMMYFUNCTION("""COMPUTED_VALUE"""),"")</f>
        <v/>
      </c>
      <c r="Q1" s="3" t="str">
        <f>IFERROR(__xludf.DUMMYFUNCTION("""COMPUTED_VALUE"""),"")</f>
        <v/>
      </c>
      <c r="R1" s="3" t="str">
        <f>IFERROR(__xludf.DUMMYFUNCTION("""COMPUTED_VALUE"""),"")</f>
        <v/>
      </c>
      <c r="S1" s="3" t="str">
        <f>IFERROR(__xludf.DUMMYFUNCTION("""COMPUTED_VALUE"""),"")</f>
        <v/>
      </c>
      <c r="T1" s="3" t="str">
        <f>IFERROR(__xludf.DUMMYFUNCTION("""COMPUTED_VALUE"""),"")</f>
        <v/>
      </c>
      <c r="U1" s="3" t="str">
        <f>IFERROR(__xludf.DUMMYFUNCTION("""COMPUTED_VALUE"""),"")</f>
        <v/>
      </c>
      <c r="V1" s="3" t="str">
        <f>IFERROR(__xludf.DUMMYFUNCTION("""COMPUTED_VALUE"""),"")</f>
        <v/>
      </c>
      <c r="W1" s="3" t="str">
        <f>IFERROR(__xludf.DUMMYFUNCTION("""COMPUTED_VALUE"""),"")</f>
        <v/>
      </c>
      <c r="X1" s="3" t="str">
        <f>IFERROR(__xludf.DUMMYFUNCTION("""COMPUTED_VALUE"""),"")</f>
        <v/>
      </c>
      <c r="Y1" s="3" t="str">
        <f>IFERROR(__xludf.DUMMYFUNCTION("""COMPUTED_VALUE"""),"")</f>
        <v/>
      </c>
      <c r="Z1" s="4" t="str">
        <f>IFERROR(__xludf.DUMMYFUNCTION("""COMPUTED_VALUE"""),"Grade Order")</f>
        <v>Grade Order</v>
      </c>
    </row>
    <row r="2">
      <c r="A2" s="5" t="b">
        <f>IFERROR(__xludf.DUMMYFUNCTION("""COMPUTED_VALUE"""),FALSE)</f>
        <v>0</v>
      </c>
      <c r="B2" s="5" t="str">
        <f>IFERROR(__xludf.DUMMYFUNCTION("""COMPUTED_VALUE"""),"Capitaine")</f>
        <v>Capitaine</v>
      </c>
      <c r="C2" s="15" t="str">
        <f>IFERROR(__xludf.DUMMYFUNCTION("""COMPUTED_VALUE"""),"Theodrek")</f>
        <v>Theodrek</v>
      </c>
      <c r="D2" s="7" t="str">
        <f>IFERROR(__xludf.DUMMYFUNCTION("""COMPUTED_VALUE"""),"Heid")</f>
        <v>Heid</v>
      </c>
      <c r="E2" s="5" t="str">
        <f>IFERROR(__xludf.DUMMYFUNCTION("""COMPUTED_VALUE"""),"Hird du Jarl")</f>
        <v>Hird du Jarl</v>
      </c>
      <c r="F2" s="12" t="str">
        <f>IFERROR(__xludf.DUMMYFUNCTION("""COMPUTED_VALUE"""),"Hird")</f>
        <v>Hird</v>
      </c>
      <c r="G2" s="5" t="str">
        <f>IFERROR(__xludf.DUMMYFUNCTION("""COMPUTED_VALUE"""),"En service actif")</f>
        <v>En service actif</v>
      </c>
      <c r="H2" s="5"/>
      <c r="I2" s="38"/>
      <c r="J2" s="8">
        <f>IFERROR(__xludf.DUMMYFUNCTION("""COMPUTED_VALUE"""),0.0)</f>
        <v>0</v>
      </c>
      <c r="K2" s="8"/>
      <c r="L2" s="8"/>
      <c r="M2" s="8"/>
      <c r="N2" s="8"/>
      <c r="O2" s="8"/>
      <c r="P2" s="8"/>
      <c r="Q2" s="8"/>
      <c r="R2" s="8"/>
      <c r="S2" s="8"/>
      <c r="T2" s="8"/>
      <c r="U2" s="8"/>
      <c r="V2" s="8"/>
      <c r="W2" s="8"/>
      <c r="X2" s="8"/>
      <c r="Y2" s="8"/>
      <c r="Z2" s="8">
        <f>IFERROR(__xludf.DUMMYFUNCTION("""COMPUTED_VALUE"""),4.0)</f>
        <v>4</v>
      </c>
    </row>
    <row r="3">
      <c r="A3" s="5" t="b">
        <f>IFERROR(__xludf.DUMMYFUNCTION("""COMPUTED_VALUE"""),FALSE)</f>
        <v>0</v>
      </c>
      <c r="B3" s="5" t="str">
        <f>IFERROR(__xludf.DUMMYFUNCTION("""COMPUTED_VALUE"""),"Garde")</f>
        <v>Garde</v>
      </c>
      <c r="C3" s="15" t="str">
        <f>IFERROR(__xludf.DUMMYFUNCTION("""COMPUTED_VALUE"""),"Kronk")</f>
        <v>Kronk</v>
      </c>
      <c r="D3" s="21" t="str">
        <f>IFERROR(__xludf.DUMMYFUNCTION("""COMPUTED_VALUE"""),"Grognon")</f>
        <v>Grognon</v>
      </c>
      <c r="E3" s="5" t="str">
        <f>IFERROR(__xludf.DUMMYFUNCTION("""COMPUTED_VALUE"""),"Hird du Jarl")</f>
        <v>Hird du Jarl</v>
      </c>
      <c r="F3" s="12" t="str">
        <f>IFERROR(__xludf.DUMMYFUNCTION("""COMPUTED_VALUE"""),"Hird")</f>
        <v>Hird</v>
      </c>
      <c r="G3" s="5" t="str">
        <f>IFERROR(__xludf.DUMMYFUNCTION("""COMPUTED_VALUE"""),"En service actif")</f>
        <v>En service actif</v>
      </c>
      <c r="H3" s="5"/>
      <c r="I3" s="38"/>
      <c r="J3" s="8">
        <f>IFERROR(__xludf.DUMMYFUNCTION("""COMPUTED_VALUE"""),0.0)</f>
        <v>0</v>
      </c>
      <c r="K3" s="8"/>
      <c r="L3" s="8"/>
      <c r="M3" s="8"/>
      <c r="N3" s="8"/>
      <c r="O3" s="8"/>
      <c r="P3" s="8"/>
      <c r="Q3" s="8"/>
      <c r="R3" s="8"/>
      <c r="S3" s="8"/>
      <c r="T3" s="8"/>
      <c r="U3" s="8"/>
      <c r="V3" s="8"/>
      <c r="W3" s="8"/>
      <c r="X3" s="8"/>
      <c r="Y3" s="8"/>
      <c r="Z3" s="8">
        <f>IFERROR(__xludf.DUMMYFUNCTION("""COMPUTED_VALUE"""),11.0)</f>
        <v>11</v>
      </c>
    </row>
    <row r="4">
      <c r="A4" s="5" t="b">
        <f>IFERROR(__xludf.DUMMYFUNCTION("""COMPUTED_VALUE"""),FALSE)</f>
        <v>0</v>
      </c>
      <c r="B4" s="5" t="str">
        <f>IFERROR(__xludf.DUMMYFUNCTION("""COMPUTED_VALUE"""),"Garde")</f>
        <v>Garde</v>
      </c>
      <c r="C4" s="15" t="str">
        <f>IFERROR(__xludf.DUMMYFUNCTION("""COMPUTED_VALUE"""),"Gronk")</f>
        <v>Gronk</v>
      </c>
      <c r="D4" s="21" t="str">
        <f>IFERROR(__xludf.DUMMYFUNCTION("""COMPUTED_VALUE"""),"Grognon")</f>
        <v>Grognon</v>
      </c>
      <c r="E4" s="5" t="str">
        <f>IFERROR(__xludf.DUMMYFUNCTION("""COMPUTED_VALUE"""),"Hird du Jarl")</f>
        <v>Hird du Jarl</v>
      </c>
      <c r="F4" s="12" t="str">
        <f>IFERROR(__xludf.DUMMYFUNCTION("""COMPUTED_VALUE"""),"Hird")</f>
        <v>Hird</v>
      </c>
      <c r="G4" s="5" t="str">
        <f>IFERROR(__xludf.DUMMYFUNCTION("""COMPUTED_VALUE"""),"En service actif")</f>
        <v>En service actif</v>
      </c>
      <c r="H4" s="5"/>
      <c r="I4" s="38"/>
      <c r="J4" s="8">
        <f>IFERROR(__xludf.DUMMYFUNCTION("""COMPUTED_VALUE"""),0.0)</f>
        <v>0</v>
      </c>
      <c r="K4" s="8"/>
      <c r="L4" s="8"/>
      <c r="M4" s="8"/>
      <c r="N4" s="8"/>
      <c r="O4" s="8"/>
      <c r="P4" s="8"/>
      <c r="Q4" s="8"/>
      <c r="R4" s="8"/>
      <c r="S4" s="8"/>
      <c r="T4" s="8"/>
      <c r="U4" s="8"/>
      <c r="V4" s="8"/>
      <c r="W4" s="8"/>
      <c r="X4" s="8"/>
      <c r="Y4" s="8"/>
      <c r="Z4" s="8">
        <f>IFERROR(__xludf.DUMMYFUNCTION("""COMPUTED_VALUE"""),11.0)</f>
        <v>11</v>
      </c>
    </row>
    <row r="5">
      <c r="A5" s="5" t="b">
        <f>IFERROR(__xludf.DUMMYFUNCTION("""COMPUTED_VALUE"""),FALSE)</f>
        <v>0</v>
      </c>
      <c r="B5" s="5" t="str">
        <f>IFERROR(__xludf.DUMMYFUNCTION("""COMPUTED_VALUE"""),"Garde")</f>
        <v>Garde</v>
      </c>
      <c r="C5" s="15" t="str">
        <f>IFERROR(__xludf.DUMMYFUNCTION("""COMPUTED_VALUE"""),"S'Khar")</f>
        <v>S'Khar</v>
      </c>
      <c r="D5" s="7"/>
      <c r="E5" s="5" t="str">
        <f>IFERROR(__xludf.DUMMYFUNCTION("""COMPUTED_VALUE"""),"Hird du Jarl")</f>
        <v>Hird du Jarl</v>
      </c>
      <c r="F5" s="12" t="str">
        <f>IFERROR(__xludf.DUMMYFUNCTION("""COMPUTED_VALUE"""),"Hird")</f>
        <v>Hird</v>
      </c>
      <c r="G5" s="5" t="str">
        <f>IFERROR(__xludf.DUMMYFUNCTION("""COMPUTED_VALUE"""),"En service actif")</f>
        <v>En service actif</v>
      </c>
      <c r="H5" s="5"/>
      <c r="I5" s="38"/>
      <c r="J5" s="8">
        <f>IFERROR(__xludf.DUMMYFUNCTION("""COMPUTED_VALUE"""),0.0)</f>
        <v>0</v>
      </c>
      <c r="K5" s="8"/>
      <c r="L5" s="8"/>
      <c r="M5" s="8"/>
      <c r="N5" s="8"/>
      <c r="O5" s="8"/>
      <c r="P5" s="8"/>
      <c r="Q5" s="8"/>
      <c r="R5" s="8"/>
      <c r="S5" s="8"/>
      <c r="T5" s="8"/>
      <c r="U5" s="8"/>
      <c r="V5" s="8"/>
      <c r="W5" s="8"/>
      <c r="X5" s="8"/>
      <c r="Y5" s="8"/>
      <c r="Z5" s="8">
        <f>IFERROR(__xludf.DUMMYFUNCTION("""COMPUTED_VALUE"""),11.0)</f>
        <v>11</v>
      </c>
    </row>
    <row r="6">
      <c r="A6" s="5" t="b">
        <f>IFERROR(__xludf.DUMMYFUNCTION("""COMPUTED_VALUE"""),FALSE)</f>
        <v>0</v>
      </c>
      <c r="B6" s="5" t="str">
        <f>IFERROR(__xludf.DUMMYFUNCTION("""COMPUTED_VALUE"""),"Garde")</f>
        <v>Garde</v>
      </c>
      <c r="C6" s="15" t="str">
        <f>IFERROR(__xludf.DUMMYFUNCTION("""COMPUTED_VALUE"""),"Gorbash")</f>
        <v>Gorbash</v>
      </c>
      <c r="D6" s="7" t="str">
        <f>IFERROR(__xludf.DUMMYFUNCTION("""COMPUTED_VALUE"""),"Tête-de-Pierre")</f>
        <v>Tête-de-Pierre</v>
      </c>
      <c r="E6" s="5" t="str">
        <f>IFERROR(__xludf.DUMMYFUNCTION("""COMPUTED_VALUE"""),"Hird du Jarl")</f>
        <v>Hird du Jarl</v>
      </c>
      <c r="F6" s="12" t="str">
        <f>IFERROR(__xludf.DUMMYFUNCTION("""COMPUTED_VALUE"""),"Hird")</f>
        <v>Hird</v>
      </c>
      <c r="G6" s="5" t="str">
        <f>IFERROR(__xludf.DUMMYFUNCTION("""COMPUTED_VALUE"""),"En service actif")</f>
        <v>En service actif</v>
      </c>
      <c r="H6" s="5"/>
      <c r="I6" s="16"/>
      <c r="J6" s="8">
        <f>IFERROR(__xludf.DUMMYFUNCTION("""COMPUTED_VALUE"""),0.0)</f>
        <v>0</v>
      </c>
      <c r="K6" s="8"/>
      <c r="L6" s="8"/>
      <c r="M6" s="8"/>
      <c r="N6" s="8"/>
      <c r="O6" s="8"/>
      <c r="P6" s="8"/>
      <c r="Q6" s="8"/>
      <c r="R6" s="8"/>
      <c r="S6" s="8"/>
      <c r="T6" s="8"/>
      <c r="U6" s="8"/>
      <c r="V6" s="8"/>
      <c r="W6" s="8"/>
      <c r="X6" s="8"/>
      <c r="Y6" s="8"/>
      <c r="Z6" s="8">
        <f>IFERROR(__xludf.DUMMYFUNCTION("""COMPUTED_VALUE"""),11.0)</f>
        <v>11</v>
      </c>
    </row>
    <row r="7">
      <c r="A7" s="5" t="b">
        <f>IFERROR(__xludf.DUMMYFUNCTION("""COMPUTED_VALUE"""),FALSE)</f>
        <v>0</v>
      </c>
      <c r="B7" s="5" t="str">
        <f>IFERROR(__xludf.DUMMYFUNCTION("""COMPUTED_VALUE"""),"Garde")</f>
        <v>Garde</v>
      </c>
      <c r="C7" s="15" t="str">
        <f>IFERROR(__xludf.DUMMYFUNCTION("""COMPUTED_VALUE"""),"Armand")</f>
        <v>Armand</v>
      </c>
      <c r="D7" s="7" t="str">
        <f>IFERROR(__xludf.DUMMYFUNCTION("""COMPUTED_VALUE"""),"De Valclair")</f>
        <v>De Valclair</v>
      </c>
      <c r="E7" s="5" t="str">
        <f>IFERROR(__xludf.DUMMYFUNCTION("""COMPUTED_VALUE"""),"Hird du Jarl")</f>
        <v>Hird du Jarl</v>
      </c>
      <c r="F7" s="12" t="str">
        <f>IFERROR(__xludf.DUMMYFUNCTION("""COMPUTED_VALUE"""),"Hird")</f>
        <v>Hird</v>
      </c>
      <c r="G7" s="5" t="str">
        <f>IFERROR(__xludf.DUMMYFUNCTION("""COMPUTED_VALUE"""),"En service actif")</f>
        <v>En service actif</v>
      </c>
      <c r="H7" s="8"/>
      <c r="I7" s="38"/>
      <c r="J7" s="8">
        <f>IFERROR(__xludf.DUMMYFUNCTION("""COMPUTED_VALUE"""),0.0)</f>
        <v>0</v>
      </c>
      <c r="K7" s="8"/>
      <c r="L7" s="8"/>
      <c r="M7" s="8"/>
      <c r="N7" s="8"/>
      <c r="O7" s="8"/>
      <c r="P7" s="8"/>
      <c r="Q7" s="8"/>
      <c r="R7" s="8"/>
      <c r="S7" s="8"/>
      <c r="T7" s="8"/>
      <c r="U7" s="8"/>
      <c r="V7" s="8"/>
      <c r="W7" s="8"/>
      <c r="X7" s="8"/>
      <c r="Y7" s="8"/>
      <c r="Z7" s="8">
        <f>IFERROR(__xludf.DUMMYFUNCTION("""COMPUTED_VALUE"""),11.0)</f>
        <v>11</v>
      </c>
    </row>
    <row r="8">
      <c r="A8" s="5" t="b">
        <f>IFERROR(__xludf.DUMMYFUNCTION("""COMPUTED_VALUE"""),FALSE)</f>
        <v>0</v>
      </c>
      <c r="B8" s="5" t="str">
        <f>IFERROR(__xludf.DUMMYFUNCTION("""COMPUTED_VALUE"""),"Garde")</f>
        <v>Garde</v>
      </c>
      <c r="C8" s="15" t="str">
        <f>IFERROR(__xludf.DUMMYFUNCTION("""COMPUTED_VALUE"""),"Si'Yara")</f>
        <v>Si'Yara</v>
      </c>
      <c r="D8" s="7" t="str">
        <f>IFERROR(__xludf.DUMMYFUNCTION("""COMPUTED_VALUE"""),"dite Fou")</f>
        <v>dite Fou</v>
      </c>
      <c r="E8" s="5" t="str">
        <f>IFERROR(__xludf.DUMMYFUNCTION("""COMPUTED_VALUE"""),"Hird du Jarl")</f>
        <v>Hird du Jarl</v>
      </c>
      <c r="F8" s="12" t="str">
        <f>IFERROR(__xludf.DUMMYFUNCTION("""COMPUTED_VALUE"""),"Hird")</f>
        <v>Hird</v>
      </c>
      <c r="G8" s="5" t="str">
        <f>IFERROR(__xludf.DUMMYFUNCTION("""COMPUTED_VALUE"""),"En service actif")</f>
        <v>En service actif</v>
      </c>
      <c r="H8" s="8"/>
      <c r="I8" s="38"/>
      <c r="J8" s="8">
        <f>IFERROR(__xludf.DUMMYFUNCTION("""COMPUTED_VALUE"""),0.0)</f>
        <v>0</v>
      </c>
      <c r="K8" s="8"/>
      <c r="L8" s="8"/>
      <c r="M8" s="8"/>
      <c r="N8" s="8"/>
      <c r="O8" s="8"/>
      <c r="P8" s="8"/>
      <c r="Q8" s="8"/>
      <c r="R8" s="8"/>
      <c r="S8" s="8"/>
      <c r="T8" s="8"/>
      <c r="U8" s="8"/>
      <c r="V8" s="8"/>
      <c r="W8" s="8"/>
      <c r="X8" s="8"/>
      <c r="Y8" s="8"/>
      <c r="Z8" s="8">
        <f>IFERROR(__xludf.DUMMYFUNCTION("""COMPUTED_VALUE"""),11.0)</f>
        <v>11</v>
      </c>
    </row>
    <row r="9">
      <c r="A9" s="5" t="b">
        <f>IFERROR(__xludf.DUMMYFUNCTION("""COMPUTED_VALUE"""),FALSE)</f>
        <v>0</v>
      </c>
      <c r="B9" s="5" t="str">
        <f>IFERROR(__xludf.DUMMYFUNCTION("""COMPUTED_VALUE"""),"Garde")</f>
        <v>Garde</v>
      </c>
      <c r="C9" s="15" t="str">
        <f>IFERROR(__xludf.DUMMYFUNCTION("""COMPUTED_VALUE"""),"Lokh")</f>
        <v>Lokh</v>
      </c>
      <c r="D9" s="33" t="str">
        <f>IFERROR(__xludf.DUMMYFUNCTION("""COMPUTED_VALUE"""),"Tar")</f>
        <v>Tar</v>
      </c>
      <c r="E9" s="5" t="str">
        <f>IFERROR(__xludf.DUMMYFUNCTION("""COMPUTED_VALUE"""),"Hird du Jarl")</f>
        <v>Hird du Jarl</v>
      </c>
      <c r="F9" s="12" t="str">
        <f>IFERROR(__xludf.DUMMYFUNCTION("""COMPUTED_VALUE"""),"Hird")</f>
        <v>Hird</v>
      </c>
      <c r="G9" s="5" t="str">
        <f>IFERROR(__xludf.DUMMYFUNCTION("""COMPUTED_VALUE"""),"En service actif")</f>
        <v>En service actif</v>
      </c>
      <c r="H9" s="5"/>
      <c r="I9" s="38"/>
      <c r="J9" s="8">
        <f>IFERROR(__xludf.DUMMYFUNCTION("""COMPUTED_VALUE"""),0.0)</f>
        <v>0</v>
      </c>
      <c r="K9" s="8"/>
      <c r="L9" s="8"/>
      <c r="M9" s="8"/>
      <c r="N9" s="8"/>
      <c r="O9" s="8"/>
      <c r="P9" s="8"/>
      <c r="Q9" s="8"/>
      <c r="R9" s="8"/>
      <c r="S9" s="8"/>
      <c r="T9" s="8"/>
      <c r="U9" s="8"/>
      <c r="V9" s="8"/>
      <c r="W9" s="8"/>
      <c r="X9" s="8"/>
      <c r="Y9" s="8"/>
      <c r="Z9" s="8">
        <f>IFERROR(__xludf.DUMMYFUNCTION("""COMPUTED_VALUE"""),11.0)</f>
        <v>11</v>
      </c>
    </row>
    <row r="10">
      <c r="A10" s="8" t="b">
        <f>IFERROR(__xludf.DUMMYFUNCTION("""COMPUTED_VALUE"""),FALSE)</f>
        <v>0</v>
      </c>
      <c r="B10" s="5" t="str">
        <f>IFERROR(__xludf.DUMMYFUNCTION("""COMPUTED_VALUE"""),"Garde")</f>
        <v>Garde</v>
      </c>
      <c r="C10" s="15" t="str">
        <f>IFERROR(__xludf.DUMMYFUNCTION("""COMPUTED_VALUE"""),"Lucius")</f>
        <v>Lucius</v>
      </c>
      <c r="D10" s="7" t="str">
        <f>IFERROR(__xludf.DUMMYFUNCTION("""COMPUTED_VALUE"""),"Ravenshield")</f>
        <v>Ravenshield</v>
      </c>
      <c r="E10" s="5" t="str">
        <f>IFERROR(__xludf.DUMMYFUNCTION("""COMPUTED_VALUE"""),"Hird du Jarl")</f>
        <v>Hird du Jarl</v>
      </c>
      <c r="F10" s="12" t="str">
        <f>IFERROR(__xludf.DUMMYFUNCTION("""COMPUTED_VALUE"""),"Hird")</f>
        <v>Hird</v>
      </c>
      <c r="G10" s="5" t="str">
        <f>IFERROR(__xludf.DUMMYFUNCTION("""COMPUTED_VALUE"""),"En service actif")</f>
        <v>En service actif</v>
      </c>
      <c r="H10" s="8"/>
      <c r="I10" s="76"/>
      <c r="J10" s="8">
        <f>IFERROR(__xludf.DUMMYFUNCTION("""COMPUTED_VALUE"""),0.0)</f>
        <v>0</v>
      </c>
      <c r="K10" s="8"/>
      <c r="L10" s="8"/>
      <c r="M10" s="8"/>
      <c r="N10" s="8"/>
      <c r="O10" s="8"/>
      <c r="P10" s="8"/>
      <c r="Q10" s="8"/>
      <c r="R10" s="8"/>
      <c r="S10" s="8"/>
      <c r="T10" s="8"/>
      <c r="U10" s="8"/>
      <c r="V10" s="8"/>
      <c r="W10" s="8"/>
      <c r="X10" s="8"/>
      <c r="Y10" s="8"/>
      <c r="Z10" s="8">
        <f>IFERROR(__xludf.DUMMYFUNCTION("""COMPUTED_VALUE"""),11.0)</f>
        <v>11</v>
      </c>
    </row>
    <row r="11">
      <c r="A11" s="8" t="b">
        <f>IFERROR(__xludf.DUMMYFUNCTION("""COMPUTED_VALUE"""),FALSE)</f>
        <v>0</v>
      </c>
      <c r="B11" s="5" t="str">
        <f>IFERROR(__xludf.DUMMYFUNCTION("""COMPUTED_VALUE"""),"Garde")</f>
        <v>Garde</v>
      </c>
      <c r="C11" s="15" t="str">
        <f>IFERROR(__xludf.DUMMYFUNCTION("""COMPUTED_VALUE"""),"Faynir")</f>
        <v>Faynir</v>
      </c>
      <c r="D11" s="21"/>
      <c r="E11" s="5" t="str">
        <f>IFERROR(__xludf.DUMMYFUNCTION("""COMPUTED_VALUE"""),"Hird du Jarl")</f>
        <v>Hird du Jarl</v>
      </c>
      <c r="F11" s="12" t="str">
        <f>IFERROR(__xludf.DUMMYFUNCTION("""COMPUTED_VALUE"""),"Hird")</f>
        <v>Hird</v>
      </c>
      <c r="G11" s="5" t="str">
        <f>IFERROR(__xludf.DUMMYFUNCTION("""COMPUTED_VALUE"""),"En service actif")</f>
        <v>En service actif</v>
      </c>
      <c r="H11" s="8"/>
      <c r="I11" s="76"/>
      <c r="J11" s="8">
        <f>IFERROR(__xludf.DUMMYFUNCTION("""COMPUTED_VALUE"""),0.0)</f>
        <v>0</v>
      </c>
      <c r="K11" s="8"/>
      <c r="L11" s="8"/>
      <c r="M11" s="8"/>
      <c r="N11" s="8"/>
      <c r="O11" s="8"/>
      <c r="P11" s="8"/>
      <c r="Q11" s="8"/>
      <c r="R11" s="8"/>
      <c r="S11" s="8"/>
      <c r="T11" s="8"/>
      <c r="U11" s="8"/>
      <c r="V11" s="8"/>
      <c r="W11" s="8"/>
      <c r="X11" s="8"/>
      <c r="Y11" s="8"/>
      <c r="Z11" s="8">
        <f>IFERROR(__xludf.DUMMYFUNCTION("""COMPUTED_VALUE"""),11.0)</f>
        <v>11</v>
      </c>
    </row>
    <row r="12">
      <c r="A12" s="5" t="b">
        <f>IFERROR(__xludf.DUMMYFUNCTION("""COMPUTED_VALUE"""),FALSE)</f>
        <v>0</v>
      </c>
      <c r="B12" s="5" t="str">
        <f>IFERROR(__xludf.DUMMYFUNCTION("""COMPUTED_VALUE"""),"Garde")</f>
        <v>Garde</v>
      </c>
      <c r="C12" s="15" t="str">
        <f>IFERROR(__xludf.DUMMYFUNCTION("""COMPUTED_VALUE"""),"Varaa")</f>
        <v>Varaa</v>
      </c>
      <c r="D12" s="21" t="str">
        <f>IFERROR(__xludf.DUMMYFUNCTION("""COMPUTED_VALUE"""),"Uzgar")</f>
        <v>Uzgar</v>
      </c>
      <c r="E12" s="5" t="str">
        <f>IFERROR(__xludf.DUMMYFUNCTION("""COMPUTED_VALUE"""),"Hird du Jarl")</f>
        <v>Hird du Jarl</v>
      </c>
      <c r="F12" s="12" t="str">
        <f>IFERROR(__xludf.DUMMYFUNCTION("""COMPUTED_VALUE"""),"Hird")</f>
        <v>Hird</v>
      </c>
      <c r="G12" s="5" t="str">
        <f>IFERROR(__xludf.DUMMYFUNCTION("""COMPUTED_VALUE"""),"En service actif")</f>
        <v>En service actif</v>
      </c>
      <c r="H12" s="5"/>
      <c r="I12" s="38"/>
      <c r="J12" s="8">
        <f>IFERROR(__xludf.DUMMYFUNCTION("""COMPUTED_VALUE"""),0.0)</f>
        <v>0</v>
      </c>
      <c r="K12" s="8"/>
      <c r="L12" s="8"/>
      <c r="M12" s="8"/>
      <c r="N12" s="8"/>
      <c r="O12" s="8"/>
      <c r="P12" s="8"/>
      <c r="Q12" s="8"/>
      <c r="R12" s="8"/>
      <c r="S12" s="8"/>
      <c r="T12" s="8"/>
      <c r="U12" s="8"/>
      <c r="V12" s="8"/>
      <c r="W12" s="8"/>
      <c r="X12" s="8"/>
      <c r="Y12" s="8"/>
      <c r="Z12" s="8">
        <f>IFERROR(__xludf.DUMMYFUNCTION("""COMPUTED_VALUE"""),11.0)</f>
        <v>11</v>
      </c>
    </row>
    <row r="13">
      <c r="A13" s="5"/>
      <c r="B13" s="5"/>
      <c r="C13" s="15"/>
      <c r="D13" s="21"/>
      <c r="E13" s="5"/>
      <c r="F13" s="12"/>
      <c r="G13" s="5"/>
      <c r="H13" s="5"/>
      <c r="I13" s="38"/>
    </row>
    <row r="14">
      <c r="A14" s="5"/>
      <c r="B14" s="5"/>
      <c r="C14" s="15"/>
      <c r="D14" s="7"/>
      <c r="E14" s="5"/>
      <c r="F14" s="12"/>
      <c r="G14" s="5"/>
      <c r="H14" s="8"/>
      <c r="I14" s="38"/>
    </row>
    <row r="15">
      <c r="A15" s="5"/>
      <c r="B15" s="5"/>
      <c r="C15" s="15"/>
      <c r="D15" s="7"/>
      <c r="E15" s="5"/>
      <c r="F15" s="12"/>
      <c r="G15" s="5"/>
      <c r="H15" s="8"/>
      <c r="I15" s="38"/>
    </row>
    <row r="16">
      <c r="A16" s="5"/>
      <c r="B16" s="5"/>
      <c r="C16" s="15"/>
      <c r="D16" s="7"/>
      <c r="E16" s="5"/>
      <c r="F16" s="12"/>
      <c r="G16" s="5"/>
      <c r="H16" s="8"/>
      <c r="I16" s="38"/>
    </row>
    <row r="17">
      <c r="A17" s="5"/>
      <c r="B17" s="5"/>
      <c r="C17" s="15"/>
      <c r="D17" s="7"/>
      <c r="E17" s="5"/>
      <c r="F17" s="12"/>
      <c r="G17" s="5"/>
      <c r="H17" s="8"/>
      <c r="I17" s="38"/>
    </row>
    <row r="18">
      <c r="A18" s="5"/>
      <c r="B18" s="5"/>
      <c r="C18" s="15"/>
      <c r="D18" s="21"/>
      <c r="E18" s="5"/>
      <c r="F18" s="12"/>
      <c r="G18" s="5"/>
      <c r="H18" s="8"/>
      <c r="I18" s="38"/>
    </row>
    <row r="19">
      <c r="A19" s="5"/>
      <c r="B19" s="5"/>
      <c r="C19" s="15"/>
      <c r="D19" s="21"/>
      <c r="E19" s="5"/>
      <c r="F19" s="12"/>
      <c r="G19" s="5"/>
      <c r="H19" s="8"/>
      <c r="I19" s="38"/>
    </row>
    <row r="20">
      <c r="A20" s="5"/>
      <c r="B20" s="5"/>
      <c r="C20" s="15"/>
      <c r="D20" s="21"/>
      <c r="E20" s="5"/>
      <c r="F20" s="12"/>
      <c r="G20" s="5"/>
      <c r="H20" s="8"/>
      <c r="I20" s="38"/>
    </row>
    <row r="21">
      <c r="A21" s="5"/>
      <c r="B21" s="5"/>
      <c r="C21" s="15"/>
      <c r="D21" s="7"/>
      <c r="E21" s="5"/>
      <c r="F21" s="12"/>
      <c r="G21" s="5"/>
      <c r="H21" s="5"/>
      <c r="I21" s="16"/>
    </row>
    <row r="22">
      <c r="A22" s="5"/>
      <c r="B22" s="5"/>
      <c r="C22" s="15"/>
      <c r="D22" s="7"/>
      <c r="E22" s="5"/>
      <c r="F22" s="12"/>
      <c r="G22" s="5"/>
      <c r="H22" s="5"/>
      <c r="I22" s="16"/>
    </row>
    <row r="23">
      <c r="A23" s="5"/>
      <c r="B23" s="5"/>
      <c r="C23" s="15"/>
      <c r="D23" s="7"/>
      <c r="E23" s="5"/>
      <c r="F23" s="12"/>
      <c r="G23" s="5"/>
      <c r="H23" s="5"/>
      <c r="I23" s="16"/>
    </row>
    <row r="24">
      <c r="A24" s="5"/>
      <c r="B24" s="5"/>
      <c r="C24" s="15"/>
      <c r="D24" s="21"/>
      <c r="E24" s="5"/>
      <c r="F24" s="12"/>
      <c r="G24" s="5"/>
      <c r="H24" s="8"/>
      <c r="I24" s="16"/>
    </row>
    <row r="25">
      <c r="A25" s="5"/>
      <c r="B25" s="5"/>
      <c r="C25" s="15"/>
      <c r="D25" s="7"/>
      <c r="E25" s="5"/>
      <c r="F25" s="12"/>
      <c r="G25" s="5"/>
      <c r="H25" s="8"/>
      <c r="I25" s="38"/>
    </row>
    <row r="26">
      <c r="A26" s="5"/>
      <c r="B26" s="5"/>
      <c r="C26" s="15"/>
      <c r="D26" s="21"/>
      <c r="E26" s="5"/>
      <c r="F26" s="12"/>
      <c r="G26" s="5"/>
      <c r="H26" s="8"/>
      <c r="I26" s="38"/>
    </row>
    <row r="27">
      <c r="A27" s="5"/>
      <c r="B27" s="5"/>
      <c r="C27" s="15"/>
      <c r="D27" s="21"/>
      <c r="E27" s="5"/>
      <c r="F27" s="12"/>
      <c r="G27" s="5"/>
      <c r="H27" s="8"/>
      <c r="I27" s="38"/>
    </row>
    <row r="28">
      <c r="A28" s="5"/>
      <c r="B28" s="5"/>
      <c r="C28" s="15"/>
      <c r="D28" s="7"/>
      <c r="E28" s="5"/>
      <c r="F28" s="12"/>
      <c r="G28" s="5"/>
      <c r="H28" s="8"/>
      <c r="I28" s="38"/>
    </row>
    <row r="29">
      <c r="A29" s="5"/>
      <c r="B29" s="5"/>
      <c r="C29" s="15"/>
      <c r="D29" s="7"/>
      <c r="E29" s="5"/>
      <c r="F29" s="12"/>
      <c r="G29" s="5"/>
      <c r="H29" s="8"/>
      <c r="I29" s="38"/>
    </row>
    <row r="30">
      <c r="A30" s="5"/>
      <c r="B30" s="5"/>
      <c r="C30" s="15"/>
      <c r="D30" s="21"/>
      <c r="E30" s="5"/>
      <c r="F30" s="12"/>
      <c r="G30" s="5"/>
      <c r="H30" s="8"/>
      <c r="I30" s="38"/>
    </row>
    <row r="31">
      <c r="A31" s="5"/>
      <c r="B31" s="5"/>
      <c r="C31" s="15"/>
      <c r="D31" s="21"/>
      <c r="E31" s="5"/>
      <c r="F31" s="12"/>
      <c r="G31" s="5"/>
      <c r="H31" s="8"/>
      <c r="I31" s="38"/>
    </row>
    <row r="32">
      <c r="A32" s="5"/>
      <c r="B32" s="5"/>
      <c r="C32" s="15"/>
      <c r="D32" s="7"/>
      <c r="E32" s="5"/>
      <c r="F32" s="12"/>
      <c r="G32" s="5"/>
      <c r="H32" s="8"/>
      <c r="I32" s="38"/>
    </row>
    <row r="33">
      <c r="A33" s="5"/>
      <c r="B33" s="5"/>
      <c r="C33" s="15"/>
      <c r="D33" s="7"/>
      <c r="E33" s="5"/>
      <c r="F33" s="12"/>
      <c r="G33" s="5"/>
      <c r="H33" s="8"/>
      <c r="I33" s="38"/>
    </row>
    <row r="34">
      <c r="A34" s="8"/>
      <c r="B34" s="5"/>
      <c r="C34" s="15"/>
      <c r="D34" s="21"/>
      <c r="E34" s="5"/>
      <c r="F34" s="12"/>
      <c r="G34" s="5"/>
      <c r="H34" s="8"/>
      <c r="I34" s="76"/>
    </row>
    <row r="35">
      <c r="A35" s="5"/>
      <c r="B35" s="5"/>
      <c r="C35" s="15"/>
      <c r="D35" s="21"/>
      <c r="E35" s="5"/>
      <c r="F35" s="12"/>
      <c r="G35" s="5"/>
      <c r="H35" s="8"/>
      <c r="I35" s="38"/>
    </row>
    <row r="36">
      <c r="A36" s="5"/>
      <c r="B36" s="5"/>
      <c r="C36" s="15"/>
      <c r="D36" s="7"/>
      <c r="E36" s="5"/>
      <c r="F36" s="12"/>
      <c r="G36" s="5"/>
      <c r="H36" s="8"/>
      <c r="I36" s="38"/>
    </row>
    <row r="37">
      <c r="A37" s="8"/>
      <c r="B37" s="5"/>
      <c r="C37" s="15"/>
      <c r="D37" s="7"/>
      <c r="E37" s="5"/>
      <c r="F37" s="12"/>
      <c r="G37" s="5"/>
      <c r="H37" s="8"/>
      <c r="I37" s="76"/>
    </row>
    <row r="38">
      <c r="A38" s="8"/>
      <c r="B38" s="5"/>
      <c r="C38" s="15"/>
      <c r="D38" s="7"/>
      <c r="E38" s="5"/>
      <c r="F38" s="12"/>
      <c r="G38" s="5"/>
      <c r="H38" s="8"/>
      <c r="I38" s="76"/>
    </row>
    <row r="39">
      <c r="A39" s="8"/>
      <c r="B39" s="5"/>
      <c r="C39" s="15"/>
      <c r="D39" s="21"/>
      <c r="E39" s="5"/>
      <c r="F39" s="12"/>
      <c r="G39" s="5"/>
      <c r="H39" s="8"/>
      <c r="I39" s="76"/>
    </row>
    <row r="40">
      <c r="A40" s="8"/>
      <c r="B40" s="8"/>
      <c r="C40" s="18"/>
      <c r="D40" s="21"/>
      <c r="E40" s="8"/>
      <c r="F40" s="8"/>
      <c r="G40" s="8"/>
      <c r="H40" s="8"/>
      <c r="I40" s="76"/>
    </row>
    <row r="41">
      <c r="A41" s="8"/>
      <c r="B41" s="8"/>
      <c r="C41" s="18"/>
      <c r="D41" s="21"/>
      <c r="E41" s="8"/>
      <c r="F41" s="8"/>
      <c r="G41" s="8"/>
      <c r="H41" s="8"/>
      <c r="I41" s="76"/>
    </row>
    <row r="42">
      <c r="A42" s="8"/>
      <c r="B42" s="8"/>
      <c r="C42" s="18"/>
      <c r="D42" s="21"/>
      <c r="E42" s="8"/>
      <c r="F42" s="8"/>
      <c r="G42" s="8"/>
      <c r="H42" s="8"/>
      <c r="I42" s="76"/>
    </row>
    <row r="43">
      <c r="A43" s="8"/>
      <c r="B43" s="8"/>
      <c r="C43" s="18"/>
      <c r="D43" s="21"/>
      <c r="E43" s="8"/>
      <c r="F43" s="8"/>
      <c r="G43" s="8"/>
      <c r="H43" s="8"/>
      <c r="I43" s="76"/>
    </row>
    <row r="44">
      <c r="A44" s="8"/>
      <c r="B44" s="8"/>
      <c r="C44" s="18"/>
      <c r="D44" s="21"/>
      <c r="E44" s="8"/>
      <c r="F44" s="8"/>
      <c r="G44" s="8"/>
      <c r="H44" s="8"/>
      <c r="I44" s="76"/>
    </row>
    <row r="45">
      <c r="A45" s="8"/>
      <c r="B45" s="8"/>
      <c r="C45" s="18"/>
      <c r="D45" s="21"/>
      <c r="E45" s="8"/>
      <c r="F45" s="8"/>
      <c r="G45" s="8"/>
      <c r="H45" s="8"/>
      <c r="I45" s="76"/>
    </row>
    <row r="46">
      <c r="A46" s="8"/>
      <c r="B46" s="8"/>
      <c r="C46" s="18"/>
      <c r="D46" s="21"/>
      <c r="E46" s="8"/>
      <c r="F46" s="8"/>
      <c r="G46" s="8"/>
      <c r="H46" s="8"/>
      <c r="I46" s="76"/>
    </row>
    <row r="47">
      <c r="A47" s="8"/>
      <c r="B47" s="8"/>
      <c r="C47" s="18"/>
      <c r="D47" s="21"/>
      <c r="E47" s="8"/>
      <c r="F47" s="8"/>
      <c r="G47" s="8"/>
      <c r="H47" s="8"/>
      <c r="I47" s="76"/>
    </row>
    <row r="48">
      <c r="A48" s="8"/>
      <c r="B48" s="8"/>
      <c r="C48" s="18"/>
      <c r="D48" s="21"/>
      <c r="E48" s="8"/>
      <c r="F48" s="8"/>
      <c r="G48" s="8"/>
      <c r="H48" s="8"/>
      <c r="I48" s="76"/>
    </row>
    <row r="49">
      <c r="A49" s="8"/>
      <c r="B49" s="8"/>
      <c r="C49" s="18"/>
      <c r="D49" s="21"/>
      <c r="E49" s="8"/>
      <c r="F49" s="8"/>
      <c r="G49" s="8"/>
      <c r="H49" s="8"/>
      <c r="I49" s="76"/>
    </row>
    <row r="50">
      <c r="A50" s="8"/>
      <c r="B50" s="8"/>
      <c r="C50" s="18"/>
      <c r="D50" s="21"/>
      <c r="E50" s="8"/>
      <c r="F50" s="8"/>
      <c r="G50" s="8"/>
      <c r="H50" s="8"/>
      <c r="I50" s="76"/>
    </row>
    <row r="51">
      <c r="A51" s="8"/>
      <c r="B51" s="8"/>
      <c r="C51" s="18"/>
      <c r="D51" s="21"/>
      <c r="E51" s="8"/>
      <c r="F51" s="8"/>
      <c r="G51" s="8"/>
      <c r="H51" s="8"/>
      <c r="I51" s="76"/>
    </row>
    <row r="52">
      <c r="A52" s="8"/>
      <c r="B52" s="8"/>
      <c r="C52" s="18"/>
      <c r="D52" s="21"/>
      <c r="E52" s="8"/>
      <c r="F52" s="8"/>
      <c r="G52" s="8"/>
      <c r="H52" s="8"/>
      <c r="I52" s="76"/>
    </row>
    <row r="53">
      <c r="A53" s="8"/>
      <c r="B53" s="8"/>
      <c r="C53" s="18"/>
      <c r="D53" s="21"/>
      <c r="E53" s="8"/>
      <c r="F53" s="8"/>
      <c r="G53" s="8"/>
      <c r="H53" s="8"/>
      <c r="I53" s="76"/>
    </row>
    <row r="54">
      <c r="A54" s="8"/>
      <c r="B54" s="8"/>
      <c r="C54" s="18"/>
      <c r="D54" s="21"/>
      <c r="E54" s="8"/>
      <c r="F54" s="8"/>
      <c r="G54" s="8"/>
      <c r="H54" s="8"/>
      <c r="I54" s="76"/>
    </row>
    <row r="55">
      <c r="A55" s="8"/>
      <c r="B55" s="8"/>
      <c r="C55" s="18"/>
      <c r="D55" s="21"/>
      <c r="E55" s="8"/>
      <c r="F55" s="8"/>
      <c r="G55" s="8"/>
      <c r="H55" s="8"/>
      <c r="I55" s="76"/>
    </row>
    <row r="56">
      <c r="A56" s="8"/>
      <c r="B56" s="8"/>
      <c r="C56" s="18"/>
      <c r="D56" s="21"/>
      <c r="E56" s="8"/>
      <c r="F56" s="8"/>
      <c r="G56" s="8"/>
      <c r="H56" s="8"/>
      <c r="I56" s="76"/>
    </row>
    <row r="57">
      <c r="A57" s="8"/>
      <c r="B57" s="8"/>
      <c r="C57" s="18"/>
      <c r="D57" s="21"/>
      <c r="E57" s="8"/>
      <c r="F57" s="8"/>
      <c r="G57" s="8"/>
      <c r="H57" s="8"/>
      <c r="I57" s="76"/>
    </row>
    <row r="58">
      <c r="A58" s="8"/>
      <c r="B58" s="8"/>
      <c r="C58" s="18"/>
      <c r="D58" s="21"/>
      <c r="E58" s="8"/>
      <c r="F58" s="8"/>
      <c r="G58" s="8"/>
      <c r="H58" s="8"/>
      <c r="I58" s="76"/>
    </row>
    <row r="59">
      <c r="A59" s="8"/>
      <c r="B59" s="8"/>
      <c r="C59" s="18"/>
      <c r="D59" s="21"/>
      <c r="E59" s="8"/>
      <c r="F59" s="8"/>
      <c r="G59" s="8"/>
      <c r="H59" s="8"/>
      <c r="I59" s="76"/>
    </row>
    <row r="60">
      <c r="A60" s="8"/>
      <c r="B60" s="8"/>
      <c r="C60" s="18"/>
      <c r="D60" s="21"/>
      <c r="E60" s="8"/>
      <c r="F60" s="8"/>
      <c r="G60" s="8"/>
      <c r="H60" s="8"/>
      <c r="I60" s="76"/>
    </row>
    <row r="61">
      <c r="A61" s="8"/>
      <c r="B61" s="8"/>
      <c r="C61" s="18"/>
      <c r="D61" s="21"/>
      <c r="E61" s="8"/>
      <c r="F61" s="8"/>
      <c r="G61" s="8"/>
      <c r="H61" s="8"/>
      <c r="I61" s="76"/>
    </row>
    <row r="62">
      <c r="A62" s="8"/>
      <c r="B62" s="8"/>
      <c r="C62" s="18"/>
      <c r="D62" s="21"/>
      <c r="E62" s="8"/>
      <c r="F62" s="8"/>
      <c r="G62" s="8"/>
      <c r="H62" s="8"/>
      <c r="I62" s="76"/>
    </row>
    <row r="63">
      <c r="A63" s="8"/>
      <c r="B63" s="8"/>
      <c r="C63" s="18"/>
      <c r="D63" s="21"/>
      <c r="E63" s="8"/>
      <c r="F63" s="8"/>
      <c r="G63" s="8"/>
      <c r="H63" s="8"/>
      <c r="I63" s="76"/>
    </row>
    <row r="64">
      <c r="A64" s="8"/>
      <c r="B64" s="8"/>
      <c r="C64" s="18"/>
      <c r="D64" s="21"/>
      <c r="E64" s="8"/>
      <c r="F64" s="8"/>
      <c r="G64" s="8"/>
      <c r="H64" s="8"/>
      <c r="I64" s="76"/>
    </row>
    <row r="65">
      <c r="A65" s="8"/>
      <c r="B65" s="8"/>
      <c r="C65" s="18"/>
      <c r="D65" s="21"/>
      <c r="E65" s="8"/>
      <c r="F65" s="8"/>
      <c r="G65" s="8"/>
      <c r="H65" s="8"/>
      <c r="I65" s="76"/>
    </row>
    <row r="66">
      <c r="A66" s="8"/>
      <c r="B66" s="8"/>
      <c r="C66" s="18"/>
      <c r="D66" s="21"/>
      <c r="E66" s="8"/>
      <c r="F66" s="8"/>
      <c r="G66" s="8"/>
      <c r="H66" s="8"/>
      <c r="I66" s="76"/>
    </row>
    <row r="67">
      <c r="A67" s="8"/>
      <c r="B67" s="8"/>
      <c r="C67" s="18"/>
      <c r="D67" s="21"/>
      <c r="E67" s="8"/>
      <c r="F67" s="8"/>
      <c r="G67" s="8"/>
      <c r="H67" s="8"/>
      <c r="I67" s="76"/>
    </row>
    <row r="68">
      <c r="A68" s="8"/>
      <c r="B68" s="8"/>
      <c r="C68" s="18"/>
      <c r="D68" s="21"/>
      <c r="E68" s="8"/>
      <c r="F68" s="8"/>
      <c r="G68" s="8"/>
      <c r="H68" s="8"/>
      <c r="I68" s="76"/>
    </row>
    <row r="69">
      <c r="A69" s="8"/>
      <c r="B69" s="8"/>
      <c r="C69" s="18"/>
      <c r="D69" s="21"/>
      <c r="E69" s="8"/>
      <c r="F69" s="8"/>
      <c r="G69" s="8"/>
      <c r="H69" s="8"/>
      <c r="I69" s="76"/>
    </row>
    <row r="70">
      <c r="A70" s="8"/>
      <c r="B70" s="8"/>
      <c r="C70" s="18"/>
      <c r="D70" s="21"/>
      <c r="E70" s="8"/>
      <c r="F70" s="8"/>
      <c r="G70" s="8"/>
      <c r="H70" s="8"/>
      <c r="I70" s="76"/>
    </row>
    <row r="71">
      <c r="A71" s="8"/>
      <c r="B71" s="8"/>
      <c r="C71" s="18"/>
      <c r="D71" s="21"/>
      <c r="E71" s="8"/>
      <c r="F71" s="8"/>
      <c r="G71" s="8"/>
      <c r="H71" s="8"/>
      <c r="I71" s="76"/>
    </row>
    <row r="72">
      <c r="A72" s="8"/>
      <c r="B72" s="8"/>
      <c r="C72" s="18"/>
      <c r="D72" s="21"/>
      <c r="E72" s="8"/>
      <c r="F72" s="8"/>
      <c r="G72" s="8"/>
      <c r="H72" s="8"/>
      <c r="I72" s="76"/>
    </row>
    <row r="73">
      <c r="A73" s="8"/>
      <c r="B73" s="8"/>
      <c r="C73" s="18"/>
      <c r="D73" s="21"/>
      <c r="E73" s="8"/>
      <c r="F73" s="8"/>
      <c r="G73" s="8"/>
      <c r="H73" s="8"/>
      <c r="I73" s="76"/>
    </row>
    <row r="74">
      <c r="A74" s="8"/>
      <c r="B74" s="8"/>
      <c r="C74" s="18"/>
      <c r="D74" s="21"/>
      <c r="E74" s="8"/>
      <c r="F74" s="8"/>
      <c r="G74" s="8"/>
      <c r="H74" s="8"/>
      <c r="I74" s="76"/>
    </row>
    <row r="75">
      <c r="A75" s="8"/>
      <c r="B75" s="8"/>
      <c r="C75" s="18"/>
      <c r="D75" s="21"/>
      <c r="E75" s="8"/>
      <c r="F75" s="8"/>
      <c r="G75" s="8"/>
      <c r="H75" s="8"/>
      <c r="I75" s="76"/>
    </row>
    <row r="76">
      <c r="A76" s="8"/>
      <c r="B76" s="8"/>
      <c r="C76" s="18"/>
      <c r="D76" s="21"/>
      <c r="E76" s="8"/>
      <c r="F76" s="8"/>
      <c r="G76" s="8"/>
      <c r="H76" s="8"/>
      <c r="I76" s="76"/>
    </row>
    <row r="77">
      <c r="A77" s="8"/>
      <c r="B77" s="8"/>
      <c r="C77" s="18"/>
      <c r="D77" s="21"/>
      <c r="E77" s="8"/>
      <c r="F77" s="8"/>
      <c r="G77" s="8"/>
      <c r="H77" s="8"/>
      <c r="I77" s="76"/>
    </row>
    <row r="78">
      <c r="A78" s="8"/>
      <c r="B78" s="8"/>
      <c r="C78" s="18"/>
      <c r="D78" s="21"/>
      <c r="E78" s="8"/>
      <c r="F78" s="8"/>
      <c r="G78" s="8"/>
      <c r="H78" s="8"/>
      <c r="I78" s="76"/>
    </row>
    <row r="79">
      <c r="A79" s="8"/>
      <c r="B79" s="8"/>
      <c r="C79" s="18"/>
      <c r="D79" s="21"/>
      <c r="E79" s="8"/>
      <c r="F79" s="8"/>
      <c r="G79" s="8"/>
      <c r="H79" s="8"/>
      <c r="I79" s="76"/>
    </row>
    <row r="80">
      <c r="A80" s="8"/>
      <c r="B80" s="8"/>
      <c r="C80" s="18"/>
      <c r="D80" s="21"/>
      <c r="E80" s="8"/>
      <c r="F80" s="8"/>
      <c r="G80" s="8"/>
      <c r="H80" s="8"/>
      <c r="I80" s="76"/>
    </row>
    <row r="81">
      <c r="A81" s="8"/>
      <c r="B81" s="8"/>
      <c r="C81" s="18"/>
      <c r="D81" s="21"/>
      <c r="E81" s="8"/>
      <c r="F81" s="8"/>
      <c r="G81" s="8"/>
      <c r="H81" s="8"/>
      <c r="I81" s="76"/>
    </row>
    <row r="82">
      <c r="A82" s="8"/>
      <c r="B82" s="8"/>
      <c r="C82" s="18"/>
      <c r="D82" s="21"/>
      <c r="E82" s="8"/>
      <c r="F82" s="8"/>
      <c r="G82" s="8"/>
      <c r="H82" s="8"/>
      <c r="I82" s="76"/>
    </row>
    <row r="83">
      <c r="A83" s="8"/>
      <c r="B83" s="8"/>
      <c r="C83" s="18"/>
      <c r="D83" s="21"/>
      <c r="E83" s="8"/>
      <c r="F83" s="8"/>
      <c r="G83" s="8"/>
      <c r="H83" s="8"/>
      <c r="I83" s="76"/>
    </row>
    <row r="84">
      <c r="A84" s="8"/>
      <c r="B84" s="8"/>
      <c r="C84" s="18"/>
      <c r="D84" s="21"/>
      <c r="E84" s="8"/>
      <c r="F84" s="8"/>
      <c r="G84" s="8"/>
      <c r="H84" s="8"/>
      <c r="I84" s="76"/>
    </row>
    <row r="85">
      <c r="A85" s="8"/>
      <c r="B85" s="8"/>
      <c r="C85" s="18"/>
      <c r="D85" s="21"/>
      <c r="E85" s="8"/>
      <c r="F85" s="8"/>
      <c r="G85" s="8"/>
      <c r="H85" s="8"/>
      <c r="I85" s="76"/>
    </row>
    <row r="86">
      <c r="A86" s="8"/>
      <c r="B86" s="8"/>
      <c r="C86" s="18"/>
      <c r="D86" s="21"/>
      <c r="E86" s="8"/>
      <c r="F86" s="8"/>
      <c r="G86" s="8"/>
      <c r="H86" s="8"/>
      <c r="I86" s="76"/>
    </row>
    <row r="87">
      <c r="A87" s="8"/>
      <c r="B87" s="8"/>
      <c r="C87" s="18"/>
      <c r="D87" s="21"/>
      <c r="E87" s="8"/>
      <c r="F87" s="8"/>
      <c r="G87" s="8"/>
      <c r="H87" s="8"/>
      <c r="I87" s="76"/>
    </row>
    <row r="88">
      <c r="A88" s="8"/>
      <c r="B88" s="8"/>
      <c r="C88" s="18"/>
      <c r="D88" s="21"/>
      <c r="E88" s="8"/>
      <c r="F88" s="8"/>
      <c r="G88" s="8"/>
      <c r="H88" s="8"/>
      <c r="I88" s="76"/>
    </row>
    <row r="89">
      <c r="A89" s="8"/>
      <c r="B89" s="8"/>
      <c r="C89" s="18"/>
      <c r="D89" s="21"/>
      <c r="E89" s="8"/>
      <c r="F89" s="8"/>
      <c r="G89" s="8"/>
      <c r="H89" s="8"/>
      <c r="I89" s="76"/>
    </row>
    <row r="90">
      <c r="A90" s="8"/>
      <c r="B90" s="8"/>
      <c r="C90" s="18"/>
      <c r="D90" s="21"/>
      <c r="E90" s="8"/>
      <c r="F90" s="8"/>
      <c r="G90" s="8"/>
      <c r="H90" s="8"/>
      <c r="I90" s="76"/>
    </row>
    <row r="91">
      <c r="A91" s="8"/>
      <c r="B91" s="8"/>
      <c r="C91" s="18"/>
      <c r="D91" s="21"/>
      <c r="E91" s="8"/>
      <c r="F91" s="8"/>
      <c r="G91" s="8"/>
      <c r="H91" s="8"/>
      <c r="I91" s="76"/>
    </row>
    <row r="92">
      <c r="A92" s="8"/>
      <c r="B92" s="8"/>
      <c r="C92" s="18"/>
      <c r="D92" s="21"/>
      <c r="E92" s="8"/>
      <c r="F92" s="8"/>
      <c r="G92" s="8"/>
      <c r="H92" s="8"/>
      <c r="I92" s="76"/>
    </row>
    <row r="93">
      <c r="A93" s="8"/>
      <c r="B93" s="8"/>
      <c r="C93" s="18"/>
      <c r="D93" s="21"/>
      <c r="E93" s="8"/>
      <c r="F93" s="8"/>
      <c r="G93" s="8"/>
      <c r="H93" s="8"/>
      <c r="I93" s="76"/>
    </row>
    <row r="94">
      <c r="A94" s="8"/>
      <c r="B94" s="8"/>
      <c r="C94" s="18"/>
      <c r="D94" s="21"/>
      <c r="E94" s="8"/>
      <c r="F94" s="8"/>
      <c r="G94" s="8"/>
      <c r="H94" s="8"/>
      <c r="I94" s="76"/>
    </row>
    <row r="95">
      <c r="A95" s="8"/>
      <c r="B95" s="8"/>
      <c r="C95" s="18"/>
      <c r="D95" s="21"/>
      <c r="E95" s="8"/>
      <c r="F95" s="8"/>
      <c r="G95" s="8"/>
      <c r="H95" s="8"/>
      <c r="I95" s="76"/>
    </row>
    <row r="96">
      <c r="A96" s="8"/>
      <c r="B96" s="8"/>
      <c r="C96" s="18"/>
      <c r="D96" s="21"/>
      <c r="E96" s="8"/>
      <c r="F96" s="8"/>
      <c r="G96" s="8"/>
      <c r="H96" s="8"/>
      <c r="I96" s="76"/>
    </row>
    <row r="97">
      <c r="A97" s="8"/>
      <c r="B97" s="8"/>
      <c r="C97" s="18"/>
      <c r="D97" s="21"/>
      <c r="E97" s="8"/>
      <c r="F97" s="8"/>
      <c r="G97" s="8"/>
      <c r="H97" s="8"/>
      <c r="I97" s="76"/>
    </row>
    <row r="98">
      <c r="A98" s="8"/>
      <c r="B98" s="8"/>
      <c r="C98" s="18"/>
      <c r="D98" s="21"/>
      <c r="E98" s="8"/>
      <c r="F98" s="8"/>
      <c r="G98" s="8"/>
      <c r="H98" s="8"/>
      <c r="I98" s="76"/>
    </row>
    <row r="99">
      <c r="A99" s="8"/>
      <c r="B99" s="8"/>
      <c r="C99" s="18"/>
      <c r="D99" s="21"/>
      <c r="E99" s="8"/>
      <c r="F99" s="8"/>
      <c r="G99" s="8"/>
      <c r="H99" s="8"/>
      <c r="I99" s="76"/>
    </row>
    <row r="100">
      <c r="A100" s="8"/>
      <c r="B100" s="8"/>
      <c r="C100" s="18"/>
      <c r="D100" s="21"/>
      <c r="E100" s="8"/>
      <c r="F100" s="8"/>
      <c r="G100" s="8"/>
      <c r="H100" s="8"/>
      <c r="I100" s="76"/>
    </row>
    <row r="101">
      <c r="A101" s="8"/>
      <c r="B101" s="8"/>
      <c r="C101" s="18"/>
      <c r="D101" s="21"/>
      <c r="E101" s="8"/>
      <c r="F101" s="8"/>
      <c r="G101" s="8"/>
      <c r="H101" s="8"/>
      <c r="I101" s="76"/>
    </row>
    <row r="102">
      <c r="A102" s="8"/>
      <c r="B102" s="8"/>
      <c r="C102" s="18"/>
      <c r="D102" s="21"/>
      <c r="E102" s="8"/>
      <c r="F102" s="8"/>
      <c r="G102" s="8"/>
      <c r="H102" s="8"/>
      <c r="I102" s="76"/>
    </row>
    <row r="103">
      <c r="A103" s="8"/>
      <c r="B103" s="8"/>
      <c r="C103" s="18"/>
      <c r="D103" s="21"/>
      <c r="E103" s="8"/>
      <c r="F103" s="8"/>
      <c r="G103" s="8"/>
      <c r="H103" s="8"/>
      <c r="I103" s="76"/>
    </row>
    <row r="104">
      <c r="A104" s="8"/>
      <c r="B104" s="8"/>
      <c r="C104" s="18"/>
      <c r="D104" s="21"/>
      <c r="E104" s="8"/>
      <c r="F104" s="8"/>
      <c r="G104" s="8"/>
      <c r="H104" s="8"/>
      <c r="I104" s="76"/>
    </row>
    <row r="105">
      <c r="A105" s="8"/>
      <c r="B105" s="8"/>
      <c r="C105" s="18"/>
      <c r="D105" s="21"/>
      <c r="E105" s="8"/>
      <c r="F105" s="8"/>
      <c r="G105" s="8"/>
      <c r="H105" s="8"/>
      <c r="I105" s="76"/>
    </row>
    <row r="106">
      <c r="A106" s="8"/>
      <c r="B106" s="8"/>
      <c r="C106" s="18"/>
      <c r="D106" s="21"/>
      <c r="E106" s="8"/>
      <c r="F106" s="8"/>
      <c r="G106" s="8"/>
      <c r="H106" s="8"/>
      <c r="I106" s="76"/>
    </row>
    <row r="107">
      <c r="A107" s="8"/>
      <c r="B107" s="8"/>
      <c r="C107" s="18"/>
      <c r="D107" s="21"/>
      <c r="E107" s="8"/>
      <c r="F107" s="8"/>
      <c r="G107" s="8"/>
      <c r="H107" s="8"/>
      <c r="I107" s="76"/>
    </row>
    <row r="108">
      <c r="A108" s="8"/>
      <c r="B108" s="8"/>
      <c r="C108" s="18"/>
      <c r="D108" s="21"/>
      <c r="E108" s="8"/>
      <c r="F108" s="8"/>
      <c r="G108" s="8"/>
      <c r="H108" s="8"/>
      <c r="I108" s="76"/>
    </row>
    <row r="109">
      <c r="A109" s="8"/>
      <c r="B109" s="8"/>
      <c r="C109" s="18"/>
      <c r="D109" s="21"/>
      <c r="E109" s="8"/>
      <c r="F109" s="8"/>
      <c r="G109" s="8"/>
      <c r="H109" s="8"/>
      <c r="I109" s="76"/>
    </row>
    <row r="110">
      <c r="A110" s="8"/>
      <c r="B110" s="8"/>
      <c r="C110" s="18"/>
      <c r="D110" s="21"/>
      <c r="E110" s="8"/>
      <c r="F110" s="8"/>
      <c r="G110" s="8"/>
      <c r="H110" s="8"/>
      <c r="I110" s="76"/>
    </row>
    <row r="111">
      <c r="A111" s="8"/>
      <c r="B111" s="8"/>
      <c r="C111" s="18"/>
      <c r="D111" s="21"/>
      <c r="E111" s="8"/>
      <c r="F111" s="8"/>
      <c r="G111" s="8"/>
      <c r="H111" s="8"/>
      <c r="I111" s="76"/>
    </row>
    <row r="112">
      <c r="A112" s="8"/>
      <c r="B112" s="8"/>
      <c r="C112" s="18"/>
      <c r="D112" s="21"/>
      <c r="E112" s="8"/>
      <c r="F112" s="8"/>
      <c r="G112" s="8"/>
      <c r="H112" s="8"/>
      <c r="I112" s="76"/>
    </row>
    <row r="113">
      <c r="A113" s="8"/>
      <c r="B113" s="8"/>
      <c r="C113" s="18"/>
      <c r="D113" s="21"/>
      <c r="E113" s="8"/>
      <c r="F113" s="8"/>
      <c r="G113" s="8"/>
      <c r="H113" s="8"/>
      <c r="I113" s="76"/>
    </row>
    <row r="114">
      <c r="A114" s="8"/>
      <c r="B114" s="8"/>
      <c r="C114" s="18"/>
      <c r="D114" s="21"/>
      <c r="E114" s="8"/>
      <c r="F114" s="8"/>
      <c r="G114" s="8"/>
      <c r="H114" s="8"/>
      <c r="I114" s="76"/>
    </row>
    <row r="115">
      <c r="A115" s="8"/>
      <c r="B115" s="8"/>
      <c r="C115" s="18"/>
      <c r="D115" s="21"/>
      <c r="E115" s="8"/>
      <c r="F115" s="8"/>
      <c r="G115" s="8"/>
      <c r="H115" s="8"/>
      <c r="I115" s="76"/>
    </row>
    <row r="116">
      <c r="A116" s="8"/>
      <c r="B116" s="8"/>
      <c r="C116" s="18"/>
      <c r="D116" s="21"/>
      <c r="E116" s="8"/>
      <c r="F116" s="8"/>
      <c r="G116" s="8"/>
      <c r="H116" s="8"/>
      <c r="I116" s="76"/>
    </row>
    <row r="117">
      <c r="A117" s="8"/>
      <c r="B117" s="8"/>
      <c r="C117" s="18"/>
      <c r="D117" s="21"/>
      <c r="E117" s="8"/>
      <c r="F117" s="8"/>
      <c r="G117" s="8"/>
      <c r="H117" s="8"/>
      <c r="I117" s="76"/>
    </row>
    <row r="118">
      <c r="A118" s="8"/>
      <c r="B118" s="8"/>
      <c r="C118" s="18"/>
      <c r="D118" s="21"/>
      <c r="E118" s="8"/>
      <c r="F118" s="8"/>
      <c r="G118" s="8"/>
      <c r="H118" s="8"/>
      <c r="I118" s="76"/>
    </row>
    <row r="119">
      <c r="A119" s="8"/>
      <c r="B119" s="8"/>
      <c r="C119" s="18"/>
      <c r="D119" s="21"/>
      <c r="E119" s="8"/>
      <c r="F119" s="8"/>
      <c r="G119" s="8"/>
      <c r="H119" s="8"/>
      <c r="I119" s="76"/>
    </row>
    <row r="120">
      <c r="A120" s="8"/>
      <c r="B120" s="8"/>
      <c r="C120" s="18"/>
      <c r="D120" s="21"/>
      <c r="E120" s="8"/>
      <c r="F120" s="8"/>
      <c r="G120" s="8"/>
      <c r="H120" s="8"/>
      <c r="I120" s="76"/>
    </row>
    <row r="121">
      <c r="A121" s="8"/>
      <c r="B121" s="8"/>
      <c r="C121" s="18"/>
      <c r="D121" s="21"/>
      <c r="E121" s="8"/>
      <c r="F121" s="8"/>
      <c r="G121" s="8"/>
      <c r="H121" s="8"/>
      <c r="I121" s="76"/>
    </row>
    <row r="122">
      <c r="A122" s="8"/>
      <c r="B122" s="8"/>
      <c r="C122" s="18"/>
      <c r="D122" s="21"/>
      <c r="E122" s="8"/>
      <c r="F122" s="8"/>
      <c r="G122" s="8"/>
      <c r="H122" s="8"/>
      <c r="I122" s="76"/>
    </row>
    <row r="123">
      <c r="A123" s="8"/>
      <c r="B123" s="8"/>
      <c r="C123" s="18"/>
      <c r="D123" s="21"/>
      <c r="E123" s="8"/>
      <c r="F123" s="8"/>
      <c r="G123" s="8"/>
      <c r="H123" s="8"/>
      <c r="I123" s="76"/>
    </row>
    <row r="124">
      <c r="A124" s="8"/>
      <c r="B124" s="8"/>
      <c r="C124" s="18"/>
      <c r="D124" s="21"/>
      <c r="E124" s="8"/>
      <c r="F124" s="8"/>
      <c r="G124" s="8"/>
      <c r="H124" s="8"/>
      <c r="I124" s="76"/>
    </row>
    <row r="125">
      <c r="A125" s="8"/>
      <c r="B125" s="8"/>
      <c r="C125" s="18"/>
      <c r="D125" s="21"/>
      <c r="E125" s="8"/>
      <c r="F125" s="8"/>
      <c r="G125" s="8"/>
      <c r="H125" s="8"/>
      <c r="I125" s="76"/>
    </row>
    <row r="126">
      <c r="A126" s="8"/>
      <c r="B126" s="8"/>
      <c r="C126" s="18"/>
      <c r="D126" s="21"/>
      <c r="E126" s="8"/>
      <c r="F126" s="8"/>
      <c r="G126" s="8"/>
      <c r="H126" s="8"/>
      <c r="I126" s="76"/>
    </row>
    <row r="127">
      <c r="A127" s="8"/>
      <c r="B127" s="8"/>
      <c r="C127" s="18"/>
      <c r="D127" s="21"/>
      <c r="E127" s="8"/>
      <c r="F127" s="8"/>
      <c r="G127" s="8"/>
      <c r="H127" s="8"/>
      <c r="I127" s="76"/>
    </row>
    <row r="128">
      <c r="A128" s="8"/>
      <c r="B128" s="8"/>
      <c r="C128" s="18"/>
      <c r="D128" s="21"/>
      <c r="E128" s="8"/>
      <c r="F128" s="8"/>
      <c r="G128" s="8"/>
      <c r="H128" s="8"/>
      <c r="I128" s="76"/>
    </row>
    <row r="129">
      <c r="A129" s="8"/>
      <c r="B129" s="8"/>
      <c r="C129" s="18"/>
      <c r="D129" s="21"/>
      <c r="E129" s="8"/>
      <c r="F129" s="8"/>
      <c r="G129" s="8"/>
      <c r="H129" s="8"/>
      <c r="I129" s="76"/>
    </row>
    <row r="130">
      <c r="A130" s="8"/>
      <c r="B130" s="8"/>
      <c r="C130" s="18"/>
      <c r="D130" s="21"/>
      <c r="E130" s="8"/>
      <c r="F130" s="8"/>
      <c r="G130" s="8"/>
      <c r="H130" s="8"/>
      <c r="I130" s="76"/>
    </row>
    <row r="131">
      <c r="A131" s="8"/>
      <c r="B131" s="8"/>
      <c r="C131" s="18"/>
      <c r="D131" s="21"/>
      <c r="E131" s="8"/>
      <c r="F131" s="8"/>
      <c r="G131" s="8"/>
      <c r="H131" s="8"/>
      <c r="I131" s="76"/>
    </row>
    <row r="132">
      <c r="A132" s="8"/>
      <c r="B132" s="8"/>
      <c r="C132" s="18"/>
      <c r="D132" s="21"/>
      <c r="E132" s="8"/>
      <c r="F132" s="8"/>
      <c r="G132" s="8"/>
      <c r="H132" s="8"/>
      <c r="I132" s="76"/>
    </row>
    <row r="133">
      <c r="A133" s="8"/>
      <c r="B133" s="8"/>
      <c r="C133" s="18"/>
      <c r="D133" s="21"/>
      <c r="E133" s="8"/>
      <c r="F133" s="8"/>
      <c r="G133" s="8"/>
      <c r="H133" s="8"/>
      <c r="I133" s="76"/>
    </row>
    <row r="134">
      <c r="A134" s="8"/>
      <c r="B134" s="8"/>
      <c r="C134" s="18"/>
      <c r="D134" s="21"/>
      <c r="E134" s="8"/>
      <c r="F134" s="8"/>
      <c r="G134" s="8"/>
      <c r="H134" s="8"/>
      <c r="I134" s="76"/>
    </row>
    <row r="135">
      <c r="A135" s="8"/>
      <c r="B135" s="8"/>
      <c r="C135" s="18"/>
      <c r="D135" s="21"/>
      <c r="E135" s="8"/>
      <c r="F135" s="8"/>
      <c r="G135" s="8"/>
      <c r="H135" s="8"/>
      <c r="I135" s="76"/>
    </row>
    <row r="136">
      <c r="A136" s="8"/>
      <c r="B136" s="8"/>
      <c r="C136" s="18"/>
      <c r="D136" s="21"/>
      <c r="E136" s="8"/>
      <c r="F136" s="8"/>
      <c r="G136" s="8"/>
      <c r="H136" s="8"/>
      <c r="I136" s="76"/>
    </row>
    <row r="137">
      <c r="A137" s="8"/>
      <c r="B137" s="8"/>
      <c r="C137" s="18"/>
      <c r="D137" s="21"/>
      <c r="E137" s="8"/>
      <c r="F137" s="8"/>
      <c r="G137" s="8"/>
      <c r="H137" s="8"/>
      <c r="I137" s="76"/>
    </row>
    <row r="138">
      <c r="A138" s="8"/>
      <c r="B138" s="8"/>
      <c r="C138" s="18"/>
      <c r="D138" s="21"/>
      <c r="E138" s="8"/>
      <c r="F138" s="8"/>
      <c r="G138" s="8"/>
      <c r="H138" s="8"/>
      <c r="I138" s="76"/>
    </row>
    <row r="139">
      <c r="A139" s="8"/>
      <c r="B139" s="8"/>
      <c r="C139" s="18"/>
      <c r="D139" s="21"/>
      <c r="E139" s="8"/>
      <c r="F139" s="8"/>
      <c r="G139" s="8"/>
      <c r="H139" s="8"/>
      <c r="I139" s="76"/>
    </row>
    <row r="140">
      <c r="A140" s="8"/>
      <c r="B140" s="8"/>
      <c r="C140" s="18"/>
      <c r="D140" s="21"/>
      <c r="E140" s="8"/>
      <c r="F140" s="8"/>
      <c r="G140" s="8"/>
      <c r="H140" s="8"/>
      <c r="I140" s="76"/>
    </row>
    <row r="141">
      <c r="A141" s="8"/>
      <c r="B141" s="8"/>
      <c r="C141" s="18"/>
      <c r="D141" s="21"/>
      <c r="E141" s="8"/>
      <c r="F141" s="8"/>
      <c r="G141" s="8"/>
      <c r="H141" s="8"/>
      <c r="I141" s="76"/>
    </row>
    <row r="142">
      <c r="A142" s="8"/>
      <c r="B142" s="8"/>
      <c r="C142" s="18"/>
      <c r="D142" s="21"/>
      <c r="E142" s="8"/>
      <c r="F142" s="8"/>
      <c r="G142" s="8"/>
      <c r="H142" s="8"/>
      <c r="I142" s="76"/>
    </row>
    <row r="143">
      <c r="A143" s="8"/>
      <c r="B143" s="8"/>
      <c r="C143" s="18"/>
      <c r="D143" s="21"/>
      <c r="E143" s="8"/>
      <c r="F143" s="8"/>
      <c r="G143" s="8"/>
      <c r="H143" s="8"/>
      <c r="I143" s="76"/>
    </row>
    <row r="144">
      <c r="A144" s="8"/>
      <c r="B144" s="8"/>
      <c r="C144" s="18"/>
      <c r="D144" s="21"/>
      <c r="E144" s="8"/>
      <c r="F144" s="8"/>
      <c r="G144" s="8"/>
      <c r="H144" s="8"/>
      <c r="I144" s="76"/>
    </row>
    <row r="145">
      <c r="A145" s="8"/>
      <c r="B145" s="8"/>
      <c r="C145" s="18"/>
      <c r="D145" s="21"/>
      <c r="E145" s="8"/>
      <c r="F145" s="8"/>
      <c r="G145" s="8"/>
      <c r="H145" s="8"/>
      <c r="I145" s="76"/>
    </row>
    <row r="146">
      <c r="A146" s="8"/>
      <c r="B146" s="8"/>
      <c r="C146" s="18"/>
      <c r="D146" s="21"/>
      <c r="E146" s="8"/>
      <c r="F146" s="8"/>
      <c r="G146" s="8"/>
      <c r="H146" s="8"/>
      <c r="I146" s="76"/>
    </row>
    <row r="147">
      <c r="A147" s="8"/>
      <c r="B147" s="8"/>
      <c r="C147" s="18"/>
      <c r="D147" s="21"/>
      <c r="E147" s="8"/>
      <c r="F147" s="8"/>
      <c r="G147" s="8"/>
      <c r="H147" s="8"/>
      <c r="I147" s="76"/>
    </row>
    <row r="148">
      <c r="A148" s="8"/>
      <c r="B148" s="8"/>
      <c r="C148" s="18"/>
      <c r="D148" s="21"/>
      <c r="E148" s="8"/>
      <c r="F148" s="8"/>
      <c r="G148" s="8"/>
      <c r="H148" s="8"/>
      <c r="I148" s="76"/>
    </row>
    <row r="149">
      <c r="A149" s="8"/>
      <c r="B149" s="8"/>
      <c r="C149" s="18"/>
      <c r="D149" s="21"/>
      <c r="E149" s="8"/>
      <c r="F149" s="8"/>
      <c r="G149" s="8"/>
      <c r="H149" s="8"/>
      <c r="I149" s="76"/>
    </row>
    <row r="150">
      <c r="A150" s="8"/>
      <c r="B150" s="8"/>
      <c r="C150" s="18"/>
      <c r="D150" s="21"/>
      <c r="E150" s="8"/>
      <c r="F150" s="8"/>
      <c r="G150" s="8"/>
      <c r="H150" s="8"/>
      <c r="I150" s="76"/>
    </row>
    <row r="151">
      <c r="A151" s="8"/>
      <c r="B151" s="8"/>
      <c r="C151" s="18"/>
      <c r="D151" s="21"/>
      <c r="E151" s="8"/>
      <c r="F151" s="8"/>
      <c r="G151" s="8"/>
      <c r="H151" s="8"/>
      <c r="I151" s="76"/>
    </row>
    <row r="152">
      <c r="A152" s="8"/>
      <c r="B152" s="8"/>
      <c r="C152" s="18"/>
      <c r="D152" s="21"/>
      <c r="E152" s="8"/>
      <c r="F152" s="8"/>
      <c r="G152" s="8"/>
      <c r="H152" s="8"/>
      <c r="I152" s="76"/>
    </row>
    <row r="153">
      <c r="A153" s="8"/>
      <c r="B153" s="8"/>
      <c r="C153" s="18"/>
      <c r="D153" s="21"/>
      <c r="E153" s="8"/>
      <c r="F153" s="8"/>
      <c r="G153" s="8"/>
      <c r="H153" s="8"/>
      <c r="I153" s="76"/>
    </row>
    <row r="154">
      <c r="A154" s="8"/>
      <c r="B154" s="8"/>
      <c r="C154" s="18"/>
      <c r="D154" s="21"/>
      <c r="E154" s="8"/>
      <c r="F154" s="8"/>
      <c r="G154" s="8"/>
      <c r="H154" s="8"/>
      <c r="I154" s="76"/>
    </row>
    <row r="155">
      <c r="A155" s="8"/>
      <c r="B155" s="8"/>
      <c r="C155" s="18"/>
      <c r="D155" s="21"/>
      <c r="E155" s="8"/>
      <c r="F155" s="8"/>
      <c r="G155" s="8"/>
      <c r="H155" s="8"/>
      <c r="I155" s="76"/>
    </row>
    <row r="156">
      <c r="A156" s="8"/>
      <c r="B156" s="8"/>
      <c r="C156" s="18"/>
      <c r="D156" s="21"/>
      <c r="E156" s="8"/>
      <c r="F156" s="8"/>
      <c r="G156" s="8"/>
      <c r="H156" s="8"/>
      <c r="I156" s="76"/>
    </row>
    <row r="157">
      <c r="A157" s="8"/>
      <c r="B157" s="8"/>
      <c r="C157" s="18"/>
      <c r="D157" s="21"/>
      <c r="E157" s="8"/>
      <c r="F157" s="8"/>
      <c r="G157" s="8"/>
      <c r="H157" s="8"/>
      <c r="I157" s="76"/>
    </row>
    <row r="158">
      <c r="A158" s="8"/>
      <c r="B158" s="8"/>
      <c r="C158" s="18"/>
      <c r="D158" s="21"/>
      <c r="E158" s="8"/>
      <c r="F158" s="8"/>
      <c r="G158" s="8"/>
      <c r="H158" s="8"/>
      <c r="I158" s="76"/>
    </row>
    <row r="159">
      <c r="A159" s="8"/>
      <c r="B159" s="8"/>
      <c r="C159" s="18"/>
      <c r="D159" s="21"/>
      <c r="E159" s="8"/>
      <c r="F159" s="8"/>
      <c r="G159" s="8"/>
      <c r="H159" s="8"/>
      <c r="I159" s="76"/>
    </row>
    <row r="160">
      <c r="A160" s="8"/>
      <c r="B160" s="8"/>
      <c r="C160" s="18"/>
      <c r="D160" s="21"/>
      <c r="E160" s="8"/>
      <c r="F160" s="8"/>
      <c r="G160" s="8"/>
      <c r="H160" s="8"/>
      <c r="I160" s="76"/>
    </row>
    <row r="161">
      <c r="A161" s="8"/>
      <c r="B161" s="8"/>
      <c r="C161" s="18"/>
      <c r="D161" s="21"/>
      <c r="E161" s="8"/>
      <c r="F161" s="8"/>
      <c r="G161" s="8"/>
      <c r="H161" s="8"/>
      <c r="I161" s="76"/>
    </row>
    <row r="162">
      <c r="A162" s="8"/>
      <c r="B162" s="8"/>
      <c r="C162" s="18"/>
      <c r="D162" s="21"/>
      <c r="E162" s="8"/>
      <c r="F162" s="8"/>
      <c r="G162" s="8"/>
      <c r="H162" s="8"/>
      <c r="I162" s="76"/>
    </row>
    <row r="163">
      <c r="A163" s="8"/>
      <c r="B163" s="8"/>
      <c r="C163" s="18"/>
      <c r="D163" s="21"/>
      <c r="E163" s="8"/>
      <c r="F163" s="8"/>
      <c r="G163" s="8"/>
      <c r="H163" s="8"/>
      <c r="I163" s="76"/>
    </row>
    <row r="164">
      <c r="A164" s="8"/>
      <c r="B164" s="8"/>
      <c r="C164" s="18"/>
      <c r="D164" s="21"/>
      <c r="E164" s="8"/>
      <c r="F164" s="8"/>
      <c r="G164" s="8"/>
      <c r="H164" s="8"/>
      <c r="I164" s="76"/>
    </row>
    <row r="165">
      <c r="A165" s="8"/>
      <c r="B165" s="8"/>
      <c r="C165" s="18"/>
      <c r="D165" s="21"/>
      <c r="E165" s="8"/>
      <c r="F165" s="8"/>
      <c r="G165" s="8"/>
      <c r="H165" s="8"/>
      <c r="I165" s="76"/>
    </row>
    <row r="166">
      <c r="A166" s="8"/>
      <c r="B166" s="8"/>
      <c r="C166" s="18"/>
      <c r="D166" s="21"/>
      <c r="E166" s="8"/>
      <c r="F166" s="8"/>
      <c r="G166" s="8"/>
      <c r="H166" s="8"/>
      <c r="I166" s="76"/>
    </row>
    <row r="167">
      <c r="A167" s="8"/>
      <c r="B167" s="8"/>
      <c r="C167" s="18"/>
      <c r="D167" s="21"/>
      <c r="E167" s="8"/>
      <c r="F167" s="8"/>
      <c r="G167" s="8"/>
      <c r="H167" s="8"/>
      <c r="I167" s="76"/>
    </row>
    <row r="168">
      <c r="A168" s="8"/>
      <c r="B168" s="8"/>
      <c r="C168" s="18"/>
      <c r="D168" s="21"/>
      <c r="E168" s="8"/>
      <c r="F168" s="8"/>
      <c r="G168" s="8"/>
      <c r="H168" s="8"/>
      <c r="I168" s="76"/>
    </row>
    <row r="169">
      <c r="A169" s="8"/>
      <c r="B169" s="8"/>
      <c r="C169" s="18"/>
      <c r="D169" s="21"/>
      <c r="E169" s="8"/>
      <c r="F169" s="8"/>
      <c r="G169" s="8"/>
      <c r="H169" s="8"/>
      <c r="I169" s="76"/>
    </row>
    <row r="170">
      <c r="A170" s="8"/>
      <c r="B170" s="8"/>
      <c r="C170" s="18"/>
      <c r="D170" s="21"/>
      <c r="E170" s="8"/>
      <c r="F170" s="8"/>
      <c r="G170" s="8"/>
      <c r="H170" s="8"/>
      <c r="I170" s="76"/>
    </row>
    <row r="171">
      <c r="A171" s="8"/>
      <c r="B171" s="8"/>
      <c r="C171" s="18"/>
      <c r="D171" s="21"/>
      <c r="E171" s="8"/>
      <c r="F171" s="8"/>
      <c r="G171" s="8"/>
      <c r="H171" s="8"/>
      <c r="I171" s="76"/>
    </row>
    <row r="172">
      <c r="A172" s="8"/>
      <c r="B172" s="8"/>
      <c r="C172" s="18"/>
      <c r="D172" s="21"/>
      <c r="E172" s="8"/>
      <c r="F172" s="8"/>
      <c r="G172" s="8"/>
      <c r="H172" s="8"/>
      <c r="I172" s="76"/>
    </row>
    <row r="173">
      <c r="A173" s="8"/>
      <c r="B173" s="8"/>
      <c r="C173" s="18"/>
      <c r="D173" s="21"/>
      <c r="E173" s="8"/>
      <c r="F173" s="8"/>
      <c r="G173" s="8"/>
      <c r="H173" s="8"/>
      <c r="I173" s="76"/>
    </row>
    <row r="174">
      <c r="A174" s="8"/>
      <c r="B174" s="8"/>
      <c r="C174" s="18"/>
      <c r="D174" s="21"/>
      <c r="E174" s="8"/>
      <c r="F174" s="8"/>
      <c r="G174" s="8"/>
      <c r="H174" s="8"/>
      <c r="I174" s="76"/>
    </row>
    <row r="175">
      <c r="A175" s="8"/>
      <c r="B175" s="8"/>
      <c r="C175" s="18"/>
      <c r="D175" s="21"/>
      <c r="E175" s="8"/>
      <c r="F175" s="8"/>
      <c r="G175" s="8"/>
      <c r="H175" s="8"/>
      <c r="I175" s="76"/>
    </row>
    <row r="176">
      <c r="A176" s="8"/>
      <c r="B176" s="8"/>
      <c r="C176" s="18"/>
      <c r="D176" s="21"/>
      <c r="E176" s="8"/>
      <c r="F176" s="8"/>
      <c r="G176" s="8"/>
      <c r="H176" s="8"/>
      <c r="I176" s="76"/>
    </row>
    <row r="177">
      <c r="A177" s="8"/>
      <c r="B177" s="8"/>
      <c r="C177" s="18"/>
      <c r="D177" s="21"/>
      <c r="E177" s="8"/>
      <c r="F177" s="8"/>
      <c r="G177" s="8"/>
      <c r="H177" s="8"/>
      <c r="I177" s="76"/>
    </row>
    <row r="178">
      <c r="A178" s="8"/>
      <c r="B178" s="8"/>
      <c r="C178" s="18"/>
      <c r="D178" s="21"/>
      <c r="E178" s="8"/>
      <c r="F178" s="8"/>
      <c r="G178" s="8"/>
      <c r="H178" s="8"/>
      <c r="I178" s="76"/>
    </row>
    <row r="179">
      <c r="A179" s="8"/>
      <c r="B179" s="8"/>
      <c r="C179" s="18"/>
      <c r="D179" s="21"/>
      <c r="E179" s="8"/>
      <c r="F179" s="8"/>
      <c r="G179" s="8"/>
      <c r="H179" s="8"/>
      <c r="I179" s="76"/>
    </row>
    <row r="180">
      <c r="A180" s="8"/>
      <c r="B180" s="8"/>
      <c r="C180" s="18"/>
      <c r="D180" s="21"/>
      <c r="E180" s="8"/>
      <c r="F180" s="8"/>
      <c r="G180" s="8"/>
      <c r="H180" s="8"/>
      <c r="I180" s="76"/>
    </row>
    <row r="181">
      <c r="A181" s="8"/>
      <c r="B181" s="8"/>
      <c r="C181" s="18"/>
      <c r="D181" s="21"/>
      <c r="E181" s="8"/>
      <c r="F181" s="8"/>
      <c r="G181" s="8"/>
      <c r="H181" s="8"/>
      <c r="I181" s="76"/>
    </row>
    <row r="182">
      <c r="A182" s="8"/>
      <c r="B182" s="8"/>
      <c r="C182" s="18"/>
      <c r="D182" s="21"/>
      <c r="E182" s="8"/>
      <c r="F182" s="8"/>
      <c r="G182" s="8"/>
      <c r="H182" s="8"/>
      <c r="I182" s="76"/>
    </row>
    <row r="183">
      <c r="A183" s="8"/>
      <c r="B183" s="8"/>
      <c r="C183" s="18"/>
      <c r="D183" s="21"/>
      <c r="E183" s="8"/>
      <c r="F183" s="8"/>
      <c r="G183" s="8"/>
      <c r="H183" s="8"/>
      <c r="I183" s="76"/>
    </row>
    <row r="184">
      <c r="A184" s="8"/>
      <c r="B184" s="8"/>
      <c r="C184" s="18"/>
      <c r="D184" s="21"/>
      <c r="E184" s="8"/>
      <c r="F184" s="8"/>
      <c r="G184" s="8"/>
      <c r="H184" s="8"/>
      <c r="I184" s="76"/>
    </row>
    <row r="185">
      <c r="A185" s="8"/>
      <c r="B185" s="8"/>
      <c r="C185" s="18"/>
      <c r="D185" s="21"/>
      <c r="E185" s="8"/>
      <c r="F185" s="8"/>
      <c r="G185" s="8"/>
      <c r="H185" s="8"/>
      <c r="I185" s="76"/>
    </row>
    <row r="186">
      <c r="A186" s="8"/>
      <c r="B186" s="8"/>
      <c r="C186" s="18"/>
      <c r="D186" s="21"/>
      <c r="E186" s="8"/>
      <c r="F186" s="8"/>
      <c r="G186" s="8"/>
      <c r="H186" s="8"/>
      <c r="I186" s="76"/>
    </row>
    <row r="187">
      <c r="A187" s="8"/>
      <c r="B187" s="8"/>
      <c r="C187" s="18"/>
      <c r="D187" s="21"/>
      <c r="E187" s="8"/>
      <c r="F187" s="8"/>
      <c r="G187" s="8"/>
      <c r="H187" s="8"/>
      <c r="I187" s="76"/>
    </row>
    <row r="188">
      <c r="A188" s="8"/>
      <c r="B188" s="8"/>
      <c r="C188" s="18"/>
      <c r="D188" s="21"/>
      <c r="E188" s="8"/>
      <c r="F188" s="8"/>
      <c r="G188" s="8"/>
      <c r="H188" s="8"/>
      <c r="I188" s="76"/>
    </row>
    <row r="189">
      <c r="A189" s="8"/>
      <c r="B189" s="8"/>
      <c r="C189" s="18"/>
      <c r="D189" s="21"/>
      <c r="E189" s="8"/>
      <c r="F189" s="8"/>
      <c r="G189" s="8"/>
      <c r="H189" s="8"/>
      <c r="I189" s="76"/>
    </row>
    <row r="190">
      <c r="A190" s="8"/>
      <c r="B190" s="8"/>
      <c r="C190" s="18"/>
      <c r="D190" s="21"/>
      <c r="E190" s="8"/>
      <c r="F190" s="8"/>
      <c r="G190" s="8"/>
      <c r="H190" s="8"/>
      <c r="I190" s="76"/>
    </row>
    <row r="191">
      <c r="A191" s="8"/>
      <c r="B191" s="8"/>
      <c r="C191" s="18"/>
      <c r="D191" s="21"/>
      <c r="E191" s="8"/>
      <c r="F191" s="8"/>
      <c r="G191" s="8"/>
      <c r="H191" s="8"/>
      <c r="I191" s="76"/>
    </row>
    <row r="192">
      <c r="A192" s="8"/>
      <c r="B192" s="8"/>
      <c r="C192" s="18"/>
      <c r="D192" s="21"/>
      <c r="E192" s="8"/>
      <c r="F192" s="8"/>
      <c r="G192" s="8"/>
      <c r="H192" s="8"/>
      <c r="I192" s="76"/>
    </row>
    <row r="193">
      <c r="A193" s="8"/>
      <c r="B193" s="8"/>
      <c r="C193" s="18"/>
      <c r="D193" s="21"/>
      <c r="E193" s="8"/>
      <c r="F193" s="8"/>
      <c r="G193" s="8"/>
      <c r="H193" s="8"/>
      <c r="I193" s="76"/>
    </row>
    <row r="194">
      <c r="A194" s="8"/>
      <c r="B194" s="8"/>
      <c r="C194" s="18"/>
      <c r="D194" s="21"/>
      <c r="E194" s="8"/>
      <c r="F194" s="8"/>
      <c r="G194" s="8"/>
      <c r="H194" s="8"/>
      <c r="I194" s="76"/>
    </row>
    <row r="195">
      <c r="A195" s="8"/>
      <c r="B195" s="8"/>
      <c r="C195" s="18"/>
      <c r="D195" s="21"/>
      <c r="E195" s="8"/>
      <c r="F195" s="8"/>
      <c r="G195" s="8"/>
      <c r="H195" s="8"/>
      <c r="I195" s="76"/>
    </row>
    <row r="196">
      <c r="A196" s="8"/>
      <c r="B196" s="8"/>
      <c r="C196" s="18"/>
      <c r="D196" s="21"/>
      <c r="E196" s="8"/>
      <c r="F196" s="8"/>
      <c r="G196" s="8"/>
      <c r="H196" s="8"/>
      <c r="I196" s="76"/>
    </row>
    <row r="197">
      <c r="A197" s="8"/>
      <c r="B197" s="8"/>
      <c r="C197" s="18"/>
      <c r="D197" s="21"/>
      <c r="E197" s="8"/>
      <c r="F197" s="8"/>
      <c r="G197" s="8"/>
      <c r="H197" s="8"/>
      <c r="I197" s="76"/>
    </row>
    <row r="198">
      <c r="A198" s="8"/>
      <c r="B198" s="8"/>
      <c r="C198" s="18"/>
      <c r="D198" s="21"/>
      <c r="E198" s="8"/>
      <c r="F198" s="8"/>
      <c r="G198" s="8"/>
      <c r="H198" s="8"/>
      <c r="I198" s="76"/>
    </row>
    <row r="199">
      <c r="A199" s="8"/>
      <c r="B199" s="8"/>
      <c r="C199" s="18"/>
      <c r="D199" s="21"/>
      <c r="E199" s="8"/>
      <c r="F199" s="8"/>
      <c r="G199" s="8"/>
      <c r="H199" s="8"/>
      <c r="I199" s="76"/>
    </row>
    <row r="200">
      <c r="A200" s="8"/>
      <c r="B200" s="8"/>
      <c r="C200" s="18"/>
      <c r="D200" s="21"/>
      <c r="E200" s="8"/>
      <c r="F200" s="8"/>
      <c r="G200" s="8"/>
      <c r="H200" s="8"/>
      <c r="I200" s="76"/>
    </row>
    <row r="201">
      <c r="A201" s="8"/>
      <c r="B201" s="8"/>
      <c r="C201" s="18"/>
      <c r="D201" s="21"/>
      <c r="E201" s="8"/>
      <c r="F201" s="8"/>
      <c r="G201" s="8"/>
      <c r="H201" s="8"/>
      <c r="I201" s="76"/>
    </row>
    <row r="202">
      <c r="A202" s="8"/>
      <c r="B202" s="8"/>
      <c r="C202" s="18"/>
      <c r="D202" s="21"/>
      <c r="E202" s="8"/>
      <c r="F202" s="8"/>
      <c r="G202" s="8"/>
      <c r="H202" s="8"/>
      <c r="I202" s="76"/>
    </row>
    <row r="203">
      <c r="A203" s="8"/>
      <c r="B203" s="8"/>
      <c r="C203" s="18"/>
      <c r="D203" s="21"/>
      <c r="E203" s="8"/>
      <c r="F203" s="8"/>
      <c r="G203" s="8"/>
      <c r="H203" s="8"/>
      <c r="I203" s="76"/>
    </row>
    <row r="204">
      <c r="A204" s="8"/>
      <c r="B204" s="8"/>
      <c r="C204" s="18"/>
      <c r="D204" s="21"/>
      <c r="E204" s="8"/>
      <c r="F204" s="8"/>
      <c r="G204" s="8"/>
      <c r="H204" s="8"/>
      <c r="I204" s="76"/>
    </row>
    <row r="205">
      <c r="A205" s="8"/>
      <c r="B205" s="8"/>
      <c r="C205" s="18"/>
      <c r="D205" s="21"/>
      <c r="E205" s="8"/>
      <c r="F205" s="8"/>
      <c r="G205" s="8"/>
      <c r="H205" s="8"/>
      <c r="I205" s="76"/>
    </row>
    <row r="206">
      <c r="A206" s="8"/>
      <c r="B206" s="8"/>
      <c r="C206" s="18"/>
      <c r="D206" s="21"/>
      <c r="E206" s="8"/>
      <c r="F206" s="8"/>
      <c r="G206" s="8"/>
      <c r="H206" s="8"/>
      <c r="I206" s="76"/>
    </row>
    <row r="207">
      <c r="A207" s="8"/>
      <c r="B207" s="8"/>
      <c r="C207" s="18"/>
      <c r="D207" s="21"/>
      <c r="E207" s="8"/>
      <c r="F207" s="8"/>
      <c r="G207" s="8"/>
      <c r="H207" s="8"/>
      <c r="I207" s="76"/>
    </row>
    <row r="208">
      <c r="A208" s="8"/>
      <c r="B208" s="8"/>
      <c r="C208" s="18"/>
      <c r="D208" s="21"/>
      <c r="E208" s="8"/>
      <c r="F208" s="8"/>
      <c r="G208" s="8"/>
      <c r="H208" s="8"/>
      <c r="I208" s="76"/>
    </row>
    <row r="209">
      <c r="A209" s="8"/>
      <c r="B209" s="8"/>
      <c r="C209" s="18"/>
      <c r="D209" s="21"/>
      <c r="E209" s="8"/>
      <c r="F209" s="8"/>
      <c r="G209" s="8"/>
      <c r="H209" s="8"/>
      <c r="I209" s="76"/>
    </row>
    <row r="210">
      <c r="A210" s="8"/>
      <c r="B210" s="8"/>
      <c r="C210" s="18"/>
      <c r="D210" s="21"/>
      <c r="E210" s="8"/>
      <c r="F210" s="8"/>
      <c r="G210" s="8"/>
      <c r="H210" s="8"/>
      <c r="I210" s="76"/>
    </row>
    <row r="211">
      <c r="A211" s="8"/>
      <c r="B211" s="8"/>
      <c r="C211" s="18"/>
      <c r="D211" s="21"/>
      <c r="E211" s="8"/>
      <c r="F211" s="8"/>
      <c r="G211" s="8"/>
      <c r="H211" s="8"/>
      <c r="I211" s="76"/>
    </row>
    <row r="212">
      <c r="A212" s="8"/>
      <c r="B212" s="8"/>
      <c r="C212" s="18"/>
      <c r="D212" s="21"/>
      <c r="E212" s="8"/>
      <c r="F212" s="8"/>
      <c r="G212" s="8"/>
      <c r="H212" s="8"/>
      <c r="I212" s="76"/>
    </row>
    <row r="213">
      <c r="A213" s="8"/>
      <c r="B213" s="8"/>
      <c r="C213" s="18"/>
      <c r="D213" s="21"/>
      <c r="E213" s="8"/>
      <c r="F213" s="8"/>
      <c r="G213" s="8"/>
      <c r="H213" s="8"/>
      <c r="I213" s="76"/>
    </row>
    <row r="214">
      <c r="A214" s="8"/>
      <c r="B214" s="8"/>
      <c r="C214" s="18"/>
      <c r="D214" s="21"/>
      <c r="E214" s="8"/>
      <c r="F214" s="8"/>
      <c r="G214" s="8"/>
      <c r="H214" s="8"/>
      <c r="I214" s="76"/>
    </row>
    <row r="215">
      <c r="A215" s="8"/>
      <c r="B215" s="8"/>
      <c r="C215" s="18"/>
      <c r="D215" s="21"/>
      <c r="E215" s="8"/>
      <c r="F215" s="8"/>
      <c r="G215" s="8"/>
      <c r="H215" s="8"/>
      <c r="I215" s="76"/>
    </row>
    <row r="216">
      <c r="A216" s="8"/>
      <c r="B216" s="8"/>
      <c r="C216" s="18"/>
      <c r="D216" s="21"/>
      <c r="E216" s="8"/>
      <c r="F216" s="8"/>
      <c r="G216" s="8"/>
      <c r="H216" s="8"/>
      <c r="I216" s="76"/>
    </row>
    <row r="217">
      <c r="A217" s="8"/>
      <c r="B217" s="8"/>
      <c r="C217" s="18"/>
      <c r="D217" s="21"/>
      <c r="E217" s="8"/>
      <c r="F217" s="8"/>
      <c r="G217" s="8"/>
      <c r="H217" s="8"/>
      <c r="I217" s="76"/>
    </row>
    <row r="218">
      <c r="A218" s="8"/>
      <c r="B218" s="8"/>
      <c r="C218" s="18"/>
      <c r="D218" s="21"/>
      <c r="E218" s="8"/>
      <c r="F218" s="8"/>
      <c r="G218" s="8"/>
      <c r="H218" s="8"/>
      <c r="I218" s="76"/>
    </row>
    <row r="219">
      <c r="A219" s="8"/>
      <c r="B219" s="8"/>
      <c r="C219" s="18"/>
      <c r="D219" s="21"/>
      <c r="E219" s="8"/>
      <c r="F219" s="8"/>
      <c r="G219" s="8"/>
      <c r="H219" s="8"/>
      <c r="I219" s="76"/>
    </row>
    <row r="220">
      <c r="A220" s="8"/>
      <c r="B220" s="8"/>
      <c r="C220" s="18"/>
      <c r="D220" s="21"/>
      <c r="E220" s="8"/>
      <c r="F220" s="8"/>
      <c r="G220" s="8"/>
      <c r="H220" s="8"/>
      <c r="I220" s="76"/>
    </row>
    <row r="221">
      <c r="A221" s="8"/>
      <c r="B221" s="8"/>
      <c r="C221" s="18"/>
      <c r="D221" s="21"/>
      <c r="E221" s="8"/>
      <c r="F221" s="8"/>
      <c r="G221" s="8"/>
      <c r="H221" s="8"/>
      <c r="I221" s="76"/>
    </row>
    <row r="222">
      <c r="A222" s="8"/>
      <c r="B222" s="8"/>
      <c r="C222" s="18"/>
      <c r="D222" s="21"/>
      <c r="E222" s="8"/>
      <c r="F222" s="8"/>
      <c r="G222" s="8"/>
      <c r="H222" s="8"/>
      <c r="I222" s="76"/>
    </row>
    <row r="223">
      <c r="A223" s="8"/>
      <c r="B223" s="8"/>
      <c r="C223" s="18"/>
      <c r="D223" s="21"/>
      <c r="E223" s="8"/>
      <c r="F223" s="8"/>
      <c r="G223" s="8"/>
      <c r="H223" s="8"/>
      <c r="I223" s="76"/>
    </row>
    <row r="224">
      <c r="A224" s="8"/>
      <c r="B224" s="8"/>
      <c r="C224" s="18"/>
      <c r="D224" s="21"/>
      <c r="E224" s="8"/>
      <c r="F224" s="8"/>
      <c r="G224" s="8"/>
      <c r="H224" s="8"/>
      <c r="I224" s="76"/>
    </row>
    <row r="225">
      <c r="A225" s="8"/>
      <c r="B225" s="8"/>
      <c r="C225" s="18"/>
      <c r="D225" s="21"/>
      <c r="E225" s="8"/>
      <c r="F225" s="8"/>
      <c r="G225" s="8"/>
      <c r="H225" s="8"/>
      <c r="I225" s="76"/>
    </row>
    <row r="226">
      <c r="A226" s="8"/>
      <c r="B226" s="8"/>
      <c r="C226" s="18"/>
      <c r="D226" s="21"/>
      <c r="E226" s="8"/>
      <c r="F226" s="8"/>
      <c r="G226" s="8"/>
      <c r="H226" s="8"/>
      <c r="I226" s="76"/>
    </row>
    <row r="227">
      <c r="A227" s="8"/>
      <c r="B227" s="8"/>
      <c r="C227" s="18"/>
      <c r="D227" s="21"/>
      <c r="E227" s="8"/>
      <c r="F227" s="8"/>
      <c r="G227" s="8"/>
      <c r="H227" s="8"/>
      <c r="I227" s="76"/>
    </row>
    <row r="228">
      <c r="A228" s="8"/>
      <c r="B228" s="8"/>
      <c r="C228" s="18"/>
      <c r="D228" s="21"/>
      <c r="E228" s="8"/>
      <c r="F228" s="8"/>
      <c r="G228" s="8"/>
      <c r="H228" s="8"/>
      <c r="I228" s="76"/>
    </row>
    <row r="229">
      <c r="A229" s="8"/>
      <c r="B229" s="8"/>
      <c r="C229" s="18"/>
      <c r="D229" s="21"/>
      <c r="E229" s="8"/>
      <c r="F229" s="8"/>
      <c r="G229" s="8"/>
      <c r="H229" s="8"/>
      <c r="I229" s="76"/>
    </row>
    <row r="230">
      <c r="A230" s="8"/>
      <c r="B230" s="8"/>
      <c r="C230" s="18"/>
      <c r="D230" s="21"/>
      <c r="E230" s="8"/>
      <c r="F230" s="8"/>
      <c r="G230" s="8"/>
      <c r="H230" s="8"/>
      <c r="I230" s="76"/>
    </row>
    <row r="231">
      <c r="A231" s="8"/>
      <c r="B231" s="8"/>
      <c r="C231" s="18"/>
      <c r="D231" s="21"/>
      <c r="E231" s="8"/>
      <c r="F231" s="8"/>
      <c r="G231" s="8"/>
      <c r="H231" s="8"/>
      <c r="I231" s="76"/>
    </row>
    <row r="232">
      <c r="A232" s="8"/>
      <c r="B232" s="8"/>
      <c r="C232" s="18"/>
      <c r="D232" s="21"/>
      <c r="E232" s="8"/>
      <c r="F232" s="8"/>
      <c r="G232" s="8"/>
      <c r="H232" s="8"/>
      <c r="I232" s="76"/>
    </row>
    <row r="233">
      <c r="A233" s="8"/>
      <c r="B233" s="8"/>
      <c r="C233" s="18"/>
      <c r="D233" s="21"/>
      <c r="E233" s="8"/>
      <c r="F233" s="8"/>
      <c r="G233" s="8"/>
      <c r="H233" s="8"/>
      <c r="I233" s="76"/>
    </row>
    <row r="234">
      <c r="A234" s="8"/>
      <c r="B234" s="8"/>
      <c r="C234" s="18"/>
      <c r="D234" s="21"/>
      <c r="E234" s="8"/>
      <c r="F234" s="8"/>
      <c r="G234" s="8"/>
      <c r="H234" s="8"/>
      <c r="I234" s="76"/>
    </row>
    <row r="235">
      <c r="A235" s="8"/>
      <c r="B235" s="8"/>
      <c r="C235" s="18"/>
      <c r="D235" s="21"/>
      <c r="E235" s="8"/>
      <c r="F235" s="8"/>
      <c r="G235" s="8"/>
      <c r="H235" s="8"/>
      <c r="I235" s="76"/>
    </row>
    <row r="236">
      <c r="A236" s="8"/>
      <c r="B236" s="8"/>
      <c r="C236" s="18"/>
      <c r="D236" s="21"/>
      <c r="E236" s="8"/>
      <c r="F236" s="8"/>
      <c r="G236" s="8"/>
      <c r="H236" s="8"/>
      <c r="I236" s="76"/>
    </row>
    <row r="237">
      <c r="A237" s="8"/>
      <c r="B237" s="8"/>
      <c r="C237" s="18"/>
      <c r="D237" s="21"/>
      <c r="E237" s="8"/>
      <c r="F237" s="8"/>
      <c r="G237" s="8"/>
      <c r="H237" s="8"/>
      <c r="I237" s="76"/>
    </row>
    <row r="238">
      <c r="A238" s="8"/>
      <c r="B238" s="8"/>
      <c r="C238" s="18"/>
      <c r="D238" s="21"/>
      <c r="E238" s="8"/>
      <c r="F238" s="8"/>
      <c r="G238" s="8"/>
      <c r="H238" s="8"/>
      <c r="I238" s="76"/>
    </row>
    <row r="239">
      <c r="A239" s="8"/>
      <c r="B239" s="8"/>
      <c r="C239" s="18"/>
      <c r="D239" s="21"/>
      <c r="E239" s="8"/>
      <c r="F239" s="8"/>
      <c r="G239" s="8"/>
      <c r="H239" s="8"/>
      <c r="I239" s="76"/>
    </row>
    <row r="240">
      <c r="A240" s="8"/>
      <c r="B240" s="8"/>
      <c r="C240" s="18"/>
      <c r="D240" s="21"/>
      <c r="E240" s="8"/>
      <c r="F240" s="8"/>
      <c r="G240" s="8"/>
      <c r="H240" s="8"/>
      <c r="I240" s="76"/>
    </row>
    <row r="241">
      <c r="A241" s="8"/>
      <c r="B241" s="8"/>
      <c r="C241" s="18"/>
      <c r="D241" s="21"/>
      <c r="E241" s="8"/>
      <c r="F241" s="8"/>
      <c r="G241" s="8"/>
      <c r="H241" s="8"/>
      <c r="I241" s="76"/>
    </row>
    <row r="242">
      <c r="A242" s="8"/>
      <c r="B242" s="8"/>
      <c r="C242" s="18"/>
      <c r="D242" s="21"/>
      <c r="E242" s="8"/>
      <c r="F242" s="8"/>
      <c r="G242" s="8"/>
      <c r="H242" s="8"/>
      <c r="I242" s="76"/>
    </row>
    <row r="243">
      <c r="A243" s="8"/>
      <c r="B243" s="8"/>
      <c r="C243" s="18"/>
      <c r="D243" s="21"/>
      <c r="E243" s="8"/>
      <c r="F243" s="8"/>
      <c r="G243" s="8"/>
      <c r="H243" s="8"/>
      <c r="I243" s="76"/>
    </row>
    <row r="244">
      <c r="A244" s="8"/>
      <c r="B244" s="8"/>
      <c r="C244" s="18"/>
      <c r="D244" s="21"/>
      <c r="E244" s="8"/>
      <c r="F244" s="8"/>
      <c r="G244" s="8"/>
      <c r="H244" s="8"/>
      <c r="I244" s="76"/>
    </row>
    <row r="245">
      <c r="A245" s="8"/>
      <c r="B245" s="8"/>
      <c r="C245" s="18"/>
      <c r="D245" s="21"/>
      <c r="E245" s="8"/>
      <c r="F245" s="8"/>
      <c r="G245" s="8"/>
      <c r="H245" s="8"/>
      <c r="I245" s="76"/>
    </row>
    <row r="246">
      <c r="A246" s="8"/>
      <c r="B246" s="8"/>
      <c r="C246" s="18"/>
      <c r="D246" s="21"/>
      <c r="E246" s="8"/>
      <c r="F246" s="8"/>
      <c r="G246" s="8"/>
      <c r="H246" s="8"/>
      <c r="I246" s="76"/>
    </row>
    <row r="247">
      <c r="A247" s="8"/>
      <c r="B247" s="8"/>
      <c r="C247" s="18"/>
      <c r="D247" s="21"/>
      <c r="E247" s="8"/>
      <c r="F247" s="8"/>
      <c r="G247" s="8"/>
      <c r="H247" s="8"/>
      <c r="I247" s="76"/>
    </row>
    <row r="248">
      <c r="A248" s="8"/>
      <c r="B248" s="8"/>
      <c r="C248" s="18"/>
      <c r="D248" s="21"/>
      <c r="E248" s="8"/>
      <c r="F248" s="8"/>
      <c r="G248" s="8"/>
      <c r="H248" s="8"/>
      <c r="I248" s="76"/>
    </row>
    <row r="249">
      <c r="A249" s="8"/>
      <c r="B249" s="8"/>
      <c r="C249" s="18"/>
      <c r="D249" s="21"/>
      <c r="E249" s="8"/>
      <c r="F249" s="8"/>
      <c r="G249" s="8"/>
      <c r="H249" s="8"/>
      <c r="I249" s="76"/>
    </row>
    <row r="250">
      <c r="A250" s="8"/>
      <c r="B250" s="8"/>
      <c r="C250" s="18"/>
      <c r="D250" s="21"/>
      <c r="E250" s="8"/>
      <c r="F250" s="8"/>
      <c r="G250" s="8"/>
      <c r="H250" s="8"/>
      <c r="I250" s="76"/>
    </row>
    <row r="251">
      <c r="A251" s="8"/>
      <c r="B251" s="8"/>
      <c r="C251" s="18"/>
      <c r="D251" s="21"/>
      <c r="E251" s="8"/>
      <c r="F251" s="8"/>
      <c r="G251" s="8"/>
      <c r="H251" s="8"/>
      <c r="I251" s="76"/>
    </row>
    <row r="252">
      <c r="A252" s="8"/>
      <c r="B252" s="8"/>
      <c r="C252" s="18"/>
      <c r="D252" s="21"/>
      <c r="E252" s="8"/>
      <c r="F252" s="8"/>
      <c r="G252" s="8"/>
      <c r="H252" s="8"/>
      <c r="I252" s="76"/>
    </row>
    <row r="253">
      <c r="A253" s="8"/>
      <c r="B253" s="8"/>
      <c r="C253" s="18"/>
      <c r="D253" s="21"/>
      <c r="E253" s="8"/>
      <c r="F253" s="8"/>
      <c r="G253" s="8"/>
      <c r="H253" s="8"/>
      <c r="I253" s="76"/>
    </row>
    <row r="254">
      <c r="A254" s="8"/>
      <c r="B254" s="8"/>
      <c r="C254" s="18"/>
      <c r="D254" s="21"/>
      <c r="E254" s="8"/>
      <c r="F254" s="8"/>
      <c r="G254" s="8"/>
      <c r="H254" s="8"/>
      <c r="I254" s="76"/>
    </row>
    <row r="255">
      <c r="A255" s="8"/>
      <c r="B255" s="8"/>
      <c r="C255" s="18"/>
      <c r="D255" s="21"/>
      <c r="E255" s="8"/>
      <c r="F255" s="8"/>
      <c r="G255" s="8"/>
      <c r="H255" s="8"/>
      <c r="I255" s="76"/>
    </row>
    <row r="256">
      <c r="A256" s="8"/>
      <c r="B256" s="8"/>
      <c r="C256" s="18"/>
      <c r="D256" s="21"/>
      <c r="E256" s="8"/>
      <c r="F256" s="8"/>
      <c r="G256" s="8"/>
      <c r="H256" s="8"/>
      <c r="I256" s="76"/>
    </row>
    <row r="257">
      <c r="A257" s="8"/>
      <c r="B257" s="8"/>
      <c r="C257" s="18"/>
      <c r="D257" s="21"/>
      <c r="E257" s="8"/>
      <c r="F257" s="8"/>
      <c r="G257" s="8"/>
      <c r="H257" s="8"/>
      <c r="I257" s="76"/>
    </row>
    <row r="258">
      <c r="A258" s="8"/>
      <c r="B258" s="8"/>
      <c r="C258" s="18"/>
      <c r="D258" s="21"/>
      <c r="E258" s="8"/>
      <c r="F258" s="8"/>
      <c r="G258" s="8"/>
      <c r="H258" s="8"/>
      <c r="I258" s="76"/>
    </row>
    <row r="259">
      <c r="A259" s="8"/>
      <c r="B259" s="8"/>
      <c r="C259" s="18"/>
      <c r="D259" s="21"/>
      <c r="E259" s="8"/>
      <c r="F259" s="8"/>
      <c r="G259" s="8"/>
      <c r="H259" s="8"/>
      <c r="I259" s="76"/>
    </row>
    <row r="260">
      <c r="A260" s="8"/>
      <c r="B260" s="8"/>
      <c r="C260" s="18"/>
      <c r="D260" s="21"/>
      <c r="E260" s="8"/>
      <c r="F260" s="8"/>
      <c r="G260" s="8"/>
      <c r="H260" s="8"/>
      <c r="I260" s="76"/>
    </row>
    <row r="261">
      <c r="A261" s="8"/>
      <c r="B261" s="8"/>
      <c r="C261" s="18"/>
      <c r="D261" s="21"/>
      <c r="E261" s="8"/>
      <c r="F261" s="8"/>
      <c r="G261" s="8"/>
      <c r="H261" s="8"/>
      <c r="I261" s="76"/>
    </row>
    <row r="262">
      <c r="A262" s="8"/>
      <c r="B262" s="8"/>
      <c r="C262" s="18"/>
      <c r="D262" s="21"/>
      <c r="E262" s="8"/>
      <c r="F262" s="8"/>
      <c r="G262" s="8"/>
      <c r="H262" s="8"/>
      <c r="I262" s="76"/>
    </row>
    <row r="263">
      <c r="A263" s="8"/>
      <c r="B263" s="8"/>
      <c r="C263" s="18"/>
      <c r="D263" s="21"/>
      <c r="E263" s="8"/>
      <c r="F263" s="8"/>
      <c r="G263" s="8"/>
      <c r="H263" s="8"/>
      <c r="I263" s="76"/>
    </row>
    <row r="264">
      <c r="A264" s="8"/>
      <c r="B264" s="8"/>
      <c r="C264" s="18"/>
      <c r="D264" s="21"/>
      <c r="E264" s="8"/>
      <c r="F264" s="8"/>
      <c r="G264" s="8"/>
      <c r="H264" s="8"/>
      <c r="I264" s="76"/>
    </row>
    <row r="265">
      <c r="A265" s="8"/>
      <c r="B265" s="8"/>
      <c r="C265" s="18"/>
      <c r="D265" s="21"/>
      <c r="E265" s="8"/>
      <c r="F265" s="8"/>
      <c r="G265" s="8"/>
      <c r="H265" s="8"/>
      <c r="I265" s="76"/>
    </row>
    <row r="266">
      <c r="A266" s="8"/>
      <c r="B266" s="8"/>
      <c r="C266" s="18"/>
      <c r="D266" s="21"/>
      <c r="E266" s="8"/>
      <c r="F266" s="8"/>
      <c r="G266" s="8"/>
      <c r="H266" s="8"/>
      <c r="I266" s="76"/>
    </row>
    <row r="267">
      <c r="A267" s="8"/>
      <c r="B267" s="8"/>
      <c r="C267" s="18"/>
      <c r="D267" s="21"/>
      <c r="E267" s="8"/>
      <c r="F267" s="8"/>
      <c r="G267" s="8"/>
      <c r="H267" s="8"/>
      <c r="I267" s="76"/>
    </row>
    <row r="268">
      <c r="A268" s="8"/>
      <c r="B268" s="8"/>
      <c r="C268" s="18"/>
      <c r="D268" s="21"/>
      <c r="E268" s="8"/>
      <c r="F268" s="8"/>
      <c r="G268" s="8"/>
      <c r="H268" s="8"/>
      <c r="I268" s="76"/>
    </row>
    <row r="269">
      <c r="A269" s="8"/>
      <c r="B269" s="8"/>
      <c r="C269" s="18"/>
      <c r="D269" s="21"/>
      <c r="E269" s="8"/>
      <c r="F269" s="8"/>
      <c r="G269" s="8"/>
      <c r="H269" s="8"/>
      <c r="I269" s="76"/>
    </row>
    <row r="270">
      <c r="A270" s="8"/>
      <c r="B270" s="8"/>
      <c r="C270" s="18"/>
      <c r="D270" s="21"/>
      <c r="E270" s="8"/>
      <c r="F270" s="8"/>
      <c r="G270" s="8"/>
      <c r="H270" s="8"/>
      <c r="I270" s="76"/>
    </row>
    <row r="271">
      <c r="A271" s="8"/>
      <c r="B271" s="8"/>
      <c r="C271" s="18"/>
      <c r="D271" s="21"/>
      <c r="E271" s="8"/>
      <c r="F271" s="8"/>
      <c r="G271" s="8"/>
      <c r="H271" s="8"/>
      <c r="I271" s="76"/>
    </row>
    <row r="272">
      <c r="A272" s="8"/>
      <c r="B272" s="8"/>
      <c r="C272" s="18"/>
      <c r="D272" s="21"/>
      <c r="E272" s="8"/>
      <c r="F272" s="8"/>
      <c r="G272" s="8"/>
      <c r="H272" s="8"/>
      <c r="I272" s="76"/>
    </row>
    <row r="273">
      <c r="A273" s="8"/>
      <c r="B273" s="8"/>
      <c r="C273" s="18"/>
      <c r="D273" s="21"/>
      <c r="E273" s="8"/>
      <c r="F273" s="8"/>
      <c r="G273" s="8"/>
      <c r="H273" s="8"/>
      <c r="I273" s="76"/>
    </row>
    <row r="274">
      <c r="A274" s="8"/>
      <c r="B274" s="8"/>
      <c r="C274" s="18"/>
      <c r="D274" s="21"/>
      <c r="E274" s="8"/>
      <c r="F274" s="8"/>
      <c r="G274" s="8"/>
      <c r="H274" s="8"/>
      <c r="I274" s="76"/>
    </row>
    <row r="275">
      <c r="A275" s="8"/>
      <c r="B275" s="8"/>
      <c r="C275" s="18"/>
      <c r="D275" s="21"/>
      <c r="E275" s="8"/>
      <c r="F275" s="8"/>
      <c r="G275" s="8"/>
      <c r="H275" s="8"/>
      <c r="I275" s="76"/>
    </row>
    <row r="276">
      <c r="A276" s="8"/>
      <c r="B276" s="8"/>
      <c r="C276" s="18"/>
      <c r="D276" s="21"/>
      <c r="E276" s="8"/>
      <c r="F276" s="8"/>
      <c r="G276" s="8"/>
      <c r="H276" s="8"/>
      <c r="I276" s="76"/>
    </row>
    <row r="277">
      <c r="A277" s="8"/>
      <c r="B277" s="8"/>
      <c r="C277" s="18"/>
      <c r="D277" s="21"/>
      <c r="E277" s="8"/>
      <c r="F277" s="8"/>
      <c r="G277" s="8"/>
      <c r="H277" s="8"/>
      <c r="I277" s="76"/>
    </row>
    <row r="278">
      <c r="A278" s="8"/>
      <c r="B278" s="8"/>
      <c r="C278" s="18"/>
      <c r="D278" s="21"/>
      <c r="E278" s="8"/>
      <c r="F278" s="8"/>
      <c r="G278" s="8"/>
      <c r="H278" s="8"/>
      <c r="I278" s="76"/>
    </row>
    <row r="279">
      <c r="A279" s="8"/>
      <c r="B279" s="8"/>
      <c r="C279" s="18"/>
      <c r="D279" s="21"/>
      <c r="E279" s="8"/>
      <c r="F279" s="8"/>
      <c r="G279" s="8"/>
      <c r="H279" s="8"/>
      <c r="I279" s="76"/>
    </row>
    <row r="280">
      <c r="A280" s="8"/>
      <c r="B280" s="8"/>
      <c r="C280" s="18"/>
      <c r="D280" s="21"/>
      <c r="E280" s="8"/>
      <c r="F280" s="8"/>
      <c r="G280" s="8"/>
      <c r="H280" s="8"/>
      <c r="I280" s="76"/>
    </row>
    <row r="281">
      <c r="A281" s="8"/>
      <c r="B281" s="8"/>
      <c r="C281" s="18"/>
      <c r="D281" s="21"/>
      <c r="E281" s="8"/>
      <c r="F281" s="8"/>
      <c r="G281" s="8"/>
      <c r="H281" s="8"/>
      <c r="I281" s="76"/>
    </row>
    <row r="282">
      <c r="A282" s="8"/>
      <c r="B282" s="8"/>
      <c r="C282" s="18"/>
      <c r="D282" s="21"/>
      <c r="E282" s="8"/>
      <c r="F282" s="8"/>
      <c r="G282" s="8"/>
      <c r="H282" s="8"/>
      <c r="I282" s="76"/>
    </row>
    <row r="283">
      <c r="A283" s="8"/>
      <c r="B283" s="8"/>
      <c r="C283" s="18"/>
      <c r="D283" s="21"/>
      <c r="E283" s="8"/>
      <c r="F283" s="8"/>
      <c r="G283" s="8"/>
      <c r="H283" s="8"/>
      <c r="I283" s="76"/>
    </row>
    <row r="284">
      <c r="A284" s="8"/>
      <c r="B284" s="8"/>
      <c r="C284" s="18"/>
      <c r="D284" s="21"/>
      <c r="E284" s="8"/>
      <c r="F284" s="8"/>
      <c r="G284" s="8"/>
      <c r="H284" s="8"/>
      <c r="I284" s="76"/>
    </row>
    <row r="285">
      <c r="A285" s="8"/>
      <c r="B285" s="8"/>
      <c r="C285" s="18"/>
      <c r="D285" s="21"/>
      <c r="E285" s="8"/>
      <c r="F285" s="8"/>
      <c r="G285" s="8"/>
      <c r="H285" s="8"/>
      <c r="I285" s="76"/>
    </row>
    <row r="286">
      <c r="A286" s="8"/>
      <c r="B286" s="8"/>
      <c r="C286" s="18"/>
      <c r="D286" s="21"/>
      <c r="E286" s="8"/>
      <c r="F286" s="8"/>
      <c r="G286" s="8"/>
      <c r="H286" s="8"/>
      <c r="I286" s="76"/>
    </row>
    <row r="287">
      <c r="A287" s="8"/>
      <c r="B287" s="8"/>
      <c r="C287" s="18"/>
      <c r="D287" s="21"/>
      <c r="E287" s="8"/>
      <c r="F287" s="8"/>
      <c r="G287" s="8"/>
      <c r="H287" s="8"/>
      <c r="I287" s="76"/>
    </row>
    <row r="288">
      <c r="A288" s="8"/>
      <c r="B288" s="8"/>
      <c r="C288" s="18"/>
      <c r="D288" s="21"/>
      <c r="E288" s="8"/>
      <c r="F288" s="8"/>
      <c r="G288" s="8"/>
      <c r="H288" s="8"/>
      <c r="I288" s="76"/>
    </row>
    <row r="289">
      <c r="A289" s="8"/>
      <c r="B289" s="8"/>
      <c r="C289" s="18"/>
      <c r="D289" s="21"/>
      <c r="E289" s="8"/>
      <c r="F289" s="8"/>
      <c r="G289" s="8"/>
      <c r="H289" s="8"/>
      <c r="I289" s="76"/>
    </row>
    <row r="290">
      <c r="A290" s="8"/>
      <c r="B290" s="8"/>
      <c r="C290" s="18"/>
      <c r="D290" s="21"/>
      <c r="E290" s="8"/>
      <c r="F290" s="8"/>
      <c r="G290" s="8"/>
      <c r="H290" s="8"/>
      <c r="I290" s="76"/>
    </row>
    <row r="291">
      <c r="A291" s="8"/>
      <c r="B291" s="8"/>
      <c r="C291" s="18"/>
      <c r="D291" s="21"/>
      <c r="E291" s="8"/>
      <c r="F291" s="8"/>
      <c r="G291" s="8"/>
      <c r="H291" s="8"/>
      <c r="I291" s="76"/>
    </row>
    <row r="292">
      <c r="A292" s="8"/>
      <c r="B292" s="8"/>
      <c r="C292" s="18"/>
      <c r="D292" s="21"/>
      <c r="E292" s="8"/>
      <c r="F292" s="8"/>
      <c r="G292" s="8"/>
      <c r="H292" s="8"/>
      <c r="I292" s="76"/>
    </row>
    <row r="293">
      <c r="A293" s="8"/>
      <c r="B293" s="8"/>
      <c r="C293" s="18"/>
      <c r="D293" s="21"/>
      <c r="E293" s="8"/>
      <c r="F293" s="8"/>
      <c r="G293" s="8"/>
      <c r="H293" s="8"/>
      <c r="I293" s="76"/>
    </row>
    <row r="294">
      <c r="A294" s="8"/>
      <c r="B294" s="8"/>
      <c r="C294" s="18"/>
      <c r="D294" s="21"/>
      <c r="E294" s="8"/>
      <c r="F294" s="8"/>
      <c r="G294" s="8"/>
      <c r="H294" s="8"/>
      <c r="I294" s="76"/>
    </row>
    <row r="295">
      <c r="A295" s="8"/>
      <c r="B295" s="8"/>
      <c r="C295" s="18"/>
      <c r="D295" s="21"/>
      <c r="E295" s="8"/>
      <c r="F295" s="8"/>
      <c r="G295" s="8"/>
      <c r="H295" s="8"/>
      <c r="I295" s="76"/>
    </row>
    <row r="296">
      <c r="A296" s="8"/>
      <c r="B296" s="8"/>
      <c r="C296" s="18"/>
      <c r="D296" s="21"/>
      <c r="E296" s="8"/>
      <c r="F296" s="8"/>
      <c r="G296" s="8"/>
      <c r="H296" s="8"/>
      <c r="I296" s="76"/>
    </row>
    <row r="297">
      <c r="A297" s="8"/>
      <c r="B297" s="8"/>
      <c r="C297" s="18"/>
      <c r="D297" s="21"/>
      <c r="E297" s="8"/>
      <c r="F297" s="8"/>
      <c r="G297" s="8"/>
      <c r="H297" s="8"/>
      <c r="I297" s="76"/>
    </row>
    <row r="298">
      <c r="A298" s="8"/>
      <c r="B298" s="8"/>
      <c r="C298" s="18"/>
      <c r="D298" s="21"/>
      <c r="E298" s="8"/>
      <c r="F298" s="8"/>
      <c r="G298" s="8"/>
      <c r="H298" s="8"/>
      <c r="I298" s="76"/>
    </row>
    <row r="299">
      <c r="A299" s="8"/>
      <c r="B299" s="8"/>
      <c r="C299" s="18"/>
      <c r="D299" s="21"/>
      <c r="E299" s="8"/>
      <c r="F299" s="8"/>
      <c r="G299" s="8"/>
      <c r="H299" s="8"/>
      <c r="I299" s="76"/>
    </row>
    <row r="300">
      <c r="A300" s="8"/>
      <c r="B300" s="8"/>
      <c r="C300" s="18"/>
      <c r="D300" s="21"/>
      <c r="E300" s="8"/>
      <c r="F300" s="8"/>
      <c r="G300" s="8"/>
      <c r="H300" s="8"/>
      <c r="I300" s="76"/>
    </row>
    <row r="301">
      <c r="A301" s="8"/>
      <c r="B301" s="8"/>
      <c r="C301" s="18"/>
      <c r="D301" s="21"/>
      <c r="E301" s="8"/>
      <c r="F301" s="8"/>
      <c r="G301" s="8"/>
      <c r="H301" s="8"/>
      <c r="I301" s="76"/>
    </row>
    <row r="302">
      <c r="A302" s="8"/>
      <c r="B302" s="8"/>
      <c r="C302" s="18"/>
      <c r="D302" s="21"/>
      <c r="E302" s="8"/>
      <c r="F302" s="8"/>
      <c r="G302" s="8"/>
      <c r="H302" s="8"/>
      <c r="I302" s="76"/>
    </row>
    <row r="303">
      <c r="A303" s="8"/>
      <c r="B303" s="8"/>
      <c r="C303" s="18"/>
      <c r="D303" s="21"/>
      <c r="E303" s="8"/>
      <c r="F303" s="8"/>
      <c r="G303" s="8"/>
      <c r="H303" s="8"/>
      <c r="I303" s="76"/>
    </row>
    <row r="304">
      <c r="A304" s="8"/>
      <c r="B304" s="8"/>
      <c r="C304" s="18"/>
      <c r="D304" s="21"/>
      <c r="E304" s="8"/>
      <c r="F304" s="8"/>
      <c r="G304" s="8"/>
      <c r="H304" s="8"/>
      <c r="I304" s="76"/>
    </row>
    <row r="305">
      <c r="A305" s="8"/>
      <c r="B305" s="8"/>
      <c r="C305" s="18"/>
      <c r="D305" s="21"/>
      <c r="E305" s="8"/>
      <c r="F305" s="8"/>
      <c r="G305" s="8"/>
      <c r="H305" s="8"/>
      <c r="I305" s="76"/>
    </row>
    <row r="306">
      <c r="A306" s="8"/>
      <c r="B306" s="8"/>
      <c r="C306" s="18"/>
      <c r="D306" s="21"/>
      <c r="E306" s="8"/>
      <c r="F306" s="8"/>
      <c r="G306" s="8"/>
      <c r="H306" s="8"/>
      <c r="I306" s="76"/>
    </row>
    <row r="307">
      <c r="A307" s="8"/>
      <c r="B307" s="8"/>
      <c r="C307" s="18"/>
      <c r="D307" s="21"/>
      <c r="E307" s="8"/>
      <c r="F307" s="8"/>
      <c r="G307" s="8"/>
      <c r="H307" s="8"/>
      <c r="I307" s="76"/>
    </row>
    <row r="308">
      <c r="A308" s="8"/>
      <c r="B308" s="8"/>
      <c r="C308" s="18"/>
      <c r="D308" s="21"/>
      <c r="E308" s="8"/>
      <c r="F308" s="8"/>
      <c r="G308" s="8"/>
      <c r="H308" s="8"/>
      <c r="I308" s="76"/>
    </row>
    <row r="309">
      <c r="A309" s="8"/>
      <c r="B309" s="8"/>
      <c r="C309" s="18"/>
      <c r="D309" s="21"/>
      <c r="E309" s="8"/>
      <c r="F309" s="8"/>
      <c r="G309" s="8"/>
      <c r="H309" s="8"/>
      <c r="I309" s="76"/>
    </row>
    <row r="310">
      <c r="A310" s="8"/>
      <c r="B310" s="8"/>
      <c r="C310" s="18"/>
      <c r="D310" s="21"/>
      <c r="E310" s="8"/>
      <c r="F310" s="8"/>
      <c r="G310" s="8"/>
      <c r="H310" s="8"/>
      <c r="I310" s="76"/>
    </row>
    <row r="311">
      <c r="A311" s="8"/>
      <c r="B311" s="8"/>
      <c r="C311" s="18"/>
      <c r="D311" s="21"/>
      <c r="E311" s="8"/>
      <c r="F311" s="8"/>
      <c r="G311" s="8"/>
      <c r="H311" s="8"/>
      <c r="I311" s="76"/>
    </row>
    <row r="312">
      <c r="A312" s="8"/>
      <c r="B312" s="8"/>
      <c r="C312" s="18"/>
      <c r="D312" s="21"/>
      <c r="E312" s="8"/>
      <c r="F312" s="8"/>
      <c r="G312" s="8"/>
      <c r="H312" s="8"/>
      <c r="I312" s="76"/>
    </row>
    <row r="313">
      <c r="A313" s="8"/>
      <c r="B313" s="8"/>
      <c r="C313" s="18"/>
      <c r="D313" s="21"/>
      <c r="E313" s="8"/>
      <c r="F313" s="8"/>
      <c r="G313" s="8"/>
      <c r="H313" s="8"/>
      <c r="I313" s="76"/>
    </row>
    <row r="314">
      <c r="A314" s="8"/>
      <c r="B314" s="8"/>
      <c r="C314" s="18"/>
      <c r="D314" s="21"/>
      <c r="E314" s="8"/>
      <c r="F314" s="8"/>
      <c r="G314" s="8"/>
      <c r="H314" s="8"/>
      <c r="I314" s="76"/>
    </row>
    <row r="315">
      <c r="A315" s="8"/>
      <c r="B315" s="8"/>
      <c r="C315" s="18"/>
      <c r="D315" s="21"/>
      <c r="E315" s="8"/>
      <c r="F315" s="8"/>
      <c r="G315" s="8"/>
      <c r="H315" s="8"/>
      <c r="I315" s="76"/>
    </row>
    <row r="316">
      <c r="A316" s="8"/>
      <c r="B316" s="8"/>
      <c r="C316" s="18"/>
      <c r="D316" s="21"/>
      <c r="E316" s="8"/>
      <c r="F316" s="8"/>
      <c r="G316" s="8"/>
      <c r="H316" s="8"/>
      <c r="I316" s="76"/>
    </row>
    <row r="317">
      <c r="A317" s="8"/>
      <c r="B317" s="8"/>
      <c r="C317" s="18"/>
      <c r="D317" s="21"/>
      <c r="E317" s="8"/>
      <c r="F317" s="8"/>
      <c r="G317" s="8"/>
      <c r="H317" s="8"/>
      <c r="I317" s="76"/>
    </row>
    <row r="318">
      <c r="A318" s="8"/>
      <c r="B318" s="8"/>
      <c r="C318" s="18"/>
      <c r="D318" s="21"/>
      <c r="E318" s="8"/>
      <c r="F318" s="8"/>
      <c r="G318" s="8"/>
      <c r="H318" s="8"/>
      <c r="I318" s="76"/>
    </row>
    <row r="319">
      <c r="A319" s="8"/>
      <c r="B319" s="8"/>
      <c r="C319" s="18"/>
      <c r="D319" s="21"/>
      <c r="E319" s="8"/>
      <c r="F319" s="8"/>
      <c r="G319" s="8"/>
      <c r="H319" s="8"/>
      <c r="I319" s="76"/>
    </row>
    <row r="320">
      <c r="A320" s="8"/>
      <c r="B320" s="8"/>
      <c r="C320" s="18"/>
      <c r="D320" s="21"/>
      <c r="E320" s="8"/>
      <c r="F320" s="8"/>
      <c r="G320" s="8"/>
      <c r="H320" s="8"/>
      <c r="I320" s="76"/>
    </row>
    <row r="321">
      <c r="A321" s="8"/>
      <c r="B321" s="8"/>
      <c r="C321" s="18"/>
      <c r="D321" s="21"/>
      <c r="E321" s="8"/>
      <c r="F321" s="8"/>
      <c r="G321" s="8"/>
      <c r="H321" s="8"/>
      <c r="I321" s="76"/>
    </row>
    <row r="322">
      <c r="A322" s="8"/>
      <c r="B322" s="8"/>
      <c r="C322" s="18"/>
      <c r="D322" s="21"/>
      <c r="E322" s="8"/>
      <c r="F322" s="8"/>
      <c r="G322" s="8"/>
      <c r="H322" s="8"/>
      <c r="I322" s="76"/>
    </row>
    <row r="323">
      <c r="A323" s="8"/>
      <c r="B323" s="8"/>
      <c r="C323" s="18"/>
      <c r="D323" s="21"/>
      <c r="E323" s="8"/>
      <c r="F323" s="8"/>
      <c r="G323" s="8"/>
      <c r="H323" s="8"/>
      <c r="I323" s="76"/>
    </row>
    <row r="324">
      <c r="A324" s="8"/>
      <c r="B324" s="8"/>
      <c r="C324" s="18"/>
      <c r="D324" s="21"/>
      <c r="E324" s="8"/>
      <c r="F324" s="8"/>
      <c r="G324" s="8"/>
      <c r="H324" s="8"/>
      <c r="I324" s="76"/>
    </row>
    <row r="325">
      <c r="A325" s="8"/>
      <c r="B325" s="8"/>
      <c r="C325" s="18"/>
      <c r="D325" s="21"/>
      <c r="E325" s="8"/>
      <c r="F325" s="8"/>
      <c r="G325" s="8"/>
      <c r="H325" s="8"/>
      <c r="I325" s="76"/>
    </row>
    <row r="326">
      <c r="A326" s="8"/>
      <c r="B326" s="8"/>
      <c r="C326" s="18"/>
      <c r="D326" s="21"/>
      <c r="E326" s="8"/>
      <c r="F326" s="8"/>
      <c r="G326" s="8"/>
      <c r="H326" s="8"/>
      <c r="I326" s="76"/>
    </row>
    <row r="327">
      <c r="A327" s="8"/>
      <c r="B327" s="8"/>
      <c r="C327" s="18"/>
      <c r="D327" s="21"/>
      <c r="E327" s="8"/>
      <c r="F327" s="8"/>
      <c r="G327" s="8"/>
      <c r="H327" s="8"/>
      <c r="I327" s="76"/>
    </row>
    <row r="328">
      <c r="A328" s="8"/>
      <c r="B328" s="8"/>
      <c r="C328" s="18"/>
      <c r="D328" s="21"/>
      <c r="E328" s="8"/>
      <c r="F328" s="8"/>
      <c r="G328" s="8"/>
      <c r="H328" s="8"/>
      <c r="I328" s="76"/>
    </row>
    <row r="329">
      <c r="A329" s="8"/>
      <c r="B329" s="8"/>
      <c r="C329" s="18"/>
      <c r="D329" s="21"/>
      <c r="E329" s="8"/>
      <c r="F329" s="8"/>
      <c r="G329" s="8"/>
      <c r="H329" s="8"/>
      <c r="I329" s="76"/>
    </row>
    <row r="330">
      <c r="A330" s="8"/>
      <c r="B330" s="8"/>
      <c r="C330" s="18"/>
      <c r="D330" s="21"/>
      <c r="E330" s="8"/>
      <c r="F330" s="8"/>
      <c r="G330" s="8"/>
      <c r="H330" s="8"/>
      <c r="I330" s="76"/>
    </row>
    <row r="331">
      <c r="A331" s="8"/>
      <c r="B331" s="8"/>
      <c r="C331" s="18"/>
      <c r="D331" s="21"/>
      <c r="E331" s="8"/>
      <c r="F331" s="8"/>
      <c r="G331" s="8"/>
      <c r="H331" s="8"/>
      <c r="I331" s="76"/>
    </row>
    <row r="332">
      <c r="A332" s="8"/>
      <c r="B332" s="8"/>
      <c r="C332" s="18"/>
      <c r="D332" s="21"/>
      <c r="E332" s="8"/>
      <c r="F332" s="8"/>
      <c r="G332" s="8"/>
      <c r="H332" s="8"/>
      <c r="I332" s="76"/>
    </row>
    <row r="333">
      <c r="A333" s="8"/>
      <c r="B333" s="8"/>
      <c r="C333" s="18"/>
      <c r="D333" s="21"/>
      <c r="E333" s="8"/>
      <c r="F333" s="8"/>
      <c r="G333" s="8"/>
      <c r="H333" s="8"/>
      <c r="I333" s="76"/>
    </row>
    <row r="334">
      <c r="A334" s="8"/>
      <c r="B334" s="8"/>
      <c r="C334" s="18"/>
      <c r="D334" s="21"/>
      <c r="E334" s="8"/>
      <c r="F334" s="8"/>
      <c r="G334" s="8"/>
      <c r="H334" s="8"/>
      <c r="I334" s="76"/>
    </row>
    <row r="335">
      <c r="A335" s="8"/>
      <c r="B335" s="8"/>
      <c r="C335" s="18"/>
      <c r="D335" s="21"/>
      <c r="E335" s="8"/>
      <c r="F335" s="8"/>
      <c r="G335" s="8"/>
      <c r="H335" s="8"/>
      <c r="I335" s="76"/>
    </row>
    <row r="336">
      <c r="A336" s="8"/>
      <c r="B336" s="8"/>
      <c r="C336" s="18"/>
      <c r="D336" s="21"/>
      <c r="E336" s="8"/>
      <c r="F336" s="8"/>
      <c r="G336" s="8"/>
      <c r="H336" s="8"/>
      <c r="I336" s="76"/>
    </row>
    <row r="337">
      <c r="A337" s="8"/>
      <c r="B337" s="8"/>
      <c r="C337" s="18"/>
      <c r="D337" s="21"/>
      <c r="E337" s="8"/>
      <c r="F337" s="8"/>
      <c r="G337" s="8"/>
      <c r="H337" s="8"/>
      <c r="I337" s="76"/>
    </row>
    <row r="338">
      <c r="A338" s="8"/>
      <c r="B338" s="8"/>
      <c r="C338" s="18"/>
      <c r="D338" s="21"/>
      <c r="E338" s="8"/>
      <c r="F338" s="8"/>
      <c r="G338" s="8"/>
      <c r="H338" s="8"/>
      <c r="I338" s="76"/>
    </row>
    <row r="339">
      <c r="A339" s="8"/>
      <c r="B339" s="8"/>
      <c r="C339" s="18"/>
      <c r="D339" s="21"/>
      <c r="E339" s="8"/>
      <c r="F339" s="8"/>
      <c r="G339" s="8"/>
      <c r="H339" s="8"/>
      <c r="I339" s="76"/>
    </row>
    <row r="340">
      <c r="A340" s="8"/>
      <c r="B340" s="8"/>
      <c r="C340" s="18"/>
      <c r="D340" s="21"/>
      <c r="E340" s="8"/>
      <c r="F340" s="8"/>
      <c r="G340" s="8"/>
      <c r="H340" s="8"/>
      <c r="I340" s="76"/>
    </row>
    <row r="341">
      <c r="A341" s="8"/>
      <c r="B341" s="8"/>
      <c r="C341" s="18"/>
      <c r="D341" s="21"/>
      <c r="E341" s="8"/>
      <c r="F341" s="8"/>
      <c r="G341" s="8"/>
      <c r="H341" s="8"/>
      <c r="I341" s="76"/>
    </row>
    <row r="342">
      <c r="A342" s="8"/>
      <c r="B342" s="8"/>
      <c r="C342" s="18"/>
      <c r="D342" s="21"/>
      <c r="E342" s="8"/>
      <c r="F342" s="8"/>
      <c r="G342" s="8"/>
      <c r="H342" s="8"/>
      <c r="I342" s="76"/>
    </row>
    <row r="343">
      <c r="A343" s="8"/>
      <c r="B343" s="8"/>
      <c r="C343" s="18"/>
      <c r="D343" s="21"/>
      <c r="E343" s="8"/>
      <c r="F343" s="8"/>
      <c r="G343" s="8"/>
      <c r="H343" s="8"/>
      <c r="I343" s="76"/>
    </row>
    <row r="344">
      <c r="A344" s="8"/>
      <c r="B344" s="8"/>
      <c r="C344" s="18"/>
      <c r="D344" s="21"/>
      <c r="E344" s="8"/>
      <c r="F344" s="8"/>
      <c r="G344" s="8"/>
      <c r="H344" s="8"/>
      <c r="I344" s="76"/>
    </row>
    <row r="345">
      <c r="A345" s="8"/>
      <c r="B345" s="8"/>
      <c r="C345" s="18"/>
      <c r="D345" s="21"/>
      <c r="E345" s="8"/>
      <c r="F345" s="8"/>
      <c r="G345" s="8"/>
      <c r="H345" s="8"/>
      <c r="I345" s="76"/>
    </row>
    <row r="346">
      <c r="A346" s="8"/>
      <c r="B346" s="8"/>
      <c r="C346" s="18"/>
      <c r="D346" s="21"/>
      <c r="E346" s="8"/>
      <c r="F346" s="8"/>
      <c r="G346" s="8"/>
      <c r="H346" s="8"/>
      <c r="I346" s="76"/>
    </row>
    <row r="347">
      <c r="A347" s="8"/>
      <c r="B347" s="8"/>
      <c r="C347" s="18"/>
      <c r="D347" s="21"/>
      <c r="E347" s="8"/>
      <c r="F347" s="8"/>
      <c r="G347" s="8"/>
      <c r="H347" s="8"/>
      <c r="I347" s="76"/>
    </row>
    <row r="348">
      <c r="A348" s="8"/>
      <c r="B348" s="8"/>
      <c r="C348" s="18"/>
      <c r="D348" s="21"/>
      <c r="E348" s="8"/>
      <c r="F348" s="8"/>
      <c r="G348" s="8"/>
      <c r="H348" s="8"/>
      <c r="I348" s="76"/>
    </row>
    <row r="349">
      <c r="A349" s="8"/>
      <c r="B349" s="8"/>
      <c r="C349" s="18"/>
      <c r="D349" s="21"/>
      <c r="E349" s="8"/>
      <c r="F349" s="8"/>
      <c r="G349" s="8"/>
      <c r="H349" s="8"/>
      <c r="I349" s="76"/>
    </row>
    <row r="350">
      <c r="A350" s="8"/>
      <c r="B350" s="8"/>
      <c r="C350" s="18"/>
      <c r="D350" s="21"/>
      <c r="E350" s="8"/>
      <c r="F350" s="8"/>
      <c r="G350" s="8"/>
      <c r="H350" s="8"/>
      <c r="I350" s="76"/>
    </row>
    <row r="351">
      <c r="A351" s="8"/>
      <c r="B351" s="8"/>
      <c r="C351" s="18"/>
      <c r="D351" s="21"/>
      <c r="E351" s="8"/>
      <c r="F351" s="8"/>
      <c r="G351" s="8"/>
      <c r="H351" s="8"/>
      <c r="I351" s="76"/>
    </row>
    <row r="352">
      <c r="A352" s="8"/>
      <c r="B352" s="8"/>
      <c r="C352" s="18"/>
      <c r="D352" s="21"/>
      <c r="E352" s="8"/>
      <c r="F352" s="8"/>
      <c r="G352" s="8"/>
      <c r="H352" s="8"/>
      <c r="I352" s="76"/>
    </row>
    <row r="353">
      <c r="A353" s="8"/>
      <c r="B353" s="8"/>
      <c r="C353" s="18"/>
      <c r="D353" s="21"/>
      <c r="E353" s="8"/>
      <c r="F353" s="8"/>
      <c r="G353" s="8"/>
      <c r="H353" s="8"/>
      <c r="I353" s="76"/>
    </row>
    <row r="354">
      <c r="A354" s="8"/>
      <c r="B354" s="8"/>
      <c r="C354" s="18"/>
      <c r="D354" s="21"/>
      <c r="E354" s="8"/>
      <c r="F354" s="8"/>
      <c r="G354" s="8"/>
      <c r="H354" s="8"/>
      <c r="I354" s="76"/>
    </row>
    <row r="355">
      <c r="A355" s="8"/>
      <c r="B355" s="8"/>
      <c r="C355" s="18"/>
      <c r="D355" s="21"/>
      <c r="E355" s="8"/>
      <c r="F355" s="8"/>
      <c r="G355" s="8"/>
      <c r="H355" s="8"/>
      <c r="I355" s="76"/>
    </row>
    <row r="356">
      <c r="A356" s="8"/>
      <c r="B356" s="8"/>
      <c r="C356" s="18"/>
      <c r="D356" s="21"/>
      <c r="E356" s="8"/>
      <c r="F356" s="8"/>
      <c r="G356" s="8"/>
      <c r="H356" s="8"/>
      <c r="I356" s="76"/>
    </row>
    <row r="357">
      <c r="A357" s="8"/>
      <c r="B357" s="8"/>
      <c r="C357" s="18"/>
      <c r="D357" s="21"/>
      <c r="E357" s="8"/>
      <c r="F357" s="8"/>
      <c r="G357" s="8"/>
      <c r="H357" s="8"/>
      <c r="I357" s="76"/>
    </row>
    <row r="358">
      <c r="A358" s="8"/>
      <c r="B358" s="8"/>
      <c r="C358" s="18"/>
      <c r="D358" s="21"/>
      <c r="E358" s="8"/>
      <c r="F358" s="8"/>
      <c r="G358" s="8"/>
      <c r="H358" s="8"/>
      <c r="I358" s="76"/>
    </row>
    <row r="359">
      <c r="A359" s="8"/>
      <c r="B359" s="8"/>
      <c r="C359" s="18"/>
      <c r="D359" s="21"/>
      <c r="E359" s="8"/>
      <c r="F359" s="8"/>
      <c r="G359" s="8"/>
      <c r="H359" s="8"/>
      <c r="I359" s="76"/>
    </row>
    <row r="360">
      <c r="A360" s="8"/>
      <c r="B360" s="8"/>
      <c r="C360" s="18"/>
      <c r="D360" s="21"/>
      <c r="E360" s="8"/>
      <c r="F360" s="8"/>
      <c r="G360" s="8"/>
      <c r="H360" s="8"/>
      <c r="I360" s="76"/>
    </row>
    <row r="361">
      <c r="A361" s="8"/>
      <c r="B361" s="8"/>
      <c r="C361" s="18"/>
      <c r="D361" s="21"/>
      <c r="E361" s="8"/>
      <c r="F361" s="8"/>
      <c r="G361" s="8"/>
      <c r="H361" s="8"/>
      <c r="I361" s="76"/>
    </row>
    <row r="362">
      <c r="A362" s="8"/>
      <c r="B362" s="8"/>
      <c r="C362" s="18"/>
      <c r="D362" s="21"/>
      <c r="E362" s="8"/>
      <c r="F362" s="8"/>
      <c r="G362" s="8"/>
      <c r="H362" s="8"/>
      <c r="I362" s="76"/>
    </row>
    <row r="363">
      <c r="A363" s="8"/>
      <c r="B363" s="8"/>
      <c r="C363" s="18"/>
      <c r="D363" s="21"/>
      <c r="E363" s="8"/>
      <c r="F363" s="8"/>
      <c r="G363" s="8"/>
      <c r="H363" s="8"/>
      <c r="I363" s="76"/>
    </row>
    <row r="364">
      <c r="A364" s="8"/>
      <c r="B364" s="8"/>
      <c r="C364" s="18"/>
      <c r="D364" s="21"/>
      <c r="E364" s="8"/>
      <c r="F364" s="8"/>
      <c r="G364" s="8"/>
      <c r="H364" s="8"/>
      <c r="I364" s="76"/>
    </row>
    <row r="365">
      <c r="A365" s="8"/>
      <c r="B365" s="8"/>
      <c r="C365" s="18"/>
      <c r="D365" s="21"/>
      <c r="E365" s="8"/>
      <c r="F365" s="8"/>
      <c r="G365" s="8"/>
      <c r="H365" s="8"/>
      <c r="I365" s="76"/>
    </row>
    <row r="366">
      <c r="A366" s="8"/>
      <c r="B366" s="8"/>
      <c r="C366" s="18"/>
      <c r="D366" s="21"/>
      <c r="E366" s="8"/>
      <c r="F366" s="8"/>
      <c r="G366" s="8"/>
      <c r="H366" s="8"/>
      <c r="I366" s="76"/>
    </row>
    <row r="367">
      <c r="A367" s="8"/>
      <c r="B367" s="8"/>
      <c r="C367" s="18"/>
      <c r="D367" s="21"/>
      <c r="E367" s="8"/>
      <c r="F367" s="8"/>
      <c r="G367" s="8"/>
      <c r="H367" s="8"/>
      <c r="I367" s="76"/>
    </row>
    <row r="368">
      <c r="A368" s="8"/>
      <c r="B368" s="8"/>
      <c r="C368" s="18"/>
      <c r="D368" s="21"/>
      <c r="E368" s="8"/>
      <c r="F368" s="8"/>
      <c r="G368" s="8"/>
      <c r="H368" s="8"/>
      <c r="I368" s="76"/>
    </row>
    <row r="369">
      <c r="A369" s="8"/>
      <c r="B369" s="8"/>
      <c r="C369" s="18"/>
      <c r="D369" s="21"/>
      <c r="E369" s="8"/>
      <c r="F369" s="8"/>
      <c r="G369" s="8"/>
      <c r="H369" s="8"/>
      <c r="I369" s="76"/>
    </row>
    <row r="370">
      <c r="A370" s="8"/>
      <c r="B370" s="8"/>
      <c r="C370" s="18"/>
      <c r="D370" s="21"/>
      <c r="E370" s="8"/>
      <c r="F370" s="8"/>
      <c r="G370" s="8"/>
      <c r="H370" s="8"/>
      <c r="I370" s="76"/>
    </row>
    <row r="371">
      <c r="A371" s="8"/>
      <c r="B371" s="8"/>
      <c r="C371" s="18"/>
      <c r="D371" s="21"/>
      <c r="E371" s="8"/>
      <c r="F371" s="8"/>
      <c r="G371" s="8"/>
      <c r="H371" s="8"/>
      <c r="I371" s="76"/>
    </row>
    <row r="372">
      <c r="A372" s="8"/>
      <c r="B372" s="8"/>
      <c r="C372" s="18"/>
      <c r="D372" s="21"/>
      <c r="E372" s="8"/>
      <c r="F372" s="8"/>
      <c r="G372" s="8"/>
      <c r="H372" s="8"/>
      <c r="I372" s="76"/>
    </row>
    <row r="373">
      <c r="A373" s="8"/>
      <c r="B373" s="8"/>
      <c r="C373" s="18"/>
      <c r="D373" s="21"/>
      <c r="E373" s="8"/>
      <c r="F373" s="8"/>
      <c r="G373" s="8"/>
      <c r="H373" s="8"/>
      <c r="I373" s="76"/>
    </row>
    <row r="374">
      <c r="A374" s="8"/>
      <c r="B374" s="8"/>
      <c r="C374" s="18"/>
      <c r="D374" s="21"/>
      <c r="E374" s="8"/>
      <c r="F374" s="8"/>
      <c r="G374" s="8"/>
      <c r="H374" s="8"/>
      <c r="I374" s="76"/>
    </row>
    <row r="375">
      <c r="A375" s="8"/>
      <c r="B375" s="8"/>
      <c r="C375" s="18"/>
      <c r="D375" s="21"/>
      <c r="E375" s="8"/>
      <c r="F375" s="8"/>
      <c r="G375" s="8"/>
      <c r="H375" s="8"/>
      <c r="I375" s="76"/>
    </row>
    <row r="376">
      <c r="A376" s="8"/>
      <c r="B376" s="8"/>
      <c r="C376" s="18"/>
      <c r="D376" s="21"/>
      <c r="E376" s="8"/>
      <c r="F376" s="8"/>
      <c r="G376" s="8"/>
      <c r="H376" s="8"/>
      <c r="I376" s="76"/>
    </row>
    <row r="377">
      <c r="A377" s="8"/>
      <c r="B377" s="8"/>
      <c r="C377" s="18"/>
      <c r="D377" s="21"/>
      <c r="E377" s="8"/>
      <c r="F377" s="8"/>
      <c r="G377" s="8"/>
      <c r="H377" s="8"/>
      <c r="I377" s="76"/>
    </row>
    <row r="378">
      <c r="A378" s="8"/>
      <c r="B378" s="8"/>
      <c r="C378" s="18"/>
      <c r="D378" s="21"/>
      <c r="E378" s="8"/>
      <c r="F378" s="8"/>
      <c r="G378" s="8"/>
      <c r="H378" s="8"/>
      <c r="I378" s="76"/>
    </row>
    <row r="379">
      <c r="A379" s="8"/>
      <c r="B379" s="8"/>
      <c r="C379" s="18"/>
      <c r="D379" s="21"/>
      <c r="E379" s="8"/>
      <c r="F379" s="8"/>
      <c r="G379" s="8"/>
      <c r="H379" s="8"/>
      <c r="I379" s="76"/>
    </row>
    <row r="380">
      <c r="A380" s="8"/>
      <c r="B380" s="8"/>
      <c r="C380" s="18"/>
      <c r="D380" s="21"/>
      <c r="E380" s="8"/>
      <c r="F380" s="8"/>
      <c r="G380" s="8"/>
      <c r="H380" s="8"/>
      <c r="I380" s="76"/>
    </row>
    <row r="381">
      <c r="A381" s="8"/>
      <c r="B381" s="8"/>
      <c r="C381" s="18"/>
      <c r="D381" s="21"/>
      <c r="E381" s="8"/>
      <c r="F381" s="8"/>
      <c r="G381" s="8"/>
      <c r="H381" s="8"/>
      <c r="I381" s="76"/>
    </row>
    <row r="382">
      <c r="A382" s="8"/>
      <c r="B382" s="8"/>
      <c r="C382" s="18"/>
      <c r="D382" s="21"/>
      <c r="E382" s="8"/>
      <c r="F382" s="8"/>
      <c r="G382" s="8"/>
      <c r="H382" s="8"/>
      <c r="I382" s="76"/>
    </row>
    <row r="383">
      <c r="A383" s="8"/>
      <c r="B383" s="8"/>
      <c r="C383" s="18"/>
      <c r="D383" s="21"/>
      <c r="E383" s="8"/>
      <c r="F383" s="8"/>
      <c r="G383" s="8"/>
      <c r="H383" s="8"/>
      <c r="I383" s="76"/>
    </row>
    <row r="384">
      <c r="A384" s="8"/>
      <c r="B384" s="8"/>
      <c r="C384" s="18"/>
      <c r="D384" s="21"/>
      <c r="E384" s="8"/>
      <c r="F384" s="8"/>
      <c r="G384" s="8"/>
      <c r="H384" s="8"/>
      <c r="I384" s="76"/>
    </row>
    <row r="385">
      <c r="A385" s="8"/>
      <c r="B385" s="8"/>
      <c r="C385" s="18"/>
      <c r="D385" s="21"/>
      <c r="E385" s="8"/>
      <c r="F385" s="8"/>
      <c r="G385" s="8"/>
      <c r="H385" s="8"/>
      <c r="I385" s="76"/>
    </row>
    <row r="386">
      <c r="A386" s="8"/>
      <c r="B386" s="8"/>
      <c r="C386" s="18"/>
      <c r="D386" s="21"/>
      <c r="E386" s="8"/>
      <c r="F386" s="8"/>
      <c r="G386" s="8"/>
      <c r="H386" s="8"/>
      <c r="I386" s="76"/>
    </row>
    <row r="387">
      <c r="A387" s="8"/>
      <c r="B387" s="8"/>
      <c r="C387" s="18"/>
      <c r="D387" s="21"/>
      <c r="E387" s="8"/>
      <c r="F387" s="8"/>
      <c r="G387" s="8"/>
      <c r="H387" s="8"/>
      <c r="I387" s="76"/>
    </row>
    <row r="388">
      <c r="A388" s="8"/>
      <c r="B388" s="8"/>
      <c r="C388" s="18"/>
      <c r="D388" s="21"/>
      <c r="E388" s="8"/>
      <c r="F388" s="8"/>
      <c r="G388" s="8"/>
      <c r="H388" s="8"/>
      <c r="I388" s="76"/>
    </row>
    <row r="389">
      <c r="A389" s="8"/>
      <c r="B389" s="8"/>
      <c r="C389" s="18"/>
      <c r="D389" s="21"/>
      <c r="E389" s="8"/>
      <c r="F389" s="8"/>
      <c r="G389" s="8"/>
      <c r="H389" s="8"/>
      <c r="I389" s="76"/>
    </row>
    <row r="390">
      <c r="A390" s="8"/>
      <c r="B390" s="8"/>
      <c r="C390" s="18"/>
      <c r="D390" s="21"/>
      <c r="E390" s="8"/>
      <c r="F390" s="8"/>
      <c r="G390" s="8"/>
      <c r="H390" s="8"/>
      <c r="I390" s="76"/>
    </row>
    <row r="391">
      <c r="A391" s="8"/>
      <c r="B391" s="8"/>
      <c r="C391" s="18"/>
      <c r="D391" s="21"/>
      <c r="E391" s="8"/>
      <c r="F391" s="8"/>
      <c r="G391" s="8"/>
      <c r="H391" s="8"/>
      <c r="I391" s="76"/>
    </row>
    <row r="392">
      <c r="A392" s="8"/>
      <c r="B392" s="8"/>
      <c r="C392" s="18"/>
      <c r="D392" s="21"/>
      <c r="E392" s="8"/>
      <c r="F392" s="8"/>
      <c r="G392" s="8"/>
      <c r="H392" s="8"/>
      <c r="I392" s="76"/>
    </row>
    <row r="393">
      <c r="A393" s="8"/>
      <c r="B393" s="8"/>
      <c r="C393" s="18"/>
      <c r="D393" s="21"/>
      <c r="E393" s="8"/>
      <c r="F393" s="8"/>
      <c r="G393" s="8"/>
      <c r="H393" s="8"/>
      <c r="I393" s="76"/>
    </row>
    <row r="394">
      <c r="A394" s="8"/>
      <c r="B394" s="8"/>
      <c r="C394" s="18"/>
      <c r="D394" s="21"/>
      <c r="E394" s="8"/>
      <c r="F394" s="8"/>
      <c r="G394" s="8"/>
      <c r="H394" s="8"/>
      <c r="I394" s="76"/>
    </row>
    <row r="395">
      <c r="A395" s="8"/>
      <c r="B395" s="8"/>
      <c r="C395" s="18"/>
      <c r="D395" s="21"/>
      <c r="E395" s="8"/>
      <c r="F395" s="8"/>
      <c r="G395" s="8"/>
      <c r="H395" s="8"/>
      <c r="I395" s="76"/>
    </row>
    <row r="396">
      <c r="A396" s="8"/>
      <c r="B396" s="8"/>
      <c r="C396" s="18"/>
      <c r="D396" s="21"/>
      <c r="E396" s="8"/>
      <c r="F396" s="8"/>
      <c r="G396" s="8"/>
      <c r="H396" s="8"/>
      <c r="I396" s="76"/>
    </row>
    <row r="397">
      <c r="A397" s="8"/>
      <c r="B397" s="8"/>
      <c r="C397" s="18"/>
      <c r="D397" s="21"/>
      <c r="E397" s="8"/>
      <c r="F397" s="8"/>
      <c r="G397" s="8"/>
      <c r="H397" s="8"/>
      <c r="I397" s="76"/>
    </row>
    <row r="398">
      <c r="A398" s="8"/>
      <c r="B398" s="8"/>
      <c r="C398" s="18"/>
      <c r="D398" s="21"/>
      <c r="E398" s="8"/>
      <c r="F398" s="8"/>
      <c r="G398" s="8"/>
      <c r="H398" s="8"/>
      <c r="I398" s="76"/>
    </row>
    <row r="399">
      <c r="A399" s="8"/>
      <c r="B399" s="8"/>
      <c r="C399" s="18"/>
      <c r="D399" s="21"/>
      <c r="E399" s="8"/>
      <c r="F399" s="8"/>
      <c r="G399" s="8"/>
      <c r="H399" s="8"/>
      <c r="I399" s="76"/>
    </row>
    <row r="400">
      <c r="A400" s="8"/>
      <c r="B400" s="8"/>
      <c r="C400" s="18"/>
      <c r="D400" s="21"/>
      <c r="E400" s="8"/>
      <c r="F400" s="8"/>
      <c r="G400" s="8"/>
      <c r="H400" s="8"/>
      <c r="I400" s="76"/>
    </row>
    <row r="401">
      <c r="A401" s="8"/>
      <c r="B401" s="8"/>
      <c r="C401" s="18"/>
      <c r="D401" s="21"/>
      <c r="E401" s="8"/>
      <c r="F401" s="8"/>
      <c r="G401" s="8"/>
      <c r="H401" s="8"/>
      <c r="I401" s="76"/>
    </row>
    <row r="402">
      <c r="A402" s="8"/>
      <c r="B402" s="8"/>
      <c r="C402" s="18"/>
      <c r="D402" s="21"/>
      <c r="E402" s="8"/>
      <c r="F402" s="8"/>
      <c r="G402" s="8"/>
      <c r="H402" s="8"/>
      <c r="I402" s="76"/>
    </row>
    <row r="403">
      <c r="A403" s="8"/>
      <c r="B403" s="8"/>
      <c r="C403" s="18"/>
      <c r="D403" s="21"/>
      <c r="E403" s="8"/>
      <c r="F403" s="8"/>
      <c r="G403" s="8"/>
      <c r="H403" s="8"/>
      <c r="I403" s="76"/>
    </row>
    <row r="404">
      <c r="A404" s="8"/>
      <c r="B404" s="8"/>
      <c r="C404" s="18"/>
      <c r="D404" s="21"/>
      <c r="E404" s="8"/>
      <c r="F404" s="8"/>
      <c r="G404" s="8"/>
      <c r="H404" s="8"/>
      <c r="I404" s="76"/>
    </row>
    <row r="405">
      <c r="A405" s="8"/>
      <c r="B405" s="8"/>
      <c r="C405" s="18"/>
      <c r="D405" s="21"/>
      <c r="E405" s="8"/>
      <c r="F405" s="8"/>
      <c r="G405" s="8"/>
      <c r="H405" s="8"/>
      <c r="I405" s="76"/>
    </row>
    <row r="406">
      <c r="A406" s="8"/>
      <c r="B406" s="8"/>
      <c r="C406" s="18"/>
      <c r="D406" s="21"/>
      <c r="E406" s="8"/>
      <c r="F406" s="8"/>
      <c r="G406" s="8"/>
      <c r="H406" s="8"/>
      <c r="I406" s="76"/>
    </row>
    <row r="407">
      <c r="A407" s="8"/>
      <c r="B407" s="8"/>
      <c r="C407" s="18"/>
      <c r="D407" s="21"/>
      <c r="E407" s="8"/>
      <c r="F407" s="8"/>
      <c r="G407" s="8"/>
      <c r="H407" s="8"/>
      <c r="I407" s="76"/>
    </row>
    <row r="408">
      <c r="A408" s="8"/>
      <c r="B408" s="8"/>
      <c r="C408" s="18"/>
      <c r="D408" s="21"/>
      <c r="E408" s="8"/>
      <c r="F408" s="8"/>
      <c r="G408" s="8"/>
      <c r="H408" s="8"/>
      <c r="I408" s="76"/>
    </row>
    <row r="409">
      <c r="A409" s="8"/>
      <c r="B409" s="8"/>
      <c r="C409" s="18"/>
      <c r="D409" s="21"/>
      <c r="E409" s="8"/>
      <c r="F409" s="8"/>
      <c r="G409" s="8"/>
      <c r="H409" s="8"/>
      <c r="I409" s="76"/>
    </row>
    <row r="410">
      <c r="A410" s="8"/>
      <c r="B410" s="8"/>
      <c r="C410" s="18"/>
      <c r="D410" s="21"/>
      <c r="E410" s="8"/>
      <c r="F410" s="8"/>
      <c r="G410" s="8"/>
      <c r="H410" s="8"/>
      <c r="I410" s="76"/>
    </row>
    <row r="411">
      <c r="A411" s="8"/>
      <c r="B411" s="8"/>
      <c r="C411" s="18"/>
      <c r="D411" s="21"/>
      <c r="E411" s="8"/>
      <c r="F411" s="8"/>
      <c r="G411" s="8"/>
      <c r="H411" s="8"/>
      <c r="I411" s="76"/>
    </row>
    <row r="412">
      <c r="A412" s="8"/>
      <c r="B412" s="8"/>
      <c r="C412" s="18"/>
      <c r="D412" s="21"/>
      <c r="E412" s="8"/>
      <c r="F412" s="8"/>
      <c r="G412" s="8"/>
      <c r="H412" s="8"/>
      <c r="I412" s="76"/>
    </row>
    <row r="413">
      <c r="A413" s="8"/>
      <c r="B413" s="8"/>
      <c r="C413" s="18"/>
      <c r="D413" s="21"/>
      <c r="E413" s="8"/>
      <c r="F413" s="8"/>
      <c r="G413" s="8"/>
      <c r="H413" s="8"/>
      <c r="I413" s="76"/>
    </row>
    <row r="414">
      <c r="A414" s="8"/>
      <c r="B414" s="8"/>
      <c r="C414" s="18"/>
      <c r="D414" s="21"/>
      <c r="E414" s="8"/>
      <c r="F414" s="8"/>
      <c r="G414" s="8"/>
      <c r="H414" s="8"/>
      <c r="I414" s="76"/>
    </row>
    <row r="415">
      <c r="A415" s="8"/>
      <c r="B415" s="8"/>
      <c r="C415" s="18"/>
      <c r="D415" s="21"/>
      <c r="E415" s="8"/>
      <c r="F415" s="8"/>
      <c r="G415" s="8"/>
      <c r="H415" s="8"/>
      <c r="I415" s="76"/>
    </row>
    <row r="416">
      <c r="A416" s="8"/>
      <c r="B416" s="8"/>
      <c r="C416" s="18"/>
      <c r="D416" s="21"/>
      <c r="E416" s="8"/>
      <c r="F416" s="8"/>
      <c r="G416" s="8"/>
      <c r="H416" s="8"/>
      <c r="I416" s="76"/>
    </row>
    <row r="417">
      <c r="A417" s="8"/>
      <c r="B417" s="8"/>
      <c r="C417" s="18"/>
      <c r="D417" s="21"/>
      <c r="E417" s="8"/>
      <c r="F417" s="8"/>
      <c r="G417" s="8"/>
      <c r="H417" s="8"/>
      <c r="I417" s="76"/>
    </row>
    <row r="418">
      <c r="A418" s="8"/>
      <c r="B418" s="8"/>
      <c r="C418" s="18"/>
      <c r="D418" s="21"/>
      <c r="E418" s="8"/>
      <c r="F418" s="8"/>
      <c r="G418" s="8"/>
      <c r="H418" s="8"/>
      <c r="I418" s="76"/>
    </row>
    <row r="419">
      <c r="A419" s="8"/>
      <c r="B419" s="8"/>
      <c r="C419" s="18"/>
      <c r="D419" s="21"/>
      <c r="E419" s="8"/>
      <c r="F419" s="8"/>
      <c r="G419" s="8"/>
      <c r="H419" s="8"/>
      <c r="I419" s="76"/>
    </row>
    <row r="420">
      <c r="A420" s="8"/>
      <c r="B420" s="8"/>
      <c r="C420" s="18"/>
      <c r="D420" s="21"/>
      <c r="E420" s="8"/>
      <c r="F420" s="8"/>
      <c r="G420" s="8"/>
      <c r="H420" s="8"/>
      <c r="I420" s="76"/>
    </row>
    <row r="421">
      <c r="A421" s="8"/>
      <c r="B421" s="8"/>
      <c r="C421" s="18"/>
      <c r="D421" s="21"/>
      <c r="E421" s="8"/>
      <c r="F421" s="8"/>
      <c r="G421" s="8"/>
      <c r="H421" s="8"/>
      <c r="I421" s="76"/>
    </row>
    <row r="422">
      <c r="A422" s="8"/>
      <c r="B422" s="8"/>
      <c r="C422" s="18"/>
      <c r="D422" s="21"/>
      <c r="E422" s="8"/>
      <c r="F422" s="8"/>
      <c r="G422" s="8"/>
      <c r="H422" s="8"/>
      <c r="I422" s="76"/>
    </row>
    <row r="423">
      <c r="A423" s="8"/>
      <c r="B423" s="8"/>
      <c r="C423" s="18"/>
      <c r="D423" s="21"/>
      <c r="E423" s="8"/>
      <c r="F423" s="8"/>
      <c r="G423" s="8"/>
      <c r="H423" s="8"/>
      <c r="I423" s="76"/>
    </row>
    <row r="424">
      <c r="A424" s="8"/>
      <c r="B424" s="8"/>
      <c r="C424" s="18"/>
      <c r="D424" s="21"/>
      <c r="E424" s="8"/>
      <c r="F424" s="8"/>
      <c r="G424" s="8"/>
      <c r="H424" s="8"/>
      <c r="I424" s="76"/>
    </row>
    <row r="425">
      <c r="A425" s="8"/>
      <c r="B425" s="8"/>
      <c r="C425" s="18"/>
      <c r="D425" s="21"/>
      <c r="E425" s="8"/>
      <c r="F425" s="8"/>
      <c r="G425" s="8"/>
      <c r="H425" s="8"/>
      <c r="I425" s="76"/>
    </row>
    <row r="426">
      <c r="A426" s="8"/>
      <c r="B426" s="8"/>
      <c r="C426" s="18"/>
      <c r="D426" s="21"/>
      <c r="E426" s="8"/>
      <c r="F426" s="8"/>
      <c r="G426" s="8"/>
      <c r="H426" s="8"/>
      <c r="I426" s="76"/>
    </row>
    <row r="427">
      <c r="A427" s="8"/>
      <c r="B427" s="8"/>
      <c r="C427" s="18"/>
      <c r="D427" s="21"/>
      <c r="E427" s="8"/>
      <c r="F427" s="8"/>
      <c r="G427" s="8"/>
      <c r="H427" s="8"/>
      <c r="I427" s="76"/>
    </row>
    <row r="428">
      <c r="A428" s="8"/>
      <c r="B428" s="8"/>
      <c r="C428" s="18"/>
      <c r="D428" s="21"/>
      <c r="E428" s="8"/>
      <c r="F428" s="8"/>
      <c r="G428" s="8"/>
      <c r="H428" s="8"/>
      <c r="I428" s="76"/>
    </row>
    <row r="429">
      <c r="A429" s="8"/>
      <c r="B429" s="8"/>
      <c r="C429" s="18"/>
      <c r="D429" s="21"/>
      <c r="E429" s="8"/>
      <c r="F429" s="8"/>
      <c r="G429" s="8"/>
      <c r="H429" s="8"/>
      <c r="I429" s="76"/>
    </row>
    <row r="430">
      <c r="A430" s="8"/>
      <c r="B430" s="8"/>
      <c r="C430" s="18"/>
      <c r="D430" s="21"/>
      <c r="E430" s="8"/>
      <c r="F430" s="8"/>
      <c r="G430" s="8"/>
      <c r="H430" s="8"/>
      <c r="I430" s="76"/>
    </row>
    <row r="431">
      <c r="A431" s="8"/>
      <c r="B431" s="8"/>
      <c r="C431" s="18"/>
      <c r="D431" s="21"/>
      <c r="E431" s="8"/>
      <c r="F431" s="8"/>
      <c r="G431" s="8"/>
      <c r="H431" s="8"/>
      <c r="I431" s="76"/>
    </row>
    <row r="432">
      <c r="A432" s="8"/>
      <c r="B432" s="8"/>
      <c r="C432" s="18"/>
      <c r="D432" s="21"/>
      <c r="E432" s="8"/>
      <c r="F432" s="8"/>
      <c r="G432" s="8"/>
      <c r="H432" s="8"/>
      <c r="I432" s="76"/>
    </row>
    <row r="433">
      <c r="A433" s="8"/>
      <c r="B433" s="8"/>
      <c r="C433" s="18"/>
      <c r="D433" s="21"/>
      <c r="E433" s="8"/>
      <c r="F433" s="8"/>
      <c r="G433" s="8"/>
      <c r="H433" s="8"/>
      <c r="I433" s="76"/>
    </row>
    <row r="434">
      <c r="A434" s="8"/>
      <c r="B434" s="8"/>
      <c r="C434" s="18"/>
      <c r="D434" s="21"/>
      <c r="E434" s="8"/>
      <c r="F434" s="8"/>
      <c r="G434" s="8"/>
      <c r="H434" s="8"/>
      <c r="I434" s="76"/>
    </row>
    <row r="435">
      <c r="A435" s="8"/>
      <c r="B435" s="8"/>
      <c r="C435" s="18"/>
      <c r="D435" s="21"/>
      <c r="E435" s="8"/>
      <c r="F435" s="8"/>
      <c r="G435" s="8"/>
      <c r="H435" s="8"/>
      <c r="I435" s="76"/>
    </row>
    <row r="436">
      <c r="A436" s="8"/>
      <c r="B436" s="8"/>
      <c r="C436" s="18"/>
      <c r="D436" s="21"/>
      <c r="E436" s="8"/>
      <c r="F436" s="8"/>
      <c r="G436" s="8"/>
      <c r="H436" s="8"/>
      <c r="I436" s="76"/>
    </row>
    <row r="437">
      <c r="A437" s="8"/>
      <c r="B437" s="8"/>
      <c r="C437" s="18"/>
      <c r="D437" s="21"/>
      <c r="E437" s="8"/>
      <c r="F437" s="8"/>
      <c r="G437" s="8"/>
      <c r="H437" s="8"/>
      <c r="I437" s="76"/>
    </row>
    <row r="438">
      <c r="A438" s="8"/>
      <c r="B438" s="8"/>
      <c r="C438" s="18"/>
      <c r="D438" s="21"/>
      <c r="E438" s="8"/>
      <c r="F438" s="8"/>
      <c r="G438" s="8"/>
      <c r="H438" s="8"/>
      <c r="I438" s="76"/>
    </row>
    <row r="439">
      <c r="A439" s="8"/>
      <c r="B439" s="8"/>
      <c r="C439" s="18"/>
      <c r="D439" s="21"/>
      <c r="E439" s="8"/>
      <c r="F439" s="8"/>
      <c r="G439" s="8"/>
      <c r="H439" s="8"/>
      <c r="I439" s="76"/>
    </row>
    <row r="440">
      <c r="A440" s="8"/>
      <c r="B440" s="8"/>
      <c r="C440" s="18"/>
      <c r="D440" s="21"/>
      <c r="E440" s="8"/>
      <c r="F440" s="8"/>
      <c r="G440" s="8"/>
      <c r="H440" s="8"/>
      <c r="I440" s="76"/>
    </row>
    <row r="441">
      <c r="A441" s="8"/>
      <c r="B441" s="8"/>
      <c r="C441" s="18"/>
      <c r="D441" s="21"/>
      <c r="E441" s="8"/>
      <c r="F441" s="8"/>
      <c r="G441" s="8"/>
      <c r="H441" s="8"/>
      <c r="I441" s="76"/>
    </row>
    <row r="442">
      <c r="A442" s="8"/>
      <c r="B442" s="8"/>
      <c r="C442" s="18"/>
      <c r="D442" s="21"/>
      <c r="E442" s="8"/>
      <c r="F442" s="8"/>
      <c r="G442" s="8"/>
      <c r="H442" s="8"/>
      <c r="I442" s="76"/>
    </row>
    <row r="443">
      <c r="A443" s="8"/>
      <c r="B443" s="8"/>
      <c r="C443" s="18"/>
      <c r="D443" s="21"/>
      <c r="E443" s="8"/>
      <c r="F443" s="8"/>
      <c r="G443" s="8"/>
      <c r="H443" s="8"/>
      <c r="I443" s="76"/>
    </row>
    <row r="444">
      <c r="A444" s="8"/>
      <c r="B444" s="8"/>
      <c r="C444" s="18"/>
      <c r="D444" s="21"/>
      <c r="E444" s="8"/>
      <c r="F444" s="8"/>
      <c r="G444" s="8"/>
      <c r="H444" s="8"/>
      <c r="I444" s="76"/>
    </row>
    <row r="445">
      <c r="A445" s="8"/>
      <c r="B445" s="8"/>
      <c r="C445" s="18"/>
      <c r="D445" s="21"/>
      <c r="E445" s="8"/>
      <c r="F445" s="8"/>
      <c r="G445" s="8"/>
      <c r="H445" s="8"/>
      <c r="I445" s="76"/>
    </row>
    <row r="446">
      <c r="A446" s="8"/>
      <c r="B446" s="8"/>
      <c r="C446" s="18"/>
      <c r="D446" s="21"/>
      <c r="E446" s="8"/>
      <c r="F446" s="8"/>
      <c r="G446" s="8"/>
      <c r="H446" s="8"/>
      <c r="I446" s="76"/>
    </row>
    <row r="447">
      <c r="A447" s="8"/>
      <c r="B447" s="8"/>
      <c r="C447" s="18"/>
      <c r="D447" s="21"/>
      <c r="E447" s="8"/>
      <c r="F447" s="8"/>
      <c r="G447" s="8"/>
      <c r="H447" s="8"/>
      <c r="I447" s="76"/>
    </row>
    <row r="448">
      <c r="A448" s="8"/>
      <c r="B448" s="8"/>
      <c r="C448" s="18"/>
      <c r="D448" s="21"/>
      <c r="E448" s="8"/>
      <c r="F448" s="8"/>
      <c r="G448" s="8"/>
      <c r="H448" s="8"/>
      <c r="I448" s="76"/>
    </row>
    <row r="449">
      <c r="A449" s="8"/>
      <c r="B449" s="8"/>
      <c r="C449" s="18"/>
      <c r="D449" s="21"/>
      <c r="E449" s="8"/>
      <c r="F449" s="8"/>
      <c r="G449" s="8"/>
      <c r="H449" s="8"/>
      <c r="I449" s="76"/>
    </row>
    <row r="450">
      <c r="A450" s="8"/>
      <c r="B450" s="8"/>
      <c r="C450" s="18"/>
      <c r="D450" s="21"/>
      <c r="E450" s="8"/>
      <c r="F450" s="8"/>
      <c r="G450" s="8"/>
      <c r="H450" s="8"/>
      <c r="I450" s="76"/>
    </row>
    <row r="451">
      <c r="A451" s="8"/>
      <c r="B451" s="8"/>
      <c r="C451" s="18"/>
      <c r="D451" s="21"/>
      <c r="E451" s="8"/>
      <c r="F451" s="8"/>
      <c r="G451" s="8"/>
      <c r="H451" s="8"/>
      <c r="I451" s="76"/>
    </row>
    <row r="452">
      <c r="A452" s="8"/>
      <c r="B452" s="8"/>
      <c r="C452" s="18"/>
      <c r="D452" s="21"/>
      <c r="E452" s="8"/>
      <c r="F452" s="8"/>
      <c r="G452" s="8"/>
      <c r="H452" s="8"/>
      <c r="I452" s="76"/>
    </row>
    <row r="453">
      <c r="A453" s="8"/>
      <c r="B453" s="8"/>
      <c r="C453" s="18"/>
      <c r="D453" s="21"/>
      <c r="E453" s="8"/>
      <c r="F453" s="8"/>
      <c r="G453" s="8"/>
      <c r="H453" s="8"/>
      <c r="I453" s="76"/>
    </row>
    <row r="454">
      <c r="A454" s="8"/>
      <c r="B454" s="8"/>
      <c r="C454" s="18"/>
      <c r="D454" s="21"/>
      <c r="E454" s="8"/>
      <c r="F454" s="8"/>
      <c r="G454" s="8"/>
      <c r="H454" s="8"/>
      <c r="I454" s="76"/>
    </row>
    <row r="455">
      <c r="A455" s="8"/>
      <c r="B455" s="8"/>
      <c r="C455" s="18"/>
      <c r="D455" s="21"/>
      <c r="E455" s="8"/>
      <c r="F455" s="8"/>
      <c r="G455" s="8"/>
      <c r="H455" s="8"/>
      <c r="I455" s="76"/>
    </row>
    <row r="456">
      <c r="A456" s="8"/>
      <c r="B456" s="8"/>
      <c r="C456" s="18"/>
      <c r="D456" s="21"/>
      <c r="E456" s="8"/>
      <c r="F456" s="8"/>
      <c r="G456" s="8"/>
      <c r="H456" s="8"/>
      <c r="I456" s="76"/>
    </row>
    <row r="457">
      <c r="A457" s="8"/>
      <c r="B457" s="8"/>
      <c r="C457" s="18"/>
      <c r="D457" s="21"/>
      <c r="E457" s="8"/>
      <c r="F457" s="8"/>
      <c r="G457" s="8"/>
      <c r="H457" s="8"/>
      <c r="I457" s="76"/>
    </row>
    <row r="458">
      <c r="A458" s="8"/>
      <c r="B458" s="8"/>
      <c r="C458" s="18"/>
      <c r="D458" s="21"/>
      <c r="E458" s="8"/>
      <c r="F458" s="8"/>
      <c r="G458" s="8"/>
      <c r="H458" s="8"/>
      <c r="I458" s="76"/>
    </row>
    <row r="459">
      <c r="A459" s="8"/>
      <c r="B459" s="8"/>
      <c r="C459" s="18"/>
      <c r="D459" s="21"/>
      <c r="E459" s="8"/>
      <c r="F459" s="8"/>
      <c r="G459" s="8"/>
      <c r="H459" s="8"/>
      <c r="I459" s="76"/>
    </row>
    <row r="460">
      <c r="A460" s="8"/>
      <c r="B460" s="8"/>
      <c r="C460" s="18"/>
      <c r="D460" s="21"/>
      <c r="E460" s="8"/>
      <c r="F460" s="8"/>
      <c r="G460" s="8"/>
      <c r="H460" s="8"/>
      <c r="I460" s="76"/>
    </row>
    <row r="461">
      <c r="A461" s="8"/>
      <c r="B461" s="8"/>
      <c r="C461" s="18"/>
      <c r="D461" s="21"/>
      <c r="E461" s="8"/>
      <c r="F461" s="8"/>
      <c r="G461" s="8"/>
      <c r="H461" s="8"/>
      <c r="I461" s="76"/>
    </row>
    <row r="462">
      <c r="A462" s="8"/>
      <c r="B462" s="8"/>
      <c r="C462" s="18"/>
      <c r="D462" s="21"/>
      <c r="E462" s="8"/>
      <c r="F462" s="8"/>
      <c r="G462" s="8"/>
      <c r="H462" s="8"/>
      <c r="I462" s="76"/>
    </row>
    <row r="463">
      <c r="A463" s="8"/>
      <c r="B463" s="8"/>
      <c r="C463" s="18"/>
      <c r="D463" s="21"/>
      <c r="E463" s="8"/>
      <c r="F463" s="8"/>
      <c r="G463" s="8"/>
      <c r="H463" s="8"/>
      <c r="I463" s="76"/>
    </row>
    <row r="464">
      <c r="A464" s="8"/>
      <c r="B464" s="8"/>
      <c r="C464" s="18"/>
      <c r="D464" s="21"/>
      <c r="E464" s="8"/>
      <c r="F464" s="8"/>
      <c r="G464" s="8"/>
      <c r="H464" s="8"/>
      <c r="I464" s="76"/>
    </row>
    <row r="465">
      <c r="A465" s="8"/>
      <c r="B465" s="8"/>
      <c r="C465" s="18"/>
      <c r="D465" s="21"/>
      <c r="E465" s="8"/>
      <c r="F465" s="8"/>
      <c r="G465" s="8"/>
      <c r="H465" s="8"/>
      <c r="I465" s="76"/>
    </row>
    <row r="466">
      <c r="A466" s="8"/>
      <c r="B466" s="8"/>
      <c r="C466" s="18"/>
      <c r="D466" s="21"/>
      <c r="E466" s="8"/>
      <c r="F466" s="8"/>
      <c r="G466" s="8"/>
      <c r="H466" s="8"/>
      <c r="I466" s="76"/>
    </row>
    <row r="467">
      <c r="A467" s="8"/>
      <c r="B467" s="8"/>
      <c r="C467" s="18"/>
      <c r="D467" s="21"/>
      <c r="E467" s="8"/>
      <c r="F467" s="8"/>
      <c r="G467" s="8"/>
      <c r="H467" s="8"/>
      <c r="I467" s="76"/>
    </row>
    <row r="468">
      <c r="A468" s="8"/>
      <c r="B468" s="8"/>
      <c r="C468" s="18"/>
      <c r="D468" s="21"/>
      <c r="E468" s="8"/>
      <c r="F468" s="8"/>
      <c r="G468" s="8"/>
      <c r="H468" s="8"/>
      <c r="I468" s="76"/>
    </row>
    <row r="469">
      <c r="A469" s="8"/>
      <c r="B469" s="8"/>
      <c r="C469" s="18"/>
      <c r="D469" s="21"/>
      <c r="E469" s="8"/>
      <c r="F469" s="8"/>
      <c r="G469" s="8"/>
      <c r="H469" s="8"/>
      <c r="I469" s="76"/>
    </row>
    <row r="470">
      <c r="A470" s="8"/>
      <c r="B470" s="8"/>
      <c r="C470" s="18"/>
      <c r="D470" s="21"/>
      <c r="E470" s="8"/>
      <c r="F470" s="8"/>
      <c r="G470" s="8"/>
      <c r="H470" s="8"/>
      <c r="I470" s="76"/>
    </row>
    <row r="471">
      <c r="A471" s="8"/>
      <c r="B471" s="8"/>
      <c r="C471" s="18"/>
      <c r="D471" s="21"/>
      <c r="E471" s="8"/>
      <c r="F471" s="8"/>
      <c r="G471" s="8"/>
      <c r="H471" s="8"/>
      <c r="I471" s="76"/>
    </row>
    <row r="472">
      <c r="A472" s="8"/>
      <c r="B472" s="8"/>
      <c r="C472" s="18"/>
      <c r="D472" s="21"/>
      <c r="E472" s="8"/>
      <c r="F472" s="8"/>
      <c r="G472" s="8"/>
      <c r="H472" s="8"/>
      <c r="I472" s="76"/>
    </row>
    <row r="473">
      <c r="A473" s="8"/>
      <c r="B473" s="8"/>
      <c r="C473" s="18"/>
      <c r="D473" s="21"/>
      <c r="E473" s="8"/>
      <c r="F473" s="8"/>
      <c r="G473" s="8"/>
      <c r="H473" s="8"/>
      <c r="I473" s="76"/>
    </row>
    <row r="474">
      <c r="A474" s="8"/>
      <c r="B474" s="8"/>
      <c r="C474" s="18"/>
      <c r="D474" s="21"/>
      <c r="E474" s="8"/>
      <c r="F474" s="8"/>
      <c r="G474" s="8"/>
      <c r="H474" s="8"/>
      <c r="I474" s="76"/>
    </row>
    <row r="475">
      <c r="A475" s="8"/>
      <c r="B475" s="8"/>
      <c r="C475" s="18"/>
      <c r="D475" s="21"/>
      <c r="E475" s="8"/>
      <c r="F475" s="8"/>
      <c r="G475" s="8"/>
      <c r="H475" s="8"/>
      <c r="I475" s="76"/>
    </row>
    <row r="476">
      <c r="A476" s="8"/>
      <c r="B476" s="8"/>
      <c r="C476" s="18"/>
      <c r="D476" s="21"/>
      <c r="E476" s="8"/>
      <c r="F476" s="8"/>
      <c r="G476" s="8"/>
      <c r="H476" s="8"/>
      <c r="I476" s="76"/>
    </row>
    <row r="477">
      <c r="A477" s="8"/>
      <c r="B477" s="8"/>
      <c r="C477" s="18"/>
      <c r="D477" s="21"/>
      <c r="E477" s="8"/>
      <c r="F477" s="8"/>
      <c r="G477" s="8"/>
      <c r="H477" s="8"/>
      <c r="I477" s="76"/>
    </row>
    <row r="478">
      <c r="A478" s="8"/>
      <c r="B478" s="8"/>
      <c r="C478" s="18"/>
      <c r="D478" s="21"/>
      <c r="E478" s="8"/>
      <c r="F478" s="8"/>
      <c r="G478" s="8"/>
      <c r="H478" s="8"/>
      <c r="I478" s="76"/>
    </row>
    <row r="479">
      <c r="A479" s="8"/>
      <c r="B479" s="8"/>
      <c r="C479" s="18"/>
      <c r="D479" s="21"/>
      <c r="E479" s="8"/>
      <c r="F479" s="8"/>
      <c r="G479" s="8"/>
      <c r="H479" s="8"/>
      <c r="I479" s="76"/>
    </row>
    <row r="480">
      <c r="A480" s="8"/>
      <c r="B480" s="8"/>
      <c r="C480" s="18"/>
      <c r="D480" s="21"/>
      <c r="E480" s="8"/>
      <c r="F480" s="8"/>
      <c r="G480" s="8"/>
      <c r="H480" s="8"/>
      <c r="I480" s="76"/>
    </row>
    <row r="481">
      <c r="A481" s="8"/>
      <c r="B481" s="8"/>
      <c r="C481" s="18"/>
      <c r="D481" s="21"/>
      <c r="E481" s="8"/>
      <c r="F481" s="8"/>
      <c r="G481" s="8"/>
      <c r="H481" s="8"/>
      <c r="I481" s="76"/>
    </row>
    <row r="482">
      <c r="A482" s="8"/>
      <c r="B482" s="8"/>
      <c r="C482" s="18"/>
      <c r="D482" s="21"/>
      <c r="E482" s="8"/>
      <c r="F482" s="8"/>
      <c r="G482" s="8"/>
      <c r="H482" s="8"/>
      <c r="I482" s="76"/>
    </row>
    <row r="483">
      <c r="A483" s="8"/>
      <c r="B483" s="8"/>
      <c r="C483" s="18"/>
      <c r="D483" s="21"/>
      <c r="E483" s="8"/>
      <c r="F483" s="8"/>
      <c r="G483" s="8"/>
      <c r="H483" s="8"/>
      <c r="I483" s="76"/>
    </row>
    <row r="484">
      <c r="A484" s="8"/>
      <c r="B484" s="8"/>
      <c r="C484" s="18"/>
      <c r="D484" s="21"/>
      <c r="E484" s="8"/>
      <c r="F484" s="8"/>
      <c r="G484" s="8"/>
      <c r="H484" s="8"/>
      <c r="I484" s="76"/>
    </row>
    <row r="485">
      <c r="A485" s="8"/>
      <c r="B485" s="8"/>
      <c r="C485" s="18"/>
      <c r="D485" s="21"/>
      <c r="E485" s="8"/>
      <c r="F485" s="8"/>
      <c r="G485" s="8"/>
      <c r="H485" s="8"/>
      <c r="I485" s="76"/>
    </row>
    <row r="486">
      <c r="A486" s="8"/>
      <c r="B486" s="8"/>
      <c r="C486" s="18"/>
      <c r="D486" s="21"/>
      <c r="E486" s="8"/>
      <c r="F486" s="8"/>
      <c r="G486" s="8"/>
      <c r="H486" s="8"/>
      <c r="I486" s="76"/>
    </row>
    <row r="487">
      <c r="A487" s="8"/>
      <c r="B487" s="8"/>
      <c r="C487" s="18"/>
      <c r="D487" s="21"/>
      <c r="E487" s="8"/>
      <c r="F487" s="8"/>
      <c r="G487" s="8"/>
      <c r="H487" s="8"/>
      <c r="I487" s="76"/>
    </row>
    <row r="488">
      <c r="A488" s="8"/>
      <c r="B488" s="8"/>
      <c r="C488" s="18"/>
      <c r="D488" s="21"/>
      <c r="E488" s="8"/>
      <c r="F488" s="8"/>
      <c r="G488" s="8"/>
      <c r="H488" s="8"/>
      <c r="I488" s="76"/>
    </row>
    <row r="489">
      <c r="A489" s="8"/>
      <c r="B489" s="8"/>
      <c r="C489" s="18"/>
      <c r="D489" s="21"/>
      <c r="E489" s="8"/>
      <c r="F489" s="8"/>
      <c r="G489" s="8"/>
      <c r="H489" s="8"/>
      <c r="I489" s="76"/>
    </row>
    <row r="490">
      <c r="A490" s="8"/>
      <c r="B490" s="8"/>
      <c r="C490" s="18"/>
      <c r="D490" s="21"/>
      <c r="E490" s="8"/>
      <c r="F490" s="8"/>
      <c r="G490" s="8"/>
      <c r="H490" s="8"/>
      <c r="I490" s="76"/>
    </row>
    <row r="491">
      <c r="A491" s="8"/>
      <c r="B491" s="8"/>
      <c r="C491" s="18"/>
      <c r="D491" s="21"/>
      <c r="E491" s="8"/>
      <c r="F491" s="8"/>
      <c r="G491" s="8"/>
      <c r="H491" s="8"/>
      <c r="I491" s="76"/>
    </row>
    <row r="492">
      <c r="A492" s="8"/>
      <c r="B492" s="8"/>
      <c r="C492" s="18"/>
      <c r="D492" s="21"/>
      <c r="E492" s="8"/>
      <c r="F492" s="8"/>
      <c r="G492" s="8"/>
      <c r="H492" s="8"/>
      <c r="I492" s="76"/>
    </row>
    <row r="493">
      <c r="A493" s="8"/>
      <c r="B493" s="8"/>
      <c r="C493" s="18"/>
      <c r="D493" s="21"/>
      <c r="E493" s="8"/>
      <c r="F493" s="8"/>
      <c r="G493" s="8"/>
      <c r="H493" s="8"/>
      <c r="I493" s="76"/>
    </row>
    <row r="494">
      <c r="A494" s="8"/>
      <c r="B494" s="8"/>
      <c r="C494" s="18"/>
      <c r="D494" s="21"/>
      <c r="E494" s="8"/>
      <c r="F494" s="8"/>
      <c r="G494" s="8"/>
      <c r="H494" s="8"/>
      <c r="I494" s="76"/>
    </row>
    <row r="495">
      <c r="A495" s="8"/>
      <c r="B495" s="8"/>
      <c r="C495" s="18"/>
      <c r="D495" s="21"/>
      <c r="E495" s="8"/>
      <c r="F495" s="8"/>
      <c r="G495" s="8"/>
      <c r="H495" s="8"/>
      <c r="I495" s="76"/>
    </row>
    <row r="496">
      <c r="A496" s="8"/>
      <c r="B496" s="8"/>
      <c r="C496" s="18"/>
      <c r="D496" s="21"/>
      <c r="E496" s="8"/>
      <c r="F496" s="8"/>
      <c r="G496" s="8"/>
      <c r="H496" s="8"/>
      <c r="I496" s="76"/>
    </row>
    <row r="497">
      <c r="A497" s="8"/>
      <c r="B497" s="8"/>
      <c r="C497" s="18"/>
      <c r="D497" s="21"/>
      <c r="E497" s="8"/>
      <c r="F497" s="8"/>
      <c r="G497" s="8"/>
      <c r="H497" s="8"/>
      <c r="I497" s="76"/>
    </row>
    <row r="498">
      <c r="A498" s="8"/>
      <c r="B498" s="8"/>
      <c r="C498" s="18"/>
      <c r="D498" s="21"/>
      <c r="E498" s="8"/>
      <c r="F498" s="8"/>
      <c r="G498" s="8"/>
      <c r="H498" s="8"/>
      <c r="I498" s="76"/>
    </row>
    <row r="499">
      <c r="A499" s="8"/>
      <c r="B499" s="8"/>
      <c r="C499" s="18"/>
      <c r="D499" s="21"/>
      <c r="E499" s="8"/>
      <c r="F499" s="8"/>
      <c r="G499" s="8"/>
      <c r="H499" s="8"/>
      <c r="I499" s="76"/>
    </row>
    <row r="500">
      <c r="A500" s="8"/>
      <c r="B500" s="8"/>
      <c r="C500" s="18"/>
      <c r="D500" s="21"/>
      <c r="E500" s="8"/>
      <c r="F500" s="8"/>
      <c r="G500" s="8"/>
      <c r="H500" s="8"/>
      <c r="I500" s="76"/>
    </row>
    <row r="501">
      <c r="D501" s="102"/>
    </row>
    <row r="502">
      <c r="D502" s="102"/>
    </row>
    <row r="503">
      <c r="D503" s="102"/>
    </row>
    <row r="504">
      <c r="D504" s="102"/>
    </row>
    <row r="505">
      <c r="D505" s="102"/>
    </row>
    <row r="506">
      <c r="D506" s="102"/>
    </row>
    <row r="507">
      <c r="D507" s="102"/>
    </row>
    <row r="508">
      <c r="D508" s="102"/>
    </row>
    <row r="509">
      <c r="D509" s="102"/>
    </row>
    <row r="510">
      <c r="D510" s="102"/>
    </row>
    <row r="511">
      <c r="D511" s="102"/>
    </row>
    <row r="512">
      <c r="D512" s="102"/>
    </row>
    <row r="513">
      <c r="D513" s="102"/>
    </row>
    <row r="514">
      <c r="D514" s="102"/>
    </row>
    <row r="515">
      <c r="D515" s="102"/>
    </row>
    <row r="516">
      <c r="D516" s="102"/>
    </row>
    <row r="517">
      <c r="D517" s="102"/>
    </row>
    <row r="518">
      <c r="D518" s="102"/>
    </row>
    <row r="519">
      <c r="D519" s="102"/>
    </row>
    <row r="520">
      <c r="D520" s="102"/>
    </row>
    <row r="521">
      <c r="D521" s="102"/>
    </row>
    <row r="522">
      <c r="D522" s="102"/>
    </row>
    <row r="523">
      <c r="D523" s="102"/>
    </row>
    <row r="524">
      <c r="D524" s="102"/>
    </row>
    <row r="525">
      <c r="D525" s="102"/>
    </row>
    <row r="526">
      <c r="D526" s="102"/>
    </row>
    <row r="527">
      <c r="D527" s="102"/>
    </row>
    <row r="528">
      <c r="D528" s="102"/>
    </row>
    <row r="529">
      <c r="D529" s="102"/>
    </row>
    <row r="530">
      <c r="D530" s="102"/>
    </row>
    <row r="531">
      <c r="D531" s="102"/>
    </row>
    <row r="532">
      <c r="D532" s="102"/>
    </row>
    <row r="533">
      <c r="D533" s="102"/>
    </row>
    <row r="534">
      <c r="D534" s="102"/>
    </row>
    <row r="535">
      <c r="D535" s="102"/>
    </row>
    <row r="536">
      <c r="D536" s="102"/>
    </row>
    <row r="537">
      <c r="D537" s="102"/>
    </row>
    <row r="538">
      <c r="D538" s="102"/>
    </row>
    <row r="539">
      <c r="D539" s="102"/>
    </row>
    <row r="540">
      <c r="D540" s="102"/>
    </row>
    <row r="541">
      <c r="D541" s="102"/>
    </row>
    <row r="542">
      <c r="D542" s="102"/>
    </row>
    <row r="543">
      <c r="D543" s="102"/>
    </row>
    <row r="544">
      <c r="D544" s="102"/>
    </row>
    <row r="545">
      <c r="D545" s="102"/>
    </row>
    <row r="546">
      <c r="D546" s="102"/>
    </row>
    <row r="547">
      <c r="D547" s="102"/>
    </row>
    <row r="548">
      <c r="D548" s="102"/>
    </row>
    <row r="549">
      <c r="D549" s="102"/>
    </row>
    <row r="550">
      <c r="D550" s="102"/>
    </row>
    <row r="551">
      <c r="D551" s="102"/>
    </row>
    <row r="552">
      <c r="D552" s="102"/>
    </row>
    <row r="553">
      <c r="D553" s="102"/>
    </row>
    <row r="554">
      <c r="D554" s="102"/>
    </row>
    <row r="555">
      <c r="D555" s="102"/>
    </row>
    <row r="556">
      <c r="D556" s="102"/>
    </row>
    <row r="557">
      <c r="D557" s="102"/>
    </row>
    <row r="558">
      <c r="D558" s="102"/>
    </row>
    <row r="559">
      <c r="D559" s="102"/>
    </row>
    <row r="560">
      <c r="D560" s="102"/>
    </row>
    <row r="561">
      <c r="D561" s="102"/>
    </row>
    <row r="562">
      <c r="D562" s="102"/>
    </row>
    <row r="563">
      <c r="D563" s="102"/>
    </row>
    <row r="564">
      <c r="D564" s="102"/>
    </row>
    <row r="565">
      <c r="D565" s="102"/>
    </row>
    <row r="566">
      <c r="D566" s="102"/>
    </row>
    <row r="567">
      <c r="D567" s="102"/>
    </row>
    <row r="568">
      <c r="D568" s="102"/>
    </row>
    <row r="569">
      <c r="D569" s="102"/>
    </row>
    <row r="570">
      <c r="D570" s="102"/>
    </row>
    <row r="571">
      <c r="D571" s="102"/>
    </row>
    <row r="572">
      <c r="D572" s="102"/>
    </row>
    <row r="573">
      <c r="D573" s="102"/>
    </row>
    <row r="574">
      <c r="D574" s="102"/>
    </row>
    <row r="575">
      <c r="D575" s="102"/>
    </row>
    <row r="576">
      <c r="D576" s="102"/>
    </row>
    <row r="577">
      <c r="D577" s="102"/>
    </row>
    <row r="578">
      <c r="D578" s="102"/>
    </row>
    <row r="579">
      <c r="D579" s="102"/>
    </row>
    <row r="580">
      <c r="D580" s="102"/>
    </row>
    <row r="581">
      <c r="D581" s="102"/>
    </row>
    <row r="582">
      <c r="D582" s="102"/>
    </row>
    <row r="583">
      <c r="D583" s="102"/>
    </row>
    <row r="584">
      <c r="D584" s="102"/>
    </row>
    <row r="585">
      <c r="D585" s="102"/>
    </row>
    <row r="586">
      <c r="D586" s="102"/>
    </row>
    <row r="587">
      <c r="D587" s="102"/>
    </row>
    <row r="588">
      <c r="D588" s="102"/>
    </row>
    <row r="589">
      <c r="D589" s="102"/>
    </row>
    <row r="590">
      <c r="D590" s="102"/>
    </row>
    <row r="591">
      <c r="D591" s="102"/>
    </row>
    <row r="592">
      <c r="D592" s="102"/>
    </row>
    <row r="593">
      <c r="D593" s="102"/>
    </row>
    <row r="594">
      <c r="D594" s="102"/>
    </row>
    <row r="595">
      <c r="D595" s="102"/>
    </row>
    <row r="596">
      <c r="D596" s="102"/>
    </row>
    <row r="597">
      <c r="D597" s="102"/>
    </row>
    <row r="598">
      <c r="D598" s="102"/>
    </row>
    <row r="599">
      <c r="D599" s="102"/>
    </row>
    <row r="600">
      <c r="D600" s="102"/>
    </row>
    <row r="601">
      <c r="D601" s="102"/>
    </row>
    <row r="602">
      <c r="D602" s="102"/>
    </row>
    <row r="603">
      <c r="D603" s="102"/>
    </row>
    <row r="604">
      <c r="D604" s="102"/>
    </row>
    <row r="605">
      <c r="D605" s="102"/>
    </row>
    <row r="606">
      <c r="D606" s="102"/>
    </row>
    <row r="607">
      <c r="D607" s="102"/>
    </row>
    <row r="608">
      <c r="D608" s="102"/>
    </row>
    <row r="609">
      <c r="D609" s="102"/>
    </row>
    <row r="610">
      <c r="D610" s="102"/>
    </row>
    <row r="611">
      <c r="D611" s="102"/>
    </row>
    <row r="612">
      <c r="D612" s="102"/>
    </row>
    <row r="613">
      <c r="D613" s="102"/>
    </row>
    <row r="614">
      <c r="D614" s="102"/>
    </row>
    <row r="615">
      <c r="D615" s="102"/>
    </row>
    <row r="616">
      <c r="D616" s="102"/>
    </row>
    <row r="617">
      <c r="D617" s="102"/>
    </row>
    <row r="618">
      <c r="D618" s="102"/>
    </row>
    <row r="619">
      <c r="D619" s="102"/>
    </row>
    <row r="620">
      <c r="D620" s="102"/>
    </row>
    <row r="621">
      <c r="D621" s="102"/>
    </row>
    <row r="622">
      <c r="D622" s="102"/>
    </row>
    <row r="623">
      <c r="D623" s="102"/>
    </row>
    <row r="624">
      <c r="D624" s="102"/>
    </row>
    <row r="625">
      <c r="D625" s="102"/>
    </row>
    <row r="626">
      <c r="D626" s="102"/>
    </row>
    <row r="627">
      <c r="D627" s="102"/>
    </row>
    <row r="628">
      <c r="D628" s="102"/>
    </row>
    <row r="629">
      <c r="D629" s="102"/>
    </row>
    <row r="630">
      <c r="D630" s="102"/>
    </row>
    <row r="631">
      <c r="D631" s="102"/>
    </row>
    <row r="632">
      <c r="D632" s="102"/>
    </row>
    <row r="633">
      <c r="D633" s="102"/>
    </row>
    <row r="634">
      <c r="D634" s="102"/>
    </row>
    <row r="635">
      <c r="D635" s="102"/>
    </row>
    <row r="636">
      <c r="D636" s="102"/>
    </row>
    <row r="637">
      <c r="D637" s="102"/>
    </row>
    <row r="638">
      <c r="D638" s="102"/>
    </row>
    <row r="639">
      <c r="D639" s="102"/>
    </row>
    <row r="640">
      <c r="D640" s="102"/>
    </row>
    <row r="641">
      <c r="D641" s="102"/>
    </row>
    <row r="642">
      <c r="D642" s="102"/>
    </row>
    <row r="643">
      <c r="D643" s="102"/>
    </row>
    <row r="644">
      <c r="D644" s="102"/>
    </row>
    <row r="645">
      <c r="D645" s="102"/>
    </row>
    <row r="646">
      <c r="D646" s="102"/>
    </row>
    <row r="647">
      <c r="D647" s="102"/>
    </row>
    <row r="648">
      <c r="D648" s="102"/>
    </row>
    <row r="649">
      <c r="D649" s="102"/>
    </row>
    <row r="650">
      <c r="D650" s="102"/>
    </row>
    <row r="651">
      <c r="D651" s="102"/>
    </row>
    <row r="652">
      <c r="D652" s="102"/>
    </row>
    <row r="653">
      <c r="D653" s="102"/>
    </row>
    <row r="654">
      <c r="D654" s="102"/>
    </row>
    <row r="655">
      <c r="D655" s="102"/>
    </row>
    <row r="656">
      <c r="D656" s="102"/>
    </row>
    <row r="657">
      <c r="D657" s="102"/>
    </row>
    <row r="658">
      <c r="D658" s="102"/>
    </row>
    <row r="659">
      <c r="D659" s="102"/>
    </row>
    <row r="660">
      <c r="D660" s="102"/>
    </row>
    <row r="661">
      <c r="D661" s="102"/>
    </row>
    <row r="662">
      <c r="D662" s="102"/>
    </row>
    <row r="663">
      <c r="D663" s="102"/>
    </row>
    <row r="664">
      <c r="D664" s="102"/>
    </row>
    <row r="665">
      <c r="D665" s="102"/>
    </row>
    <row r="666">
      <c r="D666" s="102"/>
    </row>
    <row r="667">
      <c r="D667" s="102"/>
    </row>
    <row r="668">
      <c r="D668" s="102"/>
    </row>
    <row r="669">
      <c r="D669" s="102"/>
    </row>
    <row r="670">
      <c r="D670" s="102"/>
    </row>
    <row r="671">
      <c r="D671" s="102"/>
    </row>
    <row r="672">
      <c r="D672" s="102"/>
    </row>
    <row r="673">
      <c r="D673" s="102"/>
    </row>
    <row r="674">
      <c r="D674" s="102"/>
    </row>
    <row r="675">
      <c r="D675" s="102"/>
    </row>
    <row r="676">
      <c r="D676" s="102"/>
    </row>
    <row r="677">
      <c r="D677" s="102"/>
    </row>
    <row r="678">
      <c r="D678" s="102"/>
    </row>
    <row r="679">
      <c r="D679" s="102"/>
    </row>
    <row r="680">
      <c r="D680" s="102"/>
    </row>
    <row r="681">
      <c r="D681" s="102"/>
    </row>
    <row r="682">
      <c r="D682" s="102"/>
    </row>
    <row r="683">
      <c r="D683" s="102"/>
    </row>
    <row r="684">
      <c r="D684" s="102"/>
    </row>
    <row r="685">
      <c r="D685" s="102"/>
    </row>
    <row r="686">
      <c r="D686" s="102"/>
    </row>
    <row r="687">
      <c r="D687" s="102"/>
    </row>
    <row r="688">
      <c r="D688" s="102"/>
    </row>
    <row r="689">
      <c r="D689" s="102"/>
    </row>
    <row r="690">
      <c r="D690" s="102"/>
    </row>
    <row r="691">
      <c r="D691" s="102"/>
    </row>
    <row r="692">
      <c r="D692" s="102"/>
    </row>
    <row r="693">
      <c r="D693" s="102"/>
    </row>
    <row r="694">
      <c r="D694" s="102"/>
    </row>
    <row r="695">
      <c r="D695" s="102"/>
    </row>
    <row r="696">
      <c r="D696" s="102"/>
    </row>
    <row r="697">
      <c r="D697" s="102"/>
    </row>
    <row r="698">
      <c r="D698" s="102"/>
    </row>
    <row r="699">
      <c r="D699" s="102"/>
    </row>
    <row r="700">
      <c r="D700" s="102"/>
    </row>
    <row r="701">
      <c r="D701" s="102"/>
    </row>
    <row r="702">
      <c r="D702" s="102"/>
    </row>
    <row r="703">
      <c r="D703" s="102"/>
    </row>
    <row r="704">
      <c r="D704" s="102"/>
    </row>
    <row r="705">
      <c r="D705" s="102"/>
    </row>
    <row r="706">
      <c r="D706" s="102"/>
    </row>
    <row r="707">
      <c r="D707" s="102"/>
    </row>
    <row r="708">
      <c r="D708" s="102"/>
    </row>
    <row r="709">
      <c r="D709" s="102"/>
    </row>
    <row r="710">
      <c r="D710" s="102"/>
    </row>
    <row r="711">
      <c r="D711" s="102"/>
    </row>
    <row r="712">
      <c r="D712" s="102"/>
    </row>
    <row r="713">
      <c r="D713" s="102"/>
    </row>
    <row r="714">
      <c r="D714" s="102"/>
    </row>
    <row r="715">
      <c r="D715" s="102"/>
    </row>
    <row r="716">
      <c r="D716" s="102"/>
    </row>
    <row r="717">
      <c r="D717" s="102"/>
    </row>
    <row r="718">
      <c r="D718" s="102"/>
    </row>
    <row r="719">
      <c r="D719" s="102"/>
    </row>
    <row r="720">
      <c r="D720" s="102"/>
    </row>
    <row r="721">
      <c r="D721" s="102"/>
    </row>
    <row r="722">
      <c r="D722" s="102"/>
    </row>
    <row r="723">
      <c r="D723" s="102"/>
    </row>
    <row r="724">
      <c r="D724" s="102"/>
    </row>
    <row r="725">
      <c r="D725" s="102"/>
    </row>
    <row r="726">
      <c r="D726" s="102"/>
    </row>
    <row r="727">
      <c r="D727" s="102"/>
    </row>
    <row r="728">
      <c r="D728" s="102"/>
    </row>
    <row r="729">
      <c r="D729" s="102"/>
    </row>
    <row r="730">
      <c r="D730" s="102"/>
    </row>
    <row r="731">
      <c r="D731" s="102"/>
    </row>
    <row r="732">
      <c r="D732" s="102"/>
    </row>
    <row r="733">
      <c r="D733" s="102"/>
    </row>
    <row r="734">
      <c r="D734" s="102"/>
    </row>
    <row r="735">
      <c r="D735" s="102"/>
    </row>
    <row r="736">
      <c r="D736" s="102"/>
    </row>
    <row r="737">
      <c r="D737" s="102"/>
    </row>
    <row r="738">
      <c r="D738" s="102"/>
    </row>
    <row r="739">
      <c r="D739" s="102"/>
    </row>
    <row r="740">
      <c r="D740" s="102"/>
    </row>
    <row r="741">
      <c r="D741" s="102"/>
    </row>
    <row r="742">
      <c r="D742" s="102"/>
    </row>
    <row r="743">
      <c r="D743" s="102"/>
    </row>
    <row r="744">
      <c r="D744" s="102"/>
    </row>
    <row r="745">
      <c r="D745" s="102"/>
    </row>
    <row r="746">
      <c r="D746" s="102"/>
    </row>
    <row r="747">
      <c r="D747" s="102"/>
    </row>
    <row r="748">
      <c r="D748" s="102"/>
    </row>
    <row r="749">
      <c r="D749" s="102"/>
    </row>
    <row r="750">
      <c r="D750" s="102"/>
    </row>
    <row r="751">
      <c r="D751" s="102"/>
    </row>
    <row r="752">
      <c r="D752" s="102"/>
    </row>
    <row r="753">
      <c r="D753" s="102"/>
    </row>
    <row r="754">
      <c r="D754" s="102"/>
    </row>
    <row r="755">
      <c r="D755" s="102"/>
    </row>
    <row r="756">
      <c r="D756" s="102"/>
    </row>
    <row r="757">
      <c r="D757" s="102"/>
    </row>
    <row r="758">
      <c r="D758" s="102"/>
    </row>
    <row r="759">
      <c r="D759" s="102"/>
    </row>
    <row r="760">
      <c r="D760" s="102"/>
    </row>
    <row r="761">
      <c r="D761" s="102"/>
    </row>
    <row r="762">
      <c r="D762" s="102"/>
    </row>
    <row r="763">
      <c r="D763" s="102"/>
    </row>
    <row r="764">
      <c r="D764" s="102"/>
    </row>
    <row r="765">
      <c r="D765" s="102"/>
    </row>
    <row r="766">
      <c r="D766" s="102"/>
    </row>
    <row r="767">
      <c r="D767" s="102"/>
    </row>
    <row r="768">
      <c r="D768" s="102"/>
    </row>
    <row r="769">
      <c r="D769" s="102"/>
    </row>
    <row r="770">
      <c r="D770" s="102"/>
    </row>
    <row r="771">
      <c r="D771" s="102"/>
    </row>
    <row r="772">
      <c r="D772" s="102"/>
    </row>
    <row r="773">
      <c r="D773" s="102"/>
    </row>
    <row r="774">
      <c r="D774" s="102"/>
    </row>
    <row r="775">
      <c r="D775" s="102"/>
    </row>
    <row r="776">
      <c r="D776" s="102"/>
    </row>
    <row r="777">
      <c r="D777" s="102"/>
    </row>
    <row r="778">
      <c r="D778" s="102"/>
    </row>
    <row r="779">
      <c r="D779" s="102"/>
    </row>
    <row r="780">
      <c r="D780" s="102"/>
    </row>
    <row r="781">
      <c r="D781" s="102"/>
    </row>
    <row r="782">
      <c r="D782" s="102"/>
    </row>
    <row r="783">
      <c r="D783" s="102"/>
    </row>
    <row r="784">
      <c r="D784" s="102"/>
    </row>
    <row r="785">
      <c r="D785" s="102"/>
    </row>
    <row r="786">
      <c r="D786" s="102"/>
    </row>
    <row r="787">
      <c r="D787" s="102"/>
    </row>
    <row r="788">
      <c r="D788" s="102"/>
    </row>
    <row r="789">
      <c r="D789" s="102"/>
    </row>
    <row r="790">
      <c r="D790" s="102"/>
    </row>
    <row r="791">
      <c r="D791" s="102"/>
    </row>
    <row r="792">
      <c r="D792" s="102"/>
    </row>
    <row r="793">
      <c r="D793" s="102"/>
    </row>
    <row r="794">
      <c r="D794" s="102"/>
    </row>
    <row r="795">
      <c r="D795" s="102"/>
    </row>
    <row r="796">
      <c r="D796" s="102"/>
    </row>
    <row r="797">
      <c r="D797" s="102"/>
    </row>
    <row r="798">
      <c r="D798" s="102"/>
    </row>
    <row r="799">
      <c r="D799" s="102"/>
    </row>
    <row r="800">
      <c r="D800" s="102"/>
    </row>
    <row r="801">
      <c r="D801" s="102"/>
    </row>
    <row r="802">
      <c r="D802" s="102"/>
    </row>
    <row r="803">
      <c r="D803" s="102"/>
    </row>
    <row r="804">
      <c r="D804" s="102"/>
    </row>
    <row r="805">
      <c r="D805" s="102"/>
    </row>
    <row r="806">
      <c r="D806" s="102"/>
    </row>
    <row r="807">
      <c r="D807" s="102"/>
    </row>
    <row r="808">
      <c r="D808" s="102"/>
    </row>
    <row r="809">
      <c r="D809" s="102"/>
    </row>
    <row r="810">
      <c r="D810" s="102"/>
    </row>
    <row r="811">
      <c r="D811" s="102"/>
    </row>
    <row r="812">
      <c r="D812" s="102"/>
    </row>
    <row r="813">
      <c r="D813" s="102"/>
    </row>
    <row r="814">
      <c r="D814" s="102"/>
    </row>
    <row r="815">
      <c r="D815" s="102"/>
    </row>
    <row r="816">
      <c r="D816" s="102"/>
    </row>
    <row r="817">
      <c r="D817" s="102"/>
    </row>
    <row r="818">
      <c r="D818" s="102"/>
    </row>
    <row r="819">
      <c r="D819" s="102"/>
    </row>
    <row r="820">
      <c r="D820" s="102"/>
    </row>
    <row r="821">
      <c r="D821" s="102"/>
    </row>
    <row r="822">
      <c r="D822" s="102"/>
    </row>
    <row r="823">
      <c r="D823" s="102"/>
    </row>
    <row r="824">
      <c r="D824" s="102"/>
    </row>
    <row r="825">
      <c r="D825" s="102"/>
    </row>
    <row r="826">
      <c r="D826" s="102"/>
    </row>
    <row r="827">
      <c r="D827" s="102"/>
    </row>
    <row r="828">
      <c r="D828" s="102"/>
    </row>
    <row r="829">
      <c r="D829" s="102"/>
    </row>
    <row r="830">
      <c r="D830" s="102"/>
    </row>
    <row r="831">
      <c r="D831" s="102"/>
    </row>
    <row r="832">
      <c r="D832" s="102"/>
    </row>
    <row r="833">
      <c r="D833" s="102"/>
    </row>
    <row r="834">
      <c r="D834" s="102"/>
    </row>
    <row r="835">
      <c r="D835" s="102"/>
    </row>
    <row r="836">
      <c r="D836" s="102"/>
    </row>
    <row r="837">
      <c r="D837" s="102"/>
    </row>
    <row r="838">
      <c r="D838" s="102"/>
    </row>
    <row r="839">
      <c r="D839" s="102"/>
    </row>
    <row r="840">
      <c r="D840" s="102"/>
    </row>
    <row r="841">
      <c r="D841" s="102"/>
    </row>
    <row r="842">
      <c r="D842" s="102"/>
    </row>
    <row r="843">
      <c r="D843" s="102"/>
    </row>
    <row r="844">
      <c r="D844" s="102"/>
    </row>
    <row r="845">
      <c r="D845" s="102"/>
    </row>
    <row r="846">
      <c r="D846" s="102"/>
    </row>
    <row r="847">
      <c r="D847" s="102"/>
    </row>
    <row r="848">
      <c r="D848" s="102"/>
    </row>
    <row r="849">
      <c r="D849" s="102"/>
    </row>
    <row r="850">
      <c r="D850" s="102"/>
    </row>
    <row r="851">
      <c r="D851" s="102"/>
    </row>
    <row r="852">
      <c r="D852" s="102"/>
    </row>
    <row r="853">
      <c r="D853" s="102"/>
    </row>
    <row r="854">
      <c r="D854" s="102"/>
    </row>
    <row r="855">
      <c r="D855" s="102"/>
    </row>
    <row r="856">
      <c r="D856" s="102"/>
    </row>
    <row r="857">
      <c r="D857" s="102"/>
    </row>
    <row r="858">
      <c r="D858" s="102"/>
    </row>
    <row r="859">
      <c r="D859" s="102"/>
    </row>
    <row r="860">
      <c r="D860" s="102"/>
    </row>
    <row r="861">
      <c r="D861" s="102"/>
    </row>
    <row r="862">
      <c r="D862" s="102"/>
    </row>
    <row r="863">
      <c r="D863" s="102"/>
    </row>
    <row r="864">
      <c r="D864" s="102"/>
    </row>
    <row r="865">
      <c r="D865" s="102"/>
    </row>
    <row r="866">
      <c r="D866" s="102"/>
    </row>
    <row r="867">
      <c r="D867" s="102"/>
    </row>
    <row r="868">
      <c r="D868" s="102"/>
    </row>
    <row r="869">
      <c r="D869" s="102"/>
    </row>
    <row r="870">
      <c r="D870" s="102"/>
    </row>
    <row r="871">
      <c r="D871" s="102"/>
    </row>
    <row r="872">
      <c r="D872" s="102"/>
    </row>
    <row r="873">
      <c r="D873" s="102"/>
    </row>
    <row r="874">
      <c r="D874" s="102"/>
    </row>
    <row r="875">
      <c r="D875" s="102"/>
    </row>
    <row r="876">
      <c r="D876" s="102"/>
    </row>
    <row r="877">
      <c r="D877" s="102"/>
    </row>
    <row r="878">
      <c r="D878" s="102"/>
    </row>
    <row r="879">
      <c r="D879" s="102"/>
    </row>
    <row r="880">
      <c r="D880" s="102"/>
    </row>
    <row r="881">
      <c r="D881" s="102"/>
    </row>
    <row r="882">
      <c r="D882" s="102"/>
    </row>
    <row r="883">
      <c r="D883" s="102"/>
    </row>
    <row r="884">
      <c r="D884" s="102"/>
    </row>
    <row r="885">
      <c r="D885" s="102"/>
    </row>
    <row r="886">
      <c r="D886" s="102"/>
    </row>
    <row r="887">
      <c r="D887" s="102"/>
    </row>
    <row r="888">
      <c r="D888" s="102"/>
    </row>
    <row r="889">
      <c r="D889" s="102"/>
    </row>
    <row r="890">
      <c r="D890" s="102"/>
    </row>
    <row r="891">
      <c r="D891" s="102"/>
    </row>
    <row r="892">
      <c r="D892" s="102"/>
    </row>
    <row r="893">
      <c r="D893" s="102"/>
    </row>
    <row r="894">
      <c r="D894" s="102"/>
    </row>
    <row r="895">
      <c r="D895" s="102"/>
    </row>
    <row r="896">
      <c r="D896" s="102"/>
    </row>
    <row r="897">
      <c r="D897" s="102"/>
    </row>
    <row r="898">
      <c r="D898" s="102"/>
    </row>
    <row r="899">
      <c r="D899" s="102"/>
    </row>
    <row r="900">
      <c r="D900" s="102"/>
    </row>
    <row r="901">
      <c r="D901" s="102"/>
    </row>
    <row r="902">
      <c r="D902" s="102"/>
    </row>
    <row r="903">
      <c r="D903" s="102"/>
    </row>
    <row r="904">
      <c r="D904" s="102"/>
    </row>
    <row r="905">
      <c r="D905" s="102"/>
    </row>
    <row r="906">
      <c r="D906" s="102"/>
    </row>
    <row r="907">
      <c r="D907" s="102"/>
    </row>
    <row r="908">
      <c r="D908" s="102"/>
    </row>
    <row r="909">
      <c r="D909" s="102"/>
    </row>
    <row r="910">
      <c r="D910" s="102"/>
    </row>
    <row r="911">
      <c r="D911" s="102"/>
    </row>
    <row r="912">
      <c r="D912" s="102"/>
    </row>
    <row r="913">
      <c r="D913" s="102"/>
    </row>
    <row r="914">
      <c r="D914" s="102"/>
    </row>
    <row r="915">
      <c r="D915" s="102"/>
    </row>
    <row r="916">
      <c r="D916" s="102"/>
    </row>
    <row r="917">
      <c r="D917" s="102"/>
    </row>
    <row r="918">
      <c r="D918" s="102"/>
    </row>
    <row r="919">
      <c r="D919" s="102"/>
    </row>
    <row r="920">
      <c r="D920" s="102"/>
    </row>
    <row r="921">
      <c r="D921" s="102"/>
    </row>
    <row r="922">
      <c r="D922" s="102"/>
    </row>
    <row r="923">
      <c r="D923" s="102"/>
    </row>
    <row r="924">
      <c r="D924" s="102"/>
    </row>
    <row r="925">
      <c r="D925" s="102"/>
    </row>
    <row r="926">
      <c r="D926" s="102"/>
    </row>
    <row r="927">
      <c r="D927" s="102"/>
    </row>
    <row r="928">
      <c r="D928" s="102"/>
    </row>
    <row r="929">
      <c r="D929" s="102"/>
    </row>
    <row r="930">
      <c r="D930" s="102"/>
    </row>
    <row r="931">
      <c r="D931" s="102"/>
    </row>
    <row r="932">
      <c r="D932" s="102"/>
    </row>
    <row r="933">
      <c r="D933" s="102"/>
    </row>
    <row r="934">
      <c r="D934" s="102"/>
    </row>
    <row r="935">
      <c r="D935" s="102"/>
    </row>
    <row r="936">
      <c r="D936" s="102"/>
    </row>
    <row r="937">
      <c r="D937" s="102"/>
    </row>
    <row r="938">
      <c r="D938" s="102"/>
    </row>
    <row r="939">
      <c r="D939" s="102"/>
    </row>
    <row r="940">
      <c r="D940" s="102"/>
    </row>
    <row r="941">
      <c r="D941" s="102"/>
    </row>
    <row r="942">
      <c r="D942" s="102"/>
    </row>
    <row r="943">
      <c r="D943" s="102"/>
    </row>
    <row r="944">
      <c r="D944" s="102"/>
    </row>
    <row r="945">
      <c r="D945" s="102"/>
    </row>
    <row r="946">
      <c r="D946" s="102"/>
    </row>
    <row r="947">
      <c r="D947" s="102"/>
    </row>
    <row r="948">
      <c r="D948" s="102"/>
    </row>
    <row r="949">
      <c r="D949" s="102"/>
    </row>
    <row r="950">
      <c r="D950" s="102"/>
    </row>
    <row r="951">
      <c r="D951" s="102"/>
    </row>
    <row r="952">
      <c r="D952" s="102"/>
    </row>
    <row r="953">
      <c r="D953" s="102"/>
    </row>
    <row r="954">
      <c r="D954" s="102"/>
    </row>
    <row r="955">
      <c r="D955" s="102"/>
    </row>
    <row r="956">
      <c r="D956" s="102"/>
    </row>
    <row r="957">
      <c r="D957" s="102"/>
    </row>
    <row r="958">
      <c r="D958" s="102"/>
    </row>
    <row r="959">
      <c r="D959" s="102"/>
    </row>
    <row r="960">
      <c r="D960" s="102"/>
    </row>
    <row r="961">
      <c r="D961" s="102"/>
    </row>
    <row r="962">
      <c r="D962" s="102"/>
    </row>
    <row r="963">
      <c r="D963" s="102"/>
    </row>
    <row r="964">
      <c r="D964" s="102"/>
    </row>
    <row r="965">
      <c r="D965" s="102"/>
    </row>
    <row r="966">
      <c r="D966" s="102"/>
    </row>
    <row r="967">
      <c r="D967" s="102"/>
    </row>
    <row r="968">
      <c r="D968" s="102"/>
    </row>
    <row r="969">
      <c r="D969" s="102"/>
    </row>
    <row r="970">
      <c r="D970" s="102"/>
    </row>
    <row r="971">
      <c r="D971" s="102"/>
    </row>
    <row r="972">
      <c r="D972" s="102"/>
    </row>
    <row r="973">
      <c r="D973" s="102"/>
    </row>
    <row r="974">
      <c r="D974" s="102"/>
    </row>
    <row r="975">
      <c r="D975" s="102"/>
    </row>
    <row r="976">
      <c r="D976" s="102"/>
    </row>
    <row r="977">
      <c r="D977" s="102"/>
    </row>
    <row r="978">
      <c r="D978" s="102"/>
    </row>
    <row r="979">
      <c r="D979" s="102"/>
    </row>
    <row r="980">
      <c r="D980" s="102"/>
    </row>
    <row r="981">
      <c r="D981" s="102"/>
    </row>
    <row r="982">
      <c r="D982" s="102"/>
    </row>
    <row r="983">
      <c r="D983" s="102"/>
    </row>
    <row r="984">
      <c r="D984" s="102"/>
    </row>
    <row r="985">
      <c r="D985" s="102"/>
    </row>
    <row r="986">
      <c r="D986" s="102"/>
    </row>
    <row r="987">
      <c r="D987" s="102"/>
    </row>
    <row r="988">
      <c r="D988" s="102"/>
    </row>
    <row r="989">
      <c r="D989" s="102"/>
    </row>
    <row r="990">
      <c r="D990" s="102"/>
    </row>
    <row r="991">
      <c r="D991" s="102"/>
    </row>
    <row r="992">
      <c r="D992" s="102"/>
    </row>
    <row r="993">
      <c r="D993" s="102"/>
    </row>
    <row r="994">
      <c r="D994" s="102"/>
    </row>
    <row r="995">
      <c r="D995" s="102"/>
    </row>
    <row r="996">
      <c r="D996" s="102"/>
    </row>
    <row r="997">
      <c r="D997" s="102"/>
    </row>
    <row r="998">
      <c r="D998" s="102"/>
    </row>
    <row r="999">
      <c r="D999" s="102"/>
    </row>
    <row r="1000">
      <c r="D1000" s="102"/>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1" t="str">
        <f>IFERROR(__xludf.DUMMYFUNCTION("QUERY(Effectifs!A:Z, ""SELECT * WHERE E CONTAINS 'Chêne' ORDER BY Z ASC"", 1)"),"Assermenté")</f>
        <v>Assermenté</v>
      </c>
      <c r="B1" s="1" t="str">
        <f>IFERROR(__xludf.DUMMYFUNCTION("""COMPUTED_VALUE"""),"Grade")</f>
        <v>Grade</v>
      </c>
      <c r="C1" s="1" t="str">
        <f>IFERROR(__xludf.DUMMYFUNCTION("""COMPUTED_VALUE"""),"Prénom")</f>
        <v>Prénom</v>
      </c>
      <c r="D1" s="1" t="str">
        <f>IFERROR(__xludf.DUMMYFUNCTION("""COMPUTED_VALUE"""),"Nom")</f>
        <v>Nom</v>
      </c>
      <c r="E1" s="1" t="str">
        <f>IFERROR(__xludf.DUMMYFUNCTION("""COMPUTED_VALUE"""),"Corps")</f>
        <v>Corps</v>
      </c>
      <c r="F1" s="1" t="str">
        <f>IFERROR(__xludf.DUMMYFUNCTION("""COMPUTED_VALUE"""),"Spécialité")</f>
        <v>Spécialité</v>
      </c>
      <c r="G1" s="1" t="str">
        <f>IFERROR(__xludf.DUMMYFUNCTION("""COMPUTED_VALUE"""),"Status")</f>
        <v>Status</v>
      </c>
      <c r="H1" s="1" t="str">
        <f>IFERROR(__xludf.DUMMYFUNCTION("""COMPUTED_VALUE"""),"Métier")</f>
        <v>Métier</v>
      </c>
      <c r="I1" s="73" t="str">
        <f>IFERROR(__xludf.DUMMYFUNCTION("""COMPUTED_VALUE"""),"Recrutement")</f>
        <v>Recrutement</v>
      </c>
      <c r="J1" s="3" t="str">
        <f>IFERROR(__xludf.DUMMYFUNCTION("""COMPUTED_VALUE"""),"Jours travaillés")</f>
        <v>Jours travaillés</v>
      </c>
      <c r="K1" s="3" t="str">
        <f>IFERROR(__xludf.DUMMYFUNCTION("""COMPUTED_VALUE"""),"")</f>
        <v/>
      </c>
      <c r="L1" s="3" t="str">
        <f>IFERROR(__xludf.DUMMYFUNCTION("""COMPUTED_VALUE"""),"")</f>
        <v/>
      </c>
      <c r="M1" s="3" t="str">
        <f>IFERROR(__xludf.DUMMYFUNCTION("""COMPUTED_VALUE"""),"")</f>
        <v/>
      </c>
      <c r="N1" s="3" t="str">
        <f>IFERROR(__xludf.DUMMYFUNCTION("""COMPUTED_VALUE"""),"")</f>
        <v/>
      </c>
      <c r="O1" s="3" t="str">
        <f>IFERROR(__xludf.DUMMYFUNCTION("""COMPUTED_VALUE"""),"")</f>
        <v/>
      </c>
      <c r="P1" s="3" t="str">
        <f>IFERROR(__xludf.DUMMYFUNCTION("""COMPUTED_VALUE"""),"")</f>
        <v/>
      </c>
      <c r="Q1" s="3" t="str">
        <f>IFERROR(__xludf.DUMMYFUNCTION("""COMPUTED_VALUE"""),"")</f>
        <v/>
      </c>
      <c r="R1" s="3" t="str">
        <f>IFERROR(__xludf.DUMMYFUNCTION("""COMPUTED_VALUE"""),"")</f>
        <v/>
      </c>
      <c r="S1" s="3" t="str">
        <f>IFERROR(__xludf.DUMMYFUNCTION("""COMPUTED_VALUE"""),"")</f>
        <v/>
      </c>
      <c r="T1" s="3" t="str">
        <f>IFERROR(__xludf.DUMMYFUNCTION("""COMPUTED_VALUE"""),"")</f>
        <v/>
      </c>
      <c r="U1" s="3" t="str">
        <f>IFERROR(__xludf.DUMMYFUNCTION("""COMPUTED_VALUE"""),"")</f>
        <v/>
      </c>
      <c r="V1" s="3" t="str">
        <f>IFERROR(__xludf.DUMMYFUNCTION("""COMPUTED_VALUE"""),"")</f>
        <v/>
      </c>
      <c r="W1" s="3" t="str">
        <f>IFERROR(__xludf.DUMMYFUNCTION("""COMPUTED_VALUE"""),"")</f>
        <v/>
      </c>
      <c r="X1" s="3" t="str">
        <f>IFERROR(__xludf.DUMMYFUNCTION("""COMPUTED_VALUE"""),"")</f>
        <v/>
      </c>
      <c r="Y1" s="3" t="str">
        <f>IFERROR(__xludf.DUMMYFUNCTION("""COMPUTED_VALUE"""),"")</f>
        <v/>
      </c>
      <c r="Z1" s="4" t="str">
        <f>IFERROR(__xludf.DUMMYFUNCTION("""COMPUTED_VALUE"""),"Grade Order")</f>
        <v>Grade Order</v>
      </c>
    </row>
    <row r="2">
      <c r="A2" s="5" t="b">
        <f>IFERROR(__xludf.DUMMYFUNCTION("""COMPUTED_VALUE"""),FALSE)</f>
        <v>0</v>
      </c>
      <c r="B2" s="5" t="str">
        <f>IFERROR(__xludf.DUMMYFUNCTION("""COMPUTED_VALUE"""),"Major")</f>
        <v>Major</v>
      </c>
      <c r="C2" s="15" t="str">
        <f>IFERROR(__xludf.DUMMYFUNCTION("""COMPUTED_VALUE"""),"Rusco")</f>
        <v>Rusco</v>
      </c>
      <c r="D2" s="15"/>
      <c r="E2" s="5" t="str">
        <f>IFERROR(__xludf.DUMMYFUNCTION("""COMPUTED_VALUE"""),"Bois-de-Chêne")</f>
        <v>Bois-de-Chêne</v>
      </c>
      <c r="F2" s="12" t="str">
        <f>IFERROR(__xludf.DUMMYFUNCTION("""COMPUTED_VALUE"""),"Garde")</f>
        <v>Garde</v>
      </c>
      <c r="G2" s="5" t="str">
        <f>IFERROR(__xludf.DUMMYFUNCTION("""COMPUTED_VALUE"""),"En service actif")</f>
        <v>En service actif</v>
      </c>
      <c r="H2" s="5"/>
      <c r="I2" s="74"/>
      <c r="J2" s="8">
        <f>IFERROR(__xludf.DUMMYFUNCTION("""COMPUTED_VALUE"""),0.0)</f>
        <v>0</v>
      </c>
      <c r="K2" s="8"/>
      <c r="L2" s="8"/>
      <c r="M2" s="8"/>
      <c r="N2" s="8"/>
      <c r="O2" s="8"/>
      <c r="P2" s="8"/>
      <c r="Q2" s="8"/>
      <c r="R2" s="8"/>
      <c r="S2" s="8"/>
      <c r="T2" s="8"/>
      <c r="U2" s="8"/>
      <c r="V2" s="8"/>
      <c r="W2" s="8"/>
      <c r="X2" s="8"/>
      <c r="Y2" s="8"/>
      <c r="Z2" s="8">
        <f>IFERROR(__xludf.DUMMYFUNCTION("""COMPUTED_VALUE"""),3.0)</f>
        <v>3</v>
      </c>
    </row>
    <row r="3">
      <c r="A3" s="5" t="b">
        <f>IFERROR(__xludf.DUMMYFUNCTION("""COMPUTED_VALUE"""),FALSE)</f>
        <v>0</v>
      </c>
      <c r="B3" s="5" t="str">
        <f>IFERROR(__xludf.DUMMYFUNCTION("""COMPUTED_VALUE"""),"Capitaine")</f>
        <v>Capitaine</v>
      </c>
      <c r="C3" s="15" t="str">
        <f>IFERROR(__xludf.DUMMYFUNCTION("""COMPUTED_VALUE"""),"Darius")</f>
        <v>Darius</v>
      </c>
      <c r="D3" s="18" t="str">
        <f>IFERROR(__xludf.DUMMYFUNCTION("""COMPUTED_VALUE"""),"Blacktorn")</f>
        <v>Blacktorn</v>
      </c>
      <c r="E3" s="5" t="str">
        <f>IFERROR(__xludf.DUMMYFUNCTION("""COMPUTED_VALUE"""),"Bois-de-Chêne")</f>
        <v>Bois-de-Chêne</v>
      </c>
      <c r="F3" s="12" t="str">
        <f>IFERROR(__xludf.DUMMYFUNCTION("""COMPUTED_VALUE"""),"Garde, Collecteur de la garde")</f>
        <v>Garde, Collecteur de la garde</v>
      </c>
      <c r="G3" s="5" t="str">
        <f>IFERROR(__xludf.DUMMYFUNCTION("""COMPUTED_VALUE"""),"En service actif")</f>
        <v>En service actif</v>
      </c>
      <c r="H3" s="5"/>
      <c r="I3" s="74"/>
      <c r="J3" s="8"/>
      <c r="K3" s="8"/>
      <c r="L3" s="8"/>
      <c r="M3" s="8"/>
      <c r="N3" s="8"/>
      <c r="O3" s="8"/>
      <c r="P3" s="8"/>
      <c r="Q3" s="8"/>
      <c r="R3" s="8"/>
      <c r="S3" s="8"/>
      <c r="T3" s="8"/>
      <c r="U3" s="8"/>
      <c r="V3" s="8"/>
      <c r="W3" s="8"/>
      <c r="X3" s="8"/>
      <c r="Y3" s="8"/>
      <c r="Z3" s="8">
        <f>IFERROR(__xludf.DUMMYFUNCTION("""COMPUTED_VALUE"""),4.0)</f>
        <v>4</v>
      </c>
    </row>
    <row r="4">
      <c r="A4" s="5"/>
      <c r="B4" s="5"/>
      <c r="C4" s="15"/>
      <c r="D4" s="18"/>
      <c r="E4" s="5"/>
      <c r="F4" s="12"/>
      <c r="G4" s="5"/>
      <c r="H4" s="5"/>
      <c r="I4" s="74"/>
    </row>
    <row r="5">
      <c r="A5" s="5"/>
      <c r="B5" s="5"/>
      <c r="C5" s="15"/>
      <c r="D5" s="15"/>
      <c r="E5" s="5"/>
      <c r="F5" s="12"/>
      <c r="G5" s="5"/>
      <c r="H5" s="5"/>
      <c r="I5" s="74"/>
    </row>
    <row r="6">
      <c r="A6" s="5"/>
      <c r="B6" s="5"/>
      <c r="C6" s="15"/>
      <c r="D6" s="15"/>
      <c r="E6" s="5"/>
      <c r="F6" s="12"/>
      <c r="G6" s="5"/>
      <c r="H6" s="5"/>
      <c r="I6" s="74"/>
    </row>
    <row r="7">
      <c r="A7" s="5"/>
      <c r="B7" s="5"/>
      <c r="C7" s="15"/>
      <c r="D7" s="15"/>
      <c r="E7" s="5"/>
      <c r="F7" s="12"/>
      <c r="G7" s="5"/>
      <c r="H7" s="8"/>
      <c r="I7" s="74"/>
    </row>
    <row r="8">
      <c r="A8" s="5"/>
      <c r="B8" s="5"/>
      <c r="C8" s="15"/>
      <c r="D8" s="15"/>
      <c r="E8" s="5"/>
      <c r="F8" s="12"/>
      <c r="G8" s="5"/>
      <c r="H8" s="8"/>
      <c r="I8" s="74"/>
    </row>
    <row r="9">
      <c r="A9" s="5"/>
      <c r="B9" s="5"/>
      <c r="C9" s="15"/>
      <c r="D9" s="75"/>
      <c r="E9" s="5"/>
      <c r="F9" s="12"/>
      <c r="G9" s="5"/>
      <c r="H9" s="5"/>
      <c r="I9" s="74"/>
    </row>
    <row r="10">
      <c r="A10" s="8"/>
      <c r="B10" s="5"/>
      <c r="C10" s="15"/>
      <c r="D10" s="15"/>
      <c r="E10" s="5"/>
      <c r="F10" s="12"/>
      <c r="G10" s="5"/>
      <c r="H10" s="8"/>
      <c r="I10" s="74"/>
    </row>
    <row r="11">
      <c r="A11" s="8"/>
      <c r="B11" s="5"/>
      <c r="C11" s="15"/>
      <c r="D11" s="18"/>
      <c r="E11" s="5"/>
      <c r="F11" s="12"/>
      <c r="G11" s="5"/>
      <c r="H11" s="8"/>
      <c r="I11" s="74"/>
    </row>
    <row r="12">
      <c r="A12" s="5"/>
      <c r="B12" s="5"/>
      <c r="C12" s="15"/>
      <c r="D12" s="18"/>
      <c r="E12" s="5"/>
      <c r="F12" s="12"/>
      <c r="G12" s="5"/>
      <c r="H12" s="5"/>
      <c r="I12" s="74"/>
    </row>
    <row r="13">
      <c r="A13" s="5"/>
      <c r="B13" s="5"/>
      <c r="C13" s="15"/>
      <c r="D13" s="18"/>
      <c r="E13" s="5"/>
      <c r="F13" s="12"/>
      <c r="G13" s="5"/>
      <c r="H13" s="5"/>
      <c r="I13" s="74"/>
    </row>
    <row r="14">
      <c r="A14" s="5"/>
      <c r="B14" s="5"/>
      <c r="C14" s="15"/>
      <c r="D14" s="15"/>
      <c r="E14" s="5"/>
      <c r="F14" s="12"/>
      <c r="G14" s="5"/>
      <c r="H14" s="8"/>
      <c r="I14" s="74"/>
    </row>
    <row r="15">
      <c r="A15" s="5"/>
      <c r="B15" s="5"/>
      <c r="C15" s="15"/>
      <c r="D15" s="15"/>
      <c r="E15" s="5"/>
      <c r="F15" s="12"/>
      <c r="G15" s="5"/>
      <c r="H15" s="8"/>
      <c r="I15" s="74"/>
    </row>
    <row r="16">
      <c r="A16" s="5"/>
      <c r="B16" s="5"/>
      <c r="C16" s="15"/>
      <c r="D16" s="15"/>
      <c r="E16" s="5"/>
      <c r="F16" s="12"/>
      <c r="G16" s="5"/>
      <c r="H16" s="8"/>
      <c r="I16" s="74"/>
    </row>
    <row r="17">
      <c r="A17" s="5"/>
      <c r="B17" s="5"/>
      <c r="C17" s="15"/>
      <c r="D17" s="15"/>
      <c r="E17" s="5"/>
      <c r="F17" s="12"/>
      <c r="G17" s="5"/>
      <c r="H17" s="8"/>
      <c r="I17" s="74"/>
    </row>
    <row r="18">
      <c r="A18" s="5"/>
      <c r="B18" s="5"/>
      <c r="C18" s="15"/>
      <c r="D18" s="18"/>
      <c r="E18" s="5"/>
      <c r="F18" s="12"/>
      <c r="G18" s="5"/>
      <c r="H18" s="8"/>
      <c r="I18" s="74"/>
    </row>
    <row r="19">
      <c r="A19" s="5"/>
      <c r="B19" s="5"/>
      <c r="C19" s="15"/>
      <c r="D19" s="18"/>
      <c r="E19" s="5"/>
      <c r="F19" s="12"/>
      <c r="G19" s="5"/>
      <c r="H19" s="8"/>
      <c r="I19" s="74"/>
    </row>
    <row r="20">
      <c r="A20" s="5"/>
      <c r="B20" s="5"/>
      <c r="C20" s="15"/>
      <c r="D20" s="18"/>
      <c r="E20" s="5"/>
      <c r="F20" s="12"/>
      <c r="G20" s="5"/>
      <c r="H20" s="8"/>
      <c r="I20" s="74"/>
    </row>
    <row r="21">
      <c r="A21" s="5"/>
      <c r="B21" s="5"/>
      <c r="C21" s="15"/>
      <c r="D21" s="15"/>
      <c r="E21" s="5"/>
      <c r="F21" s="12"/>
      <c r="G21" s="5"/>
      <c r="H21" s="5"/>
      <c r="I21" s="74"/>
    </row>
    <row r="22">
      <c r="A22" s="5"/>
      <c r="B22" s="5"/>
      <c r="C22" s="15"/>
      <c r="D22" s="15"/>
      <c r="E22" s="5"/>
      <c r="F22" s="12"/>
      <c r="G22" s="5"/>
      <c r="H22" s="5"/>
      <c r="I22" s="74"/>
    </row>
    <row r="23">
      <c r="A23" s="5"/>
      <c r="B23" s="5"/>
      <c r="C23" s="15"/>
      <c r="D23" s="15"/>
      <c r="E23" s="5"/>
      <c r="F23" s="12"/>
      <c r="G23" s="5"/>
      <c r="H23" s="5"/>
      <c r="I23" s="74"/>
    </row>
    <row r="24">
      <c r="A24" s="5"/>
      <c r="B24" s="5"/>
      <c r="C24" s="15"/>
      <c r="D24" s="18"/>
      <c r="E24" s="5"/>
      <c r="F24" s="12"/>
      <c r="G24" s="5"/>
      <c r="H24" s="5"/>
      <c r="I24" s="74"/>
    </row>
    <row r="25">
      <c r="A25" s="5"/>
      <c r="B25" s="5"/>
      <c r="C25" s="15"/>
      <c r="D25" s="15"/>
      <c r="E25" s="5"/>
      <c r="F25" s="12"/>
      <c r="G25" s="5"/>
      <c r="H25" s="8"/>
      <c r="I25" s="74"/>
    </row>
    <row r="26">
      <c r="A26" s="5"/>
      <c r="B26" s="5"/>
      <c r="C26" s="15"/>
      <c r="D26" s="18"/>
      <c r="E26" s="5"/>
      <c r="F26" s="12"/>
      <c r="G26" s="5"/>
      <c r="H26" s="8"/>
      <c r="I26" s="74"/>
    </row>
    <row r="27">
      <c r="A27" s="5"/>
      <c r="B27" s="5"/>
      <c r="C27" s="15"/>
      <c r="D27" s="18"/>
      <c r="E27" s="5"/>
      <c r="F27" s="12"/>
      <c r="G27" s="5"/>
      <c r="H27" s="8"/>
      <c r="I27" s="74"/>
    </row>
    <row r="28">
      <c r="A28" s="5"/>
      <c r="B28" s="5"/>
      <c r="C28" s="15"/>
      <c r="D28" s="15"/>
      <c r="E28" s="5"/>
      <c r="F28" s="12"/>
      <c r="G28" s="5"/>
      <c r="H28" s="8"/>
      <c r="I28" s="74"/>
    </row>
    <row r="29">
      <c r="A29" s="5"/>
      <c r="B29" s="5"/>
      <c r="C29" s="15"/>
      <c r="D29" s="15"/>
      <c r="E29" s="5"/>
      <c r="F29" s="12"/>
      <c r="G29" s="5"/>
      <c r="H29" s="8"/>
      <c r="I29" s="74"/>
    </row>
    <row r="30">
      <c r="A30" s="5"/>
      <c r="B30" s="5"/>
      <c r="C30" s="15"/>
      <c r="D30" s="18"/>
      <c r="E30" s="5"/>
      <c r="F30" s="12"/>
      <c r="G30" s="5"/>
      <c r="H30" s="8"/>
      <c r="I30" s="74"/>
    </row>
    <row r="31">
      <c r="A31" s="5"/>
      <c r="B31" s="5"/>
      <c r="C31" s="15"/>
      <c r="D31" s="18"/>
      <c r="E31" s="5"/>
      <c r="F31" s="12"/>
      <c r="G31" s="5"/>
      <c r="H31" s="8"/>
      <c r="I31" s="74"/>
    </row>
    <row r="32">
      <c r="A32" s="5"/>
      <c r="B32" s="5"/>
      <c r="C32" s="15"/>
      <c r="D32" s="15"/>
      <c r="E32" s="5"/>
      <c r="F32" s="12"/>
      <c r="G32" s="5"/>
      <c r="H32" s="8"/>
      <c r="I32" s="74"/>
    </row>
    <row r="33">
      <c r="A33" s="5"/>
      <c r="B33" s="5"/>
      <c r="C33" s="15"/>
      <c r="D33" s="15"/>
      <c r="E33" s="5"/>
      <c r="F33" s="12"/>
      <c r="G33" s="5"/>
      <c r="H33" s="8"/>
      <c r="I33" s="74"/>
    </row>
    <row r="34">
      <c r="A34" s="8"/>
      <c r="B34" s="5"/>
      <c r="C34" s="15"/>
      <c r="D34" s="18"/>
      <c r="E34" s="5"/>
      <c r="F34" s="12"/>
      <c r="G34" s="5"/>
      <c r="H34" s="8"/>
      <c r="I34" s="74"/>
    </row>
    <row r="35">
      <c r="A35" s="5"/>
      <c r="B35" s="5"/>
      <c r="C35" s="15"/>
      <c r="D35" s="18"/>
      <c r="E35" s="5"/>
      <c r="F35" s="12"/>
      <c r="G35" s="5"/>
      <c r="H35" s="8"/>
      <c r="I35" s="74"/>
    </row>
    <row r="36">
      <c r="A36" s="5"/>
      <c r="B36" s="5"/>
      <c r="C36" s="15"/>
      <c r="D36" s="15"/>
      <c r="E36" s="5"/>
      <c r="F36" s="12"/>
      <c r="G36" s="5"/>
      <c r="H36" s="8"/>
      <c r="I36" s="74"/>
    </row>
    <row r="37">
      <c r="A37" s="8"/>
      <c r="B37" s="5"/>
      <c r="C37" s="15"/>
      <c r="D37" s="15"/>
      <c r="E37" s="5"/>
      <c r="F37" s="12"/>
      <c r="G37" s="5"/>
      <c r="H37" s="8"/>
      <c r="I37" s="74"/>
    </row>
    <row r="38">
      <c r="A38" s="8"/>
      <c r="B38" s="5"/>
      <c r="C38" s="15"/>
      <c r="D38" s="15"/>
      <c r="E38" s="5"/>
      <c r="F38" s="12"/>
      <c r="G38" s="5"/>
      <c r="H38" s="8"/>
      <c r="I38" s="74"/>
    </row>
    <row r="39">
      <c r="A39" s="8"/>
      <c r="B39" s="5"/>
      <c r="C39" s="15"/>
      <c r="D39" s="18"/>
      <c r="E39" s="5"/>
      <c r="F39" s="12"/>
      <c r="G39" s="5"/>
      <c r="H39" s="8"/>
      <c r="I39" s="74"/>
    </row>
    <row r="40">
      <c r="A40" s="8"/>
      <c r="B40" s="5"/>
      <c r="C40" s="15"/>
      <c r="D40" s="18"/>
      <c r="E40" s="5"/>
      <c r="F40" s="12"/>
      <c r="G40" s="5"/>
      <c r="H40" s="5"/>
      <c r="I40" s="74"/>
    </row>
    <row r="41">
      <c r="A41" s="8"/>
      <c r="B41" s="8"/>
      <c r="C41" s="18"/>
      <c r="D41" s="18"/>
      <c r="E41" s="8"/>
      <c r="F41" s="8"/>
      <c r="G41" s="8"/>
      <c r="H41" s="8"/>
      <c r="I41" s="74"/>
    </row>
    <row r="42">
      <c r="A42" s="8"/>
      <c r="B42" s="8"/>
      <c r="C42" s="18"/>
      <c r="D42" s="18"/>
      <c r="E42" s="8"/>
      <c r="F42" s="8"/>
      <c r="G42" s="8"/>
      <c r="H42" s="8"/>
      <c r="I42" s="74"/>
    </row>
    <row r="43">
      <c r="A43" s="8"/>
      <c r="B43" s="8"/>
      <c r="C43" s="18"/>
      <c r="D43" s="18"/>
      <c r="E43" s="8"/>
      <c r="F43" s="8"/>
      <c r="G43" s="8"/>
      <c r="H43" s="8"/>
      <c r="I43" s="74"/>
    </row>
    <row r="44">
      <c r="A44" s="8"/>
      <c r="B44" s="8"/>
      <c r="C44" s="18"/>
      <c r="D44" s="18"/>
      <c r="E44" s="8"/>
      <c r="F44" s="8"/>
      <c r="G44" s="8"/>
      <c r="H44" s="8"/>
      <c r="I44" s="74"/>
    </row>
    <row r="45">
      <c r="A45" s="8"/>
      <c r="B45" s="8"/>
      <c r="C45" s="18"/>
      <c r="D45" s="18"/>
      <c r="E45" s="8"/>
      <c r="F45" s="8"/>
      <c r="G45" s="8"/>
      <c r="H45" s="8"/>
      <c r="I45" s="74"/>
    </row>
    <row r="46">
      <c r="A46" s="8"/>
      <c r="B46" s="8"/>
      <c r="C46" s="18"/>
      <c r="D46" s="18"/>
      <c r="E46" s="8"/>
      <c r="F46" s="8"/>
      <c r="G46" s="8"/>
      <c r="H46" s="8"/>
      <c r="I46" s="76"/>
    </row>
    <row r="47">
      <c r="A47" s="8"/>
      <c r="B47" s="8"/>
      <c r="C47" s="18"/>
      <c r="D47" s="18"/>
      <c r="E47" s="8"/>
      <c r="F47" s="8"/>
      <c r="G47" s="8"/>
      <c r="H47" s="8"/>
      <c r="I47" s="76"/>
    </row>
    <row r="48">
      <c r="A48" s="8"/>
      <c r="B48" s="8"/>
      <c r="C48" s="18"/>
      <c r="D48" s="18"/>
      <c r="E48" s="8"/>
      <c r="F48" s="8"/>
      <c r="G48" s="8"/>
      <c r="H48" s="8"/>
      <c r="I48" s="76"/>
    </row>
    <row r="49">
      <c r="A49" s="8"/>
      <c r="B49" s="8"/>
      <c r="C49" s="18"/>
      <c r="D49" s="18"/>
      <c r="E49" s="8"/>
      <c r="F49" s="8"/>
      <c r="G49" s="8"/>
      <c r="H49" s="8"/>
      <c r="I49" s="76"/>
    </row>
    <row r="50">
      <c r="A50" s="8"/>
      <c r="B50" s="8"/>
      <c r="C50" s="18"/>
      <c r="D50" s="18"/>
      <c r="E50" s="8"/>
      <c r="F50" s="8"/>
      <c r="G50" s="8"/>
      <c r="H50" s="8"/>
      <c r="I50" s="76"/>
    </row>
    <row r="51">
      <c r="A51" s="8"/>
      <c r="B51" s="8"/>
      <c r="C51" s="18"/>
      <c r="D51" s="18"/>
      <c r="E51" s="8"/>
      <c r="F51" s="8"/>
      <c r="G51" s="8"/>
      <c r="H51" s="8"/>
      <c r="I51" s="76"/>
    </row>
    <row r="52">
      <c r="A52" s="8"/>
      <c r="B52" s="8"/>
      <c r="C52" s="18"/>
      <c r="D52" s="18"/>
      <c r="E52" s="8"/>
      <c r="F52" s="8"/>
      <c r="G52" s="8"/>
      <c r="H52" s="8"/>
      <c r="I52" s="76"/>
    </row>
    <row r="53">
      <c r="A53" s="8"/>
      <c r="B53" s="8"/>
      <c r="C53" s="18"/>
      <c r="D53" s="18"/>
      <c r="E53" s="8"/>
      <c r="F53" s="8"/>
      <c r="G53" s="8"/>
      <c r="H53" s="8"/>
      <c r="I53" s="76"/>
    </row>
    <row r="54">
      <c r="A54" s="8"/>
      <c r="B54" s="8"/>
      <c r="C54" s="18"/>
      <c r="D54" s="18"/>
      <c r="E54" s="8"/>
      <c r="F54" s="8"/>
      <c r="G54" s="8"/>
      <c r="H54" s="8"/>
      <c r="I54" s="76"/>
    </row>
    <row r="55">
      <c r="A55" s="8"/>
      <c r="B55" s="8"/>
      <c r="C55" s="18"/>
      <c r="D55" s="18"/>
      <c r="E55" s="8"/>
      <c r="F55" s="8"/>
      <c r="G55" s="8"/>
      <c r="H55" s="8"/>
      <c r="I55" s="76"/>
    </row>
    <row r="56">
      <c r="A56" s="8"/>
      <c r="B56" s="8"/>
      <c r="C56" s="18"/>
      <c r="D56" s="18"/>
      <c r="E56" s="8"/>
      <c r="F56" s="8"/>
      <c r="G56" s="8"/>
      <c r="H56" s="8"/>
      <c r="I56" s="76"/>
    </row>
    <row r="57">
      <c r="A57" s="8"/>
      <c r="B57" s="8"/>
      <c r="C57" s="18"/>
      <c r="D57" s="18"/>
      <c r="E57" s="8"/>
      <c r="F57" s="8"/>
      <c r="G57" s="8"/>
      <c r="H57" s="8"/>
      <c r="I57" s="76"/>
    </row>
    <row r="58">
      <c r="A58" s="8"/>
      <c r="B58" s="8"/>
      <c r="C58" s="18"/>
      <c r="D58" s="18"/>
      <c r="E58" s="8"/>
      <c r="F58" s="8"/>
      <c r="G58" s="8"/>
      <c r="H58" s="8"/>
      <c r="I58" s="76"/>
    </row>
    <row r="59">
      <c r="A59" s="8"/>
      <c r="B59" s="8"/>
      <c r="C59" s="18"/>
      <c r="D59" s="18"/>
      <c r="E59" s="8"/>
      <c r="F59" s="8"/>
      <c r="G59" s="8"/>
      <c r="H59" s="8"/>
      <c r="I59" s="76"/>
    </row>
    <row r="60">
      <c r="A60" s="8"/>
      <c r="B60" s="8"/>
      <c r="C60" s="18"/>
      <c r="D60" s="18"/>
      <c r="E60" s="8"/>
      <c r="F60" s="8"/>
      <c r="G60" s="8"/>
      <c r="H60" s="8"/>
      <c r="I60" s="76"/>
    </row>
    <row r="61">
      <c r="A61" s="8"/>
      <c r="B61" s="8"/>
      <c r="C61" s="18"/>
      <c r="D61" s="18"/>
      <c r="E61" s="8"/>
      <c r="F61" s="8"/>
      <c r="G61" s="8"/>
      <c r="H61" s="8"/>
      <c r="I61" s="76"/>
    </row>
    <row r="62">
      <c r="A62" s="8"/>
      <c r="B62" s="8"/>
      <c r="C62" s="18"/>
      <c r="D62" s="18"/>
      <c r="E62" s="8"/>
      <c r="F62" s="8"/>
      <c r="G62" s="8"/>
      <c r="H62" s="8"/>
      <c r="I62" s="76"/>
    </row>
    <row r="63">
      <c r="A63" s="8"/>
      <c r="B63" s="8"/>
      <c r="C63" s="18"/>
      <c r="D63" s="18"/>
      <c r="E63" s="8"/>
      <c r="F63" s="8"/>
      <c r="G63" s="8"/>
      <c r="H63" s="8"/>
      <c r="I63" s="76"/>
    </row>
    <row r="64">
      <c r="A64" s="8"/>
      <c r="B64" s="8"/>
      <c r="C64" s="18"/>
      <c r="D64" s="18"/>
      <c r="E64" s="8"/>
      <c r="F64" s="8"/>
      <c r="G64" s="8"/>
      <c r="H64" s="8"/>
      <c r="I64" s="76"/>
    </row>
    <row r="65">
      <c r="A65" s="8"/>
      <c r="B65" s="8"/>
      <c r="C65" s="18"/>
      <c r="D65" s="18"/>
      <c r="E65" s="8"/>
      <c r="F65" s="8"/>
      <c r="G65" s="8"/>
      <c r="H65" s="8"/>
      <c r="I65" s="76"/>
    </row>
    <row r="66">
      <c r="A66" s="8"/>
      <c r="B66" s="8"/>
      <c r="C66" s="18"/>
      <c r="D66" s="18"/>
      <c r="E66" s="8"/>
      <c r="F66" s="8"/>
      <c r="G66" s="8"/>
      <c r="H66" s="8"/>
      <c r="I66" s="76"/>
    </row>
    <row r="67">
      <c r="A67" s="8"/>
      <c r="B67" s="8"/>
      <c r="C67" s="18"/>
      <c r="D67" s="18"/>
      <c r="E67" s="8"/>
      <c r="F67" s="8"/>
      <c r="G67" s="8"/>
      <c r="H67" s="8"/>
      <c r="I67" s="76"/>
    </row>
    <row r="68">
      <c r="A68" s="8"/>
      <c r="B68" s="8"/>
      <c r="C68" s="18"/>
      <c r="D68" s="18"/>
      <c r="E68" s="8"/>
      <c r="F68" s="8"/>
      <c r="G68" s="8"/>
      <c r="H68" s="8"/>
      <c r="I68" s="76"/>
    </row>
    <row r="69">
      <c r="A69" s="8"/>
      <c r="B69" s="8"/>
      <c r="C69" s="18"/>
      <c r="D69" s="18"/>
      <c r="E69" s="8"/>
      <c r="F69" s="8"/>
      <c r="G69" s="8"/>
      <c r="H69" s="8"/>
      <c r="I69" s="76"/>
    </row>
    <row r="70">
      <c r="A70" s="8"/>
      <c r="B70" s="8"/>
      <c r="C70" s="18"/>
      <c r="D70" s="18"/>
      <c r="E70" s="8"/>
      <c r="F70" s="8"/>
      <c r="G70" s="8"/>
      <c r="H70" s="8"/>
      <c r="I70" s="76"/>
    </row>
    <row r="71">
      <c r="A71" s="8"/>
      <c r="B71" s="8"/>
      <c r="C71" s="18"/>
      <c r="D71" s="18"/>
      <c r="E71" s="8"/>
      <c r="F71" s="8"/>
      <c r="G71" s="8"/>
      <c r="H71" s="8"/>
      <c r="I71" s="76"/>
    </row>
    <row r="72">
      <c r="A72" s="8"/>
      <c r="B72" s="8"/>
      <c r="C72" s="18"/>
      <c r="D72" s="18"/>
      <c r="E72" s="8"/>
      <c r="F72" s="8"/>
      <c r="G72" s="8"/>
      <c r="H72" s="8"/>
      <c r="I72" s="76"/>
    </row>
    <row r="73">
      <c r="A73" s="8"/>
      <c r="B73" s="8"/>
      <c r="C73" s="18"/>
      <c r="D73" s="18"/>
      <c r="E73" s="8"/>
      <c r="F73" s="8"/>
      <c r="G73" s="8"/>
      <c r="H73" s="8"/>
      <c r="I73" s="76"/>
    </row>
    <row r="74">
      <c r="A74" s="8"/>
      <c r="B74" s="8"/>
      <c r="C74" s="18"/>
      <c r="D74" s="18"/>
      <c r="E74" s="8"/>
      <c r="F74" s="8"/>
      <c r="G74" s="8"/>
      <c r="H74" s="8"/>
      <c r="I74" s="76"/>
    </row>
    <row r="75">
      <c r="A75" s="8"/>
      <c r="B75" s="8"/>
      <c r="C75" s="18"/>
      <c r="D75" s="18"/>
      <c r="E75" s="8"/>
      <c r="F75" s="8"/>
      <c r="G75" s="8"/>
      <c r="H75" s="8"/>
      <c r="I75" s="76"/>
    </row>
    <row r="76">
      <c r="A76" s="8"/>
      <c r="B76" s="8"/>
      <c r="C76" s="18"/>
      <c r="D76" s="18"/>
      <c r="E76" s="8"/>
      <c r="F76" s="8"/>
      <c r="G76" s="8"/>
      <c r="H76" s="8"/>
      <c r="I76" s="76"/>
    </row>
    <row r="77">
      <c r="A77" s="8"/>
      <c r="B77" s="8"/>
      <c r="C77" s="18"/>
      <c r="D77" s="18"/>
      <c r="E77" s="8"/>
      <c r="F77" s="8"/>
      <c r="G77" s="8"/>
      <c r="H77" s="8"/>
      <c r="I77" s="76"/>
    </row>
    <row r="78">
      <c r="A78" s="8"/>
      <c r="B78" s="8"/>
      <c r="C78" s="18"/>
      <c r="D78" s="18"/>
      <c r="E78" s="8"/>
      <c r="F78" s="8"/>
      <c r="G78" s="8"/>
      <c r="H78" s="8"/>
      <c r="I78" s="76"/>
    </row>
    <row r="79">
      <c r="A79" s="8"/>
      <c r="B79" s="8"/>
      <c r="C79" s="18"/>
      <c r="D79" s="18"/>
      <c r="E79" s="8"/>
      <c r="F79" s="8"/>
      <c r="G79" s="8"/>
      <c r="H79" s="8"/>
      <c r="I79" s="76"/>
    </row>
    <row r="80">
      <c r="A80" s="8"/>
      <c r="B80" s="8"/>
      <c r="C80" s="18"/>
      <c r="D80" s="18"/>
      <c r="E80" s="8"/>
      <c r="F80" s="8"/>
      <c r="G80" s="8"/>
      <c r="H80" s="8"/>
      <c r="I80" s="76"/>
    </row>
    <row r="81">
      <c r="A81" s="8"/>
      <c r="B81" s="8"/>
      <c r="C81" s="18"/>
      <c r="D81" s="18"/>
      <c r="E81" s="8"/>
      <c r="F81" s="8"/>
      <c r="G81" s="8"/>
      <c r="H81" s="8"/>
      <c r="I81" s="76"/>
    </row>
    <row r="82">
      <c r="A82" s="8"/>
      <c r="B82" s="8"/>
      <c r="C82" s="18"/>
      <c r="D82" s="18"/>
      <c r="E82" s="8"/>
      <c r="F82" s="8"/>
      <c r="G82" s="8"/>
      <c r="H82" s="8"/>
      <c r="I82" s="76"/>
    </row>
    <row r="83">
      <c r="A83" s="8"/>
      <c r="B83" s="8"/>
      <c r="C83" s="18"/>
      <c r="D83" s="18"/>
      <c r="E83" s="8"/>
      <c r="F83" s="8"/>
      <c r="G83" s="8"/>
      <c r="H83" s="8"/>
      <c r="I83" s="76"/>
    </row>
    <row r="84">
      <c r="A84" s="8"/>
      <c r="B84" s="8"/>
      <c r="C84" s="18"/>
      <c r="D84" s="18"/>
      <c r="E84" s="8"/>
      <c r="F84" s="8"/>
      <c r="G84" s="8"/>
      <c r="H84" s="8"/>
      <c r="I84" s="76"/>
    </row>
    <row r="85">
      <c r="A85" s="8"/>
      <c r="B85" s="8"/>
      <c r="C85" s="18"/>
      <c r="D85" s="18"/>
      <c r="E85" s="8"/>
      <c r="F85" s="8"/>
      <c r="G85" s="8"/>
      <c r="H85" s="8"/>
      <c r="I85" s="76"/>
    </row>
    <row r="86">
      <c r="A86" s="8"/>
      <c r="B86" s="8"/>
      <c r="C86" s="18"/>
      <c r="D86" s="18"/>
      <c r="E86" s="8"/>
      <c r="F86" s="8"/>
      <c r="G86" s="8"/>
      <c r="H86" s="8"/>
      <c r="I86" s="76"/>
    </row>
    <row r="87">
      <c r="A87" s="8"/>
      <c r="B87" s="8"/>
      <c r="C87" s="18"/>
      <c r="D87" s="18"/>
      <c r="E87" s="8"/>
      <c r="F87" s="8"/>
      <c r="G87" s="8"/>
      <c r="H87" s="8"/>
      <c r="I87" s="76"/>
    </row>
    <row r="88">
      <c r="A88" s="8"/>
      <c r="B88" s="8"/>
      <c r="C88" s="18"/>
      <c r="D88" s="18"/>
      <c r="E88" s="8"/>
      <c r="F88" s="8"/>
      <c r="G88" s="8"/>
      <c r="H88" s="8"/>
      <c r="I88" s="76"/>
    </row>
    <row r="89">
      <c r="A89" s="8"/>
      <c r="B89" s="8"/>
      <c r="C89" s="18"/>
      <c r="D89" s="18"/>
      <c r="E89" s="8"/>
      <c r="F89" s="8"/>
      <c r="G89" s="8"/>
      <c r="H89" s="8"/>
      <c r="I89" s="76"/>
    </row>
    <row r="90">
      <c r="A90" s="8"/>
      <c r="B90" s="8"/>
      <c r="C90" s="18"/>
      <c r="D90" s="18"/>
      <c r="E90" s="8"/>
      <c r="F90" s="8"/>
      <c r="G90" s="8"/>
      <c r="H90" s="8"/>
      <c r="I90" s="76"/>
    </row>
    <row r="91">
      <c r="A91" s="8"/>
      <c r="B91" s="8"/>
      <c r="C91" s="18"/>
      <c r="D91" s="18"/>
      <c r="E91" s="8"/>
      <c r="F91" s="8"/>
      <c r="G91" s="8"/>
      <c r="H91" s="8"/>
      <c r="I91" s="76"/>
    </row>
    <row r="92">
      <c r="A92" s="8"/>
      <c r="B92" s="8"/>
      <c r="C92" s="18"/>
      <c r="D92" s="18"/>
      <c r="E92" s="8"/>
      <c r="F92" s="8"/>
      <c r="G92" s="8"/>
      <c r="H92" s="8"/>
      <c r="I92" s="76"/>
    </row>
    <row r="93">
      <c r="A93" s="8"/>
      <c r="B93" s="8"/>
      <c r="C93" s="18"/>
      <c r="D93" s="18"/>
      <c r="E93" s="8"/>
      <c r="F93" s="8"/>
      <c r="G93" s="8"/>
      <c r="H93" s="8"/>
      <c r="I93" s="76"/>
    </row>
    <row r="94">
      <c r="A94" s="8"/>
      <c r="B94" s="8"/>
      <c r="C94" s="18"/>
      <c r="D94" s="18"/>
      <c r="E94" s="8"/>
      <c r="F94" s="8"/>
      <c r="G94" s="8"/>
      <c r="H94" s="8"/>
      <c r="I94" s="76"/>
    </row>
    <row r="95">
      <c r="A95" s="8"/>
      <c r="B95" s="8"/>
      <c r="C95" s="18"/>
      <c r="D95" s="18"/>
      <c r="E95" s="8"/>
      <c r="F95" s="8"/>
      <c r="G95" s="8"/>
      <c r="H95" s="8"/>
      <c r="I95" s="76"/>
    </row>
    <row r="96">
      <c r="A96" s="8"/>
      <c r="B96" s="8"/>
      <c r="C96" s="18"/>
      <c r="D96" s="18"/>
      <c r="E96" s="8"/>
      <c r="F96" s="8"/>
      <c r="G96" s="8"/>
      <c r="H96" s="8"/>
      <c r="I96" s="76"/>
    </row>
    <row r="97">
      <c r="A97" s="8"/>
      <c r="B97" s="8"/>
      <c r="C97" s="18"/>
      <c r="D97" s="18"/>
      <c r="E97" s="8"/>
      <c r="F97" s="8"/>
      <c r="G97" s="8"/>
      <c r="H97" s="8"/>
      <c r="I97" s="76"/>
    </row>
    <row r="98">
      <c r="A98" s="8"/>
      <c r="B98" s="8"/>
      <c r="C98" s="18"/>
      <c r="D98" s="18"/>
      <c r="E98" s="8"/>
      <c r="F98" s="8"/>
      <c r="G98" s="8"/>
      <c r="H98" s="8"/>
      <c r="I98" s="76"/>
    </row>
    <row r="99">
      <c r="A99" s="8"/>
      <c r="B99" s="8"/>
      <c r="C99" s="18"/>
      <c r="D99" s="18"/>
      <c r="E99" s="8"/>
      <c r="F99" s="8"/>
      <c r="G99" s="8"/>
      <c r="H99" s="8"/>
      <c r="I99" s="76"/>
    </row>
    <row r="100">
      <c r="A100" s="8"/>
      <c r="B100" s="8"/>
      <c r="C100" s="18"/>
      <c r="D100" s="18"/>
      <c r="E100" s="8"/>
      <c r="F100" s="8"/>
      <c r="G100" s="8"/>
      <c r="H100" s="8"/>
      <c r="I100" s="76"/>
    </row>
    <row r="101">
      <c r="A101" s="8"/>
      <c r="B101" s="8"/>
      <c r="C101" s="18"/>
      <c r="D101" s="18"/>
      <c r="E101" s="8"/>
      <c r="F101" s="8"/>
      <c r="G101" s="8"/>
      <c r="H101" s="8"/>
      <c r="I101" s="76"/>
    </row>
    <row r="102">
      <c r="A102" s="8"/>
      <c r="B102" s="8"/>
      <c r="C102" s="18"/>
      <c r="D102" s="18"/>
      <c r="E102" s="8"/>
      <c r="F102" s="8"/>
      <c r="G102" s="8"/>
      <c r="H102" s="8"/>
      <c r="I102" s="76"/>
    </row>
    <row r="103">
      <c r="A103" s="8"/>
      <c r="B103" s="8"/>
      <c r="C103" s="18"/>
      <c r="D103" s="18"/>
      <c r="E103" s="8"/>
      <c r="F103" s="8"/>
      <c r="G103" s="8"/>
      <c r="H103" s="8"/>
      <c r="I103" s="76"/>
    </row>
    <row r="104">
      <c r="A104" s="8"/>
      <c r="B104" s="8"/>
      <c r="C104" s="18"/>
      <c r="D104" s="18"/>
      <c r="E104" s="8"/>
      <c r="F104" s="8"/>
      <c r="G104" s="8"/>
      <c r="H104" s="8"/>
      <c r="I104" s="76"/>
    </row>
    <row r="105">
      <c r="A105" s="8"/>
      <c r="B105" s="8"/>
      <c r="C105" s="18"/>
      <c r="D105" s="18"/>
      <c r="E105" s="8"/>
      <c r="F105" s="8"/>
      <c r="G105" s="8"/>
      <c r="H105" s="8"/>
      <c r="I105" s="76"/>
    </row>
    <row r="106">
      <c r="A106" s="8"/>
      <c r="B106" s="8"/>
      <c r="C106" s="18"/>
      <c r="D106" s="18"/>
      <c r="E106" s="8"/>
      <c r="F106" s="8"/>
      <c r="G106" s="8"/>
      <c r="H106" s="8"/>
      <c r="I106" s="76"/>
    </row>
    <row r="107">
      <c r="A107" s="8"/>
      <c r="B107" s="8"/>
      <c r="C107" s="18"/>
      <c r="D107" s="18"/>
      <c r="E107" s="8"/>
      <c r="F107" s="8"/>
      <c r="G107" s="8"/>
      <c r="H107" s="8"/>
      <c r="I107" s="76"/>
    </row>
    <row r="108">
      <c r="A108" s="8"/>
      <c r="B108" s="8"/>
      <c r="C108" s="18"/>
      <c r="D108" s="18"/>
      <c r="E108" s="8"/>
      <c r="F108" s="8"/>
      <c r="G108" s="8"/>
      <c r="H108" s="8"/>
      <c r="I108" s="76"/>
    </row>
    <row r="109">
      <c r="A109" s="8"/>
      <c r="B109" s="8"/>
      <c r="C109" s="18"/>
      <c r="D109" s="18"/>
      <c r="E109" s="8"/>
      <c r="F109" s="8"/>
      <c r="G109" s="8"/>
      <c r="H109" s="8"/>
      <c r="I109" s="76"/>
    </row>
    <row r="110">
      <c r="A110" s="8"/>
      <c r="B110" s="8"/>
      <c r="C110" s="18"/>
      <c r="D110" s="18"/>
      <c r="E110" s="8"/>
      <c r="F110" s="8"/>
      <c r="G110" s="8"/>
      <c r="H110" s="8"/>
      <c r="I110" s="76"/>
    </row>
    <row r="111">
      <c r="A111" s="8"/>
      <c r="B111" s="8"/>
      <c r="C111" s="18"/>
      <c r="D111" s="18"/>
      <c r="E111" s="8"/>
      <c r="F111" s="8"/>
      <c r="G111" s="8"/>
      <c r="H111" s="8"/>
      <c r="I111" s="76"/>
    </row>
    <row r="112">
      <c r="A112" s="8"/>
      <c r="B112" s="8"/>
      <c r="C112" s="18"/>
      <c r="D112" s="18"/>
      <c r="E112" s="8"/>
      <c r="F112" s="8"/>
      <c r="G112" s="8"/>
      <c r="H112" s="8"/>
      <c r="I112" s="76"/>
    </row>
    <row r="113">
      <c r="A113" s="8"/>
      <c r="B113" s="8"/>
      <c r="C113" s="18"/>
      <c r="D113" s="18"/>
      <c r="E113" s="8"/>
      <c r="F113" s="8"/>
      <c r="G113" s="8"/>
      <c r="H113" s="8"/>
      <c r="I113" s="76"/>
    </row>
    <row r="114">
      <c r="A114" s="8"/>
      <c r="B114" s="8"/>
      <c r="C114" s="18"/>
      <c r="D114" s="18"/>
      <c r="E114" s="8"/>
      <c r="F114" s="8"/>
      <c r="G114" s="8"/>
      <c r="H114" s="8"/>
      <c r="I114" s="76"/>
    </row>
    <row r="115">
      <c r="A115" s="8"/>
      <c r="B115" s="8"/>
      <c r="C115" s="18"/>
      <c r="D115" s="18"/>
      <c r="E115" s="8"/>
      <c r="F115" s="8"/>
      <c r="G115" s="8"/>
      <c r="H115" s="8"/>
      <c r="I115" s="76"/>
    </row>
    <row r="116">
      <c r="A116" s="8"/>
      <c r="B116" s="8"/>
      <c r="C116" s="18"/>
      <c r="D116" s="18"/>
      <c r="E116" s="8"/>
      <c r="F116" s="8"/>
      <c r="G116" s="8"/>
      <c r="H116" s="8"/>
      <c r="I116" s="76"/>
    </row>
    <row r="117">
      <c r="A117" s="8"/>
      <c r="B117" s="8"/>
      <c r="C117" s="18"/>
      <c r="D117" s="18"/>
      <c r="E117" s="8"/>
      <c r="F117" s="8"/>
      <c r="G117" s="8"/>
      <c r="H117" s="8"/>
      <c r="I117" s="76"/>
    </row>
    <row r="118">
      <c r="A118" s="8"/>
      <c r="B118" s="8"/>
      <c r="C118" s="18"/>
      <c r="D118" s="18"/>
      <c r="E118" s="8"/>
      <c r="F118" s="8"/>
      <c r="G118" s="8"/>
      <c r="H118" s="8"/>
      <c r="I118" s="76"/>
    </row>
    <row r="119">
      <c r="A119" s="8"/>
      <c r="B119" s="8"/>
      <c r="C119" s="18"/>
      <c r="D119" s="18"/>
      <c r="E119" s="8"/>
      <c r="F119" s="8"/>
      <c r="G119" s="8"/>
      <c r="H119" s="8"/>
      <c r="I119" s="76"/>
    </row>
    <row r="120">
      <c r="A120" s="8"/>
      <c r="B120" s="8"/>
      <c r="C120" s="18"/>
      <c r="D120" s="18"/>
      <c r="E120" s="8"/>
      <c r="F120" s="8"/>
      <c r="G120" s="8"/>
      <c r="H120" s="8"/>
      <c r="I120" s="76"/>
    </row>
    <row r="121">
      <c r="A121" s="8"/>
      <c r="B121" s="8"/>
      <c r="C121" s="18"/>
      <c r="D121" s="18"/>
      <c r="E121" s="8"/>
      <c r="F121" s="8"/>
      <c r="G121" s="8"/>
      <c r="H121" s="8"/>
      <c r="I121" s="76"/>
    </row>
    <row r="122">
      <c r="A122" s="8"/>
      <c r="B122" s="8"/>
      <c r="C122" s="18"/>
      <c r="D122" s="18"/>
      <c r="E122" s="8"/>
      <c r="F122" s="8"/>
      <c r="G122" s="8"/>
      <c r="H122" s="8"/>
      <c r="I122" s="76"/>
    </row>
    <row r="123">
      <c r="A123" s="8"/>
      <c r="B123" s="8"/>
      <c r="C123" s="18"/>
      <c r="D123" s="18"/>
      <c r="E123" s="8"/>
      <c r="F123" s="8"/>
      <c r="G123" s="8"/>
      <c r="H123" s="8"/>
      <c r="I123" s="76"/>
    </row>
    <row r="124">
      <c r="A124" s="8"/>
      <c r="B124" s="8"/>
      <c r="C124" s="18"/>
      <c r="D124" s="18"/>
      <c r="E124" s="8"/>
      <c r="F124" s="8"/>
      <c r="G124" s="8"/>
      <c r="H124" s="8"/>
      <c r="I124" s="76"/>
    </row>
    <row r="125">
      <c r="A125" s="8"/>
      <c r="B125" s="8"/>
      <c r="C125" s="18"/>
      <c r="D125" s="18"/>
      <c r="E125" s="8"/>
      <c r="F125" s="8"/>
      <c r="G125" s="8"/>
      <c r="H125" s="8"/>
      <c r="I125" s="76"/>
    </row>
    <row r="126">
      <c r="A126" s="8"/>
      <c r="B126" s="8"/>
      <c r="C126" s="18"/>
      <c r="D126" s="18"/>
      <c r="E126" s="8"/>
      <c r="F126" s="8"/>
      <c r="G126" s="8"/>
      <c r="H126" s="8"/>
      <c r="I126" s="76"/>
    </row>
    <row r="127">
      <c r="A127" s="8"/>
      <c r="B127" s="8"/>
      <c r="C127" s="18"/>
      <c r="D127" s="18"/>
      <c r="E127" s="8"/>
      <c r="F127" s="8"/>
      <c r="G127" s="8"/>
      <c r="H127" s="8"/>
      <c r="I127" s="76"/>
    </row>
    <row r="128">
      <c r="A128" s="8"/>
      <c r="B128" s="8"/>
      <c r="C128" s="18"/>
      <c r="D128" s="18"/>
      <c r="E128" s="8"/>
      <c r="F128" s="8"/>
      <c r="G128" s="8"/>
      <c r="H128" s="8"/>
      <c r="I128" s="76"/>
    </row>
    <row r="129">
      <c r="A129" s="8"/>
      <c r="B129" s="8"/>
      <c r="C129" s="18"/>
      <c r="D129" s="18"/>
      <c r="E129" s="8"/>
      <c r="F129" s="8"/>
      <c r="G129" s="8"/>
      <c r="H129" s="8"/>
      <c r="I129" s="76"/>
    </row>
    <row r="130">
      <c r="A130" s="8"/>
      <c r="B130" s="8"/>
      <c r="C130" s="18"/>
      <c r="D130" s="18"/>
      <c r="E130" s="8"/>
      <c r="F130" s="8"/>
      <c r="G130" s="8"/>
      <c r="H130" s="8"/>
      <c r="I130" s="76"/>
    </row>
    <row r="131">
      <c r="A131" s="8"/>
      <c r="B131" s="8"/>
      <c r="C131" s="18"/>
      <c r="D131" s="18"/>
      <c r="E131" s="8"/>
      <c r="F131" s="8"/>
      <c r="G131" s="8"/>
      <c r="H131" s="8"/>
      <c r="I131" s="76"/>
    </row>
    <row r="132">
      <c r="A132" s="8"/>
      <c r="B132" s="8"/>
      <c r="C132" s="18"/>
      <c r="D132" s="18"/>
      <c r="E132" s="8"/>
      <c r="F132" s="8"/>
      <c r="G132" s="8"/>
      <c r="H132" s="8"/>
      <c r="I132" s="76"/>
    </row>
    <row r="133">
      <c r="A133" s="8"/>
      <c r="B133" s="8"/>
      <c r="C133" s="18"/>
      <c r="D133" s="18"/>
      <c r="E133" s="8"/>
      <c r="F133" s="8"/>
      <c r="G133" s="8"/>
      <c r="H133" s="8"/>
      <c r="I133" s="76"/>
    </row>
    <row r="134">
      <c r="A134" s="8"/>
      <c r="B134" s="8"/>
      <c r="C134" s="18"/>
      <c r="D134" s="18"/>
      <c r="E134" s="8"/>
      <c r="F134" s="8"/>
      <c r="G134" s="8"/>
      <c r="H134" s="8"/>
      <c r="I134" s="76"/>
    </row>
    <row r="135">
      <c r="A135" s="8"/>
      <c r="B135" s="8"/>
      <c r="C135" s="18"/>
      <c r="D135" s="18"/>
      <c r="E135" s="8"/>
      <c r="F135" s="8"/>
      <c r="G135" s="8"/>
      <c r="H135" s="8"/>
      <c r="I135" s="76"/>
    </row>
    <row r="136">
      <c r="A136" s="8"/>
      <c r="B136" s="8"/>
      <c r="C136" s="18"/>
      <c r="D136" s="18"/>
      <c r="E136" s="8"/>
      <c r="F136" s="8"/>
      <c r="G136" s="8"/>
      <c r="H136" s="8"/>
      <c r="I136" s="76"/>
    </row>
    <row r="137">
      <c r="A137" s="8"/>
      <c r="B137" s="8"/>
      <c r="C137" s="18"/>
      <c r="D137" s="18"/>
      <c r="E137" s="8"/>
      <c r="F137" s="8"/>
      <c r="G137" s="8"/>
      <c r="H137" s="8"/>
      <c r="I137" s="76"/>
    </row>
    <row r="138">
      <c r="A138" s="8"/>
      <c r="B138" s="8"/>
      <c r="C138" s="18"/>
      <c r="D138" s="18"/>
      <c r="E138" s="8"/>
      <c r="F138" s="8"/>
      <c r="G138" s="8"/>
      <c r="H138" s="8"/>
      <c r="I138" s="76"/>
    </row>
    <row r="139">
      <c r="A139" s="8"/>
      <c r="B139" s="8"/>
      <c r="C139" s="18"/>
      <c r="D139" s="18"/>
      <c r="E139" s="8"/>
      <c r="F139" s="8"/>
      <c r="G139" s="8"/>
      <c r="H139" s="8"/>
      <c r="I139" s="76"/>
    </row>
    <row r="140">
      <c r="A140" s="8"/>
      <c r="B140" s="8"/>
      <c r="C140" s="18"/>
      <c r="D140" s="18"/>
      <c r="E140" s="8"/>
      <c r="F140" s="8"/>
      <c r="G140" s="8"/>
      <c r="H140" s="8"/>
      <c r="I140" s="76"/>
    </row>
    <row r="141">
      <c r="A141" s="8"/>
      <c r="B141" s="8"/>
      <c r="C141" s="18"/>
      <c r="D141" s="18"/>
      <c r="E141" s="8"/>
      <c r="F141" s="8"/>
      <c r="G141" s="8"/>
      <c r="H141" s="8"/>
      <c r="I141" s="76"/>
    </row>
    <row r="142">
      <c r="A142" s="8"/>
      <c r="B142" s="8"/>
      <c r="C142" s="18"/>
      <c r="D142" s="18"/>
      <c r="E142" s="8"/>
      <c r="F142" s="8"/>
      <c r="G142" s="8"/>
      <c r="H142" s="8"/>
      <c r="I142" s="76"/>
    </row>
    <row r="143">
      <c r="A143" s="8"/>
      <c r="B143" s="8"/>
      <c r="C143" s="18"/>
      <c r="D143" s="18"/>
      <c r="E143" s="8"/>
      <c r="F143" s="8"/>
      <c r="G143" s="8"/>
      <c r="H143" s="8"/>
      <c r="I143" s="76"/>
    </row>
    <row r="144">
      <c r="A144" s="8"/>
      <c r="B144" s="8"/>
      <c r="C144" s="18"/>
      <c r="D144" s="18"/>
      <c r="E144" s="8"/>
      <c r="F144" s="8"/>
      <c r="G144" s="8"/>
      <c r="H144" s="8"/>
      <c r="I144" s="76"/>
    </row>
    <row r="145">
      <c r="A145" s="8"/>
      <c r="B145" s="8"/>
      <c r="C145" s="18"/>
      <c r="D145" s="18"/>
      <c r="E145" s="8"/>
      <c r="F145" s="8"/>
      <c r="G145" s="8"/>
      <c r="H145" s="8"/>
      <c r="I145" s="76"/>
    </row>
    <row r="146">
      <c r="A146" s="8"/>
      <c r="B146" s="8"/>
      <c r="C146" s="18"/>
      <c r="D146" s="18"/>
      <c r="E146" s="8"/>
      <c r="F146" s="8"/>
      <c r="G146" s="8"/>
      <c r="H146" s="8"/>
      <c r="I146" s="76"/>
    </row>
    <row r="147">
      <c r="A147" s="8"/>
      <c r="B147" s="8"/>
      <c r="C147" s="18"/>
      <c r="D147" s="18"/>
      <c r="E147" s="8"/>
      <c r="F147" s="8"/>
      <c r="G147" s="8"/>
      <c r="H147" s="8"/>
      <c r="I147" s="76"/>
    </row>
    <row r="148">
      <c r="A148" s="8"/>
      <c r="B148" s="8"/>
      <c r="C148" s="18"/>
      <c r="D148" s="18"/>
      <c r="E148" s="8"/>
      <c r="F148" s="8"/>
      <c r="G148" s="8"/>
      <c r="H148" s="8"/>
      <c r="I148" s="76"/>
    </row>
    <row r="149">
      <c r="A149" s="8"/>
      <c r="B149" s="8"/>
      <c r="C149" s="18"/>
      <c r="D149" s="18"/>
      <c r="E149" s="8"/>
      <c r="F149" s="8"/>
      <c r="G149" s="8"/>
      <c r="H149" s="8"/>
      <c r="I149" s="76"/>
    </row>
    <row r="150">
      <c r="A150" s="8"/>
      <c r="B150" s="8"/>
      <c r="C150" s="18"/>
      <c r="D150" s="18"/>
      <c r="E150" s="8"/>
      <c r="F150" s="8"/>
      <c r="G150" s="8"/>
      <c r="H150" s="8"/>
      <c r="I150" s="76"/>
    </row>
    <row r="151">
      <c r="A151" s="8"/>
      <c r="B151" s="8"/>
      <c r="C151" s="18"/>
      <c r="D151" s="18"/>
      <c r="E151" s="8"/>
      <c r="F151" s="8"/>
      <c r="G151" s="8"/>
      <c r="H151" s="8"/>
      <c r="I151" s="76"/>
    </row>
    <row r="152">
      <c r="A152" s="8"/>
      <c r="B152" s="8"/>
      <c r="C152" s="18"/>
      <c r="D152" s="18"/>
      <c r="E152" s="8"/>
      <c r="F152" s="8"/>
      <c r="G152" s="8"/>
      <c r="H152" s="8"/>
      <c r="I152" s="76"/>
    </row>
    <row r="153">
      <c r="A153" s="8"/>
      <c r="B153" s="8"/>
      <c r="C153" s="18"/>
      <c r="D153" s="18"/>
      <c r="E153" s="8"/>
      <c r="F153" s="8"/>
      <c r="G153" s="8"/>
      <c r="H153" s="8"/>
      <c r="I153" s="76"/>
    </row>
    <row r="154">
      <c r="A154" s="8"/>
      <c r="B154" s="8"/>
      <c r="C154" s="18"/>
      <c r="D154" s="18"/>
      <c r="E154" s="8"/>
      <c r="F154" s="8"/>
      <c r="G154" s="8"/>
      <c r="H154" s="8"/>
      <c r="I154" s="76"/>
    </row>
    <row r="155">
      <c r="A155" s="8"/>
      <c r="B155" s="8"/>
      <c r="C155" s="18"/>
      <c r="D155" s="18"/>
      <c r="E155" s="8"/>
      <c r="F155" s="8"/>
      <c r="G155" s="8"/>
      <c r="H155" s="8"/>
      <c r="I155" s="76"/>
    </row>
    <row r="156">
      <c r="A156" s="8"/>
      <c r="B156" s="8"/>
      <c r="C156" s="18"/>
      <c r="D156" s="18"/>
      <c r="E156" s="8"/>
      <c r="F156" s="8"/>
      <c r="G156" s="8"/>
      <c r="H156" s="8"/>
      <c r="I156" s="76"/>
    </row>
    <row r="157">
      <c r="A157" s="8"/>
      <c r="B157" s="8"/>
      <c r="C157" s="18"/>
      <c r="D157" s="18"/>
      <c r="E157" s="8"/>
      <c r="F157" s="8"/>
      <c r="G157" s="8"/>
      <c r="H157" s="8"/>
      <c r="I157" s="76"/>
    </row>
    <row r="158">
      <c r="A158" s="8"/>
      <c r="B158" s="8"/>
      <c r="C158" s="18"/>
      <c r="D158" s="18"/>
      <c r="E158" s="8"/>
      <c r="F158" s="8"/>
      <c r="G158" s="8"/>
      <c r="H158" s="8"/>
      <c r="I158" s="76"/>
    </row>
    <row r="159">
      <c r="A159" s="8"/>
      <c r="B159" s="8"/>
      <c r="C159" s="18"/>
      <c r="D159" s="18"/>
      <c r="E159" s="8"/>
      <c r="F159" s="8"/>
      <c r="G159" s="8"/>
      <c r="H159" s="8"/>
      <c r="I159" s="76"/>
    </row>
    <row r="160">
      <c r="A160" s="8"/>
      <c r="B160" s="8"/>
      <c r="C160" s="18"/>
      <c r="D160" s="18"/>
      <c r="E160" s="8"/>
      <c r="F160" s="8"/>
      <c r="G160" s="8"/>
      <c r="H160" s="8"/>
      <c r="I160" s="76"/>
    </row>
    <row r="161">
      <c r="A161" s="8"/>
      <c r="B161" s="8"/>
      <c r="C161" s="18"/>
      <c r="D161" s="18"/>
      <c r="E161" s="8"/>
      <c r="F161" s="8"/>
      <c r="G161" s="8"/>
      <c r="H161" s="8"/>
      <c r="I161" s="76"/>
    </row>
    <row r="162">
      <c r="A162" s="8"/>
      <c r="B162" s="8"/>
      <c r="C162" s="18"/>
      <c r="D162" s="18"/>
      <c r="E162" s="8"/>
      <c r="F162" s="8"/>
      <c r="G162" s="8"/>
      <c r="H162" s="8"/>
      <c r="I162" s="76"/>
    </row>
    <row r="163">
      <c r="A163" s="8"/>
      <c r="B163" s="8"/>
      <c r="C163" s="18"/>
      <c r="D163" s="18"/>
      <c r="E163" s="8"/>
      <c r="F163" s="8"/>
      <c r="G163" s="8"/>
      <c r="H163" s="8"/>
      <c r="I163" s="76"/>
    </row>
    <row r="164">
      <c r="A164" s="8"/>
      <c r="B164" s="8"/>
      <c r="C164" s="18"/>
      <c r="D164" s="18"/>
      <c r="E164" s="8"/>
      <c r="F164" s="8"/>
      <c r="G164" s="8"/>
      <c r="H164" s="8"/>
      <c r="I164" s="76"/>
    </row>
    <row r="165">
      <c r="A165" s="8"/>
      <c r="B165" s="8"/>
      <c r="C165" s="18"/>
      <c r="D165" s="18"/>
      <c r="E165" s="8"/>
      <c r="F165" s="8"/>
      <c r="G165" s="8"/>
      <c r="H165" s="8"/>
      <c r="I165" s="76"/>
    </row>
    <row r="166">
      <c r="A166" s="8"/>
      <c r="B166" s="8"/>
      <c r="C166" s="18"/>
      <c r="D166" s="18"/>
      <c r="E166" s="8"/>
      <c r="F166" s="8"/>
      <c r="G166" s="8"/>
      <c r="H166" s="8"/>
      <c r="I166" s="76"/>
    </row>
    <row r="167">
      <c r="A167" s="8"/>
      <c r="B167" s="8"/>
      <c r="C167" s="18"/>
      <c r="D167" s="18"/>
      <c r="E167" s="8"/>
      <c r="F167" s="8"/>
      <c r="G167" s="8"/>
      <c r="H167" s="8"/>
      <c r="I167" s="76"/>
    </row>
    <row r="168">
      <c r="A168" s="8"/>
      <c r="B168" s="8"/>
      <c r="C168" s="18"/>
      <c r="D168" s="18"/>
      <c r="E168" s="8"/>
      <c r="F168" s="8"/>
      <c r="G168" s="8"/>
      <c r="H168" s="8"/>
      <c r="I168" s="76"/>
    </row>
    <row r="169">
      <c r="A169" s="8"/>
      <c r="B169" s="8"/>
      <c r="C169" s="18"/>
      <c r="D169" s="18"/>
      <c r="E169" s="8"/>
      <c r="F169" s="8"/>
      <c r="G169" s="8"/>
      <c r="H169" s="8"/>
      <c r="I169" s="76"/>
    </row>
    <row r="170">
      <c r="A170" s="8"/>
      <c r="B170" s="8"/>
      <c r="C170" s="18"/>
      <c r="D170" s="18"/>
      <c r="E170" s="8"/>
      <c r="F170" s="8"/>
      <c r="G170" s="8"/>
      <c r="H170" s="8"/>
      <c r="I170" s="76"/>
    </row>
    <row r="171">
      <c r="A171" s="8"/>
      <c r="B171" s="8"/>
      <c r="C171" s="18"/>
      <c r="D171" s="18"/>
      <c r="E171" s="8"/>
      <c r="F171" s="8"/>
      <c r="G171" s="8"/>
      <c r="H171" s="8"/>
      <c r="I171" s="76"/>
    </row>
    <row r="172">
      <c r="A172" s="8"/>
      <c r="B172" s="8"/>
      <c r="C172" s="18"/>
      <c r="D172" s="18"/>
      <c r="E172" s="8"/>
      <c r="F172" s="8"/>
      <c r="G172" s="8"/>
      <c r="H172" s="8"/>
      <c r="I172" s="76"/>
    </row>
    <row r="173">
      <c r="A173" s="8"/>
      <c r="B173" s="8"/>
      <c r="C173" s="18"/>
      <c r="D173" s="18"/>
      <c r="E173" s="8"/>
      <c r="F173" s="8"/>
      <c r="G173" s="8"/>
      <c r="H173" s="8"/>
      <c r="I173" s="76"/>
    </row>
    <row r="174">
      <c r="A174" s="8"/>
      <c r="B174" s="8"/>
      <c r="C174" s="18"/>
      <c r="D174" s="18"/>
      <c r="E174" s="8"/>
      <c r="F174" s="8"/>
      <c r="G174" s="8"/>
      <c r="H174" s="8"/>
      <c r="I174" s="76"/>
    </row>
    <row r="175">
      <c r="A175" s="8"/>
      <c r="B175" s="8"/>
      <c r="C175" s="18"/>
      <c r="D175" s="18"/>
      <c r="E175" s="8"/>
      <c r="F175" s="8"/>
      <c r="G175" s="8"/>
      <c r="H175" s="8"/>
      <c r="I175" s="76"/>
    </row>
    <row r="176">
      <c r="A176" s="8"/>
      <c r="B176" s="8"/>
      <c r="C176" s="18"/>
      <c r="D176" s="18"/>
      <c r="E176" s="8"/>
      <c r="F176" s="8"/>
      <c r="G176" s="8"/>
      <c r="H176" s="8"/>
      <c r="I176" s="76"/>
    </row>
    <row r="177">
      <c r="A177" s="8"/>
      <c r="B177" s="8"/>
      <c r="C177" s="18"/>
      <c r="D177" s="18"/>
      <c r="E177" s="8"/>
      <c r="F177" s="8"/>
      <c r="G177" s="8"/>
      <c r="H177" s="8"/>
      <c r="I177" s="76"/>
    </row>
    <row r="178">
      <c r="A178" s="8"/>
      <c r="B178" s="8"/>
      <c r="C178" s="18"/>
      <c r="D178" s="18"/>
      <c r="E178" s="8"/>
      <c r="F178" s="8"/>
      <c r="G178" s="8"/>
      <c r="H178" s="8"/>
      <c r="I178" s="76"/>
    </row>
    <row r="179">
      <c r="A179" s="8"/>
      <c r="B179" s="8"/>
      <c r="C179" s="18"/>
      <c r="D179" s="18"/>
      <c r="E179" s="8"/>
      <c r="F179" s="8"/>
      <c r="G179" s="8"/>
      <c r="H179" s="8"/>
      <c r="I179" s="76"/>
    </row>
    <row r="180">
      <c r="A180" s="8"/>
      <c r="B180" s="8"/>
      <c r="C180" s="18"/>
      <c r="D180" s="18"/>
      <c r="E180" s="8"/>
      <c r="F180" s="8"/>
      <c r="G180" s="8"/>
      <c r="H180" s="8"/>
      <c r="I180" s="76"/>
    </row>
    <row r="181">
      <c r="A181" s="8"/>
      <c r="B181" s="8"/>
      <c r="C181" s="18"/>
      <c r="D181" s="18"/>
      <c r="E181" s="8"/>
      <c r="F181" s="8"/>
      <c r="G181" s="8"/>
      <c r="H181" s="8"/>
      <c r="I181" s="76"/>
    </row>
    <row r="182">
      <c r="A182" s="8"/>
      <c r="B182" s="8"/>
      <c r="C182" s="18"/>
      <c r="D182" s="18"/>
      <c r="E182" s="8"/>
      <c r="F182" s="8"/>
      <c r="G182" s="8"/>
      <c r="H182" s="8"/>
      <c r="I182" s="76"/>
    </row>
    <row r="183">
      <c r="A183" s="8"/>
      <c r="B183" s="8"/>
      <c r="C183" s="18"/>
      <c r="D183" s="18"/>
      <c r="E183" s="8"/>
      <c r="F183" s="8"/>
      <c r="G183" s="8"/>
      <c r="H183" s="8"/>
      <c r="I183" s="76"/>
    </row>
    <row r="184">
      <c r="A184" s="8"/>
      <c r="B184" s="8"/>
      <c r="C184" s="18"/>
      <c r="D184" s="18"/>
      <c r="E184" s="8"/>
      <c r="F184" s="8"/>
      <c r="G184" s="8"/>
      <c r="H184" s="8"/>
      <c r="I184" s="76"/>
    </row>
    <row r="185">
      <c r="A185" s="8"/>
      <c r="B185" s="8"/>
      <c r="C185" s="18"/>
      <c r="D185" s="18"/>
      <c r="E185" s="8"/>
      <c r="F185" s="8"/>
      <c r="G185" s="8"/>
      <c r="H185" s="8"/>
      <c r="I185" s="76"/>
    </row>
    <row r="186">
      <c r="A186" s="8"/>
      <c r="B186" s="8"/>
      <c r="C186" s="18"/>
      <c r="D186" s="18"/>
      <c r="E186" s="8"/>
      <c r="F186" s="8"/>
      <c r="G186" s="8"/>
      <c r="H186" s="8"/>
      <c r="I186" s="76"/>
    </row>
    <row r="187">
      <c r="A187" s="8"/>
      <c r="B187" s="8"/>
      <c r="C187" s="18"/>
      <c r="D187" s="18"/>
      <c r="E187" s="8"/>
      <c r="F187" s="8"/>
      <c r="G187" s="8"/>
      <c r="H187" s="8"/>
      <c r="I187" s="76"/>
    </row>
    <row r="188">
      <c r="A188" s="8"/>
      <c r="B188" s="8"/>
      <c r="C188" s="18"/>
      <c r="D188" s="18"/>
      <c r="E188" s="8"/>
      <c r="F188" s="8"/>
      <c r="G188" s="8"/>
      <c r="H188" s="8"/>
      <c r="I188" s="76"/>
    </row>
    <row r="189">
      <c r="A189" s="8"/>
      <c r="B189" s="8"/>
      <c r="C189" s="18"/>
      <c r="D189" s="18"/>
      <c r="E189" s="8"/>
      <c r="F189" s="8"/>
      <c r="G189" s="8"/>
      <c r="H189" s="8"/>
      <c r="I189" s="76"/>
    </row>
    <row r="190">
      <c r="A190" s="8"/>
      <c r="B190" s="8"/>
      <c r="C190" s="18"/>
      <c r="D190" s="18"/>
      <c r="E190" s="8"/>
      <c r="F190" s="8"/>
      <c r="G190" s="8"/>
      <c r="H190" s="8"/>
      <c r="I190" s="76"/>
    </row>
    <row r="191">
      <c r="A191" s="8"/>
      <c r="B191" s="8"/>
      <c r="C191" s="18"/>
      <c r="D191" s="18"/>
      <c r="E191" s="8"/>
      <c r="F191" s="8"/>
      <c r="G191" s="8"/>
      <c r="H191" s="8"/>
      <c r="I191" s="76"/>
    </row>
    <row r="192">
      <c r="A192" s="8"/>
      <c r="B192" s="8"/>
      <c r="C192" s="18"/>
      <c r="D192" s="18"/>
      <c r="E192" s="8"/>
      <c r="F192" s="8"/>
      <c r="G192" s="8"/>
      <c r="H192" s="8"/>
      <c r="I192" s="76"/>
    </row>
    <row r="193">
      <c r="A193" s="8"/>
      <c r="B193" s="8"/>
      <c r="C193" s="18"/>
      <c r="D193" s="18"/>
      <c r="E193" s="8"/>
      <c r="F193" s="8"/>
      <c r="G193" s="8"/>
      <c r="H193" s="8"/>
      <c r="I193" s="76"/>
    </row>
    <row r="194">
      <c r="A194" s="8"/>
      <c r="B194" s="8"/>
      <c r="C194" s="18"/>
      <c r="D194" s="18"/>
      <c r="E194" s="8"/>
      <c r="F194" s="8"/>
      <c r="G194" s="8"/>
      <c r="H194" s="8"/>
      <c r="I194" s="76"/>
    </row>
    <row r="195">
      <c r="A195" s="8"/>
      <c r="B195" s="8"/>
      <c r="C195" s="18"/>
      <c r="D195" s="18"/>
      <c r="E195" s="8"/>
      <c r="F195" s="8"/>
      <c r="G195" s="8"/>
      <c r="H195" s="8"/>
      <c r="I195" s="76"/>
    </row>
    <row r="196">
      <c r="A196" s="8"/>
      <c r="B196" s="8"/>
      <c r="C196" s="18"/>
      <c r="D196" s="18"/>
      <c r="E196" s="8"/>
      <c r="F196" s="8"/>
      <c r="G196" s="8"/>
      <c r="H196" s="8"/>
      <c r="I196" s="76"/>
    </row>
    <row r="197">
      <c r="A197" s="8"/>
      <c r="B197" s="8"/>
      <c r="C197" s="18"/>
      <c r="D197" s="18"/>
      <c r="E197" s="8"/>
      <c r="F197" s="8"/>
      <c r="G197" s="8"/>
      <c r="H197" s="8"/>
      <c r="I197" s="76"/>
    </row>
    <row r="198">
      <c r="A198" s="8"/>
      <c r="B198" s="8"/>
      <c r="C198" s="18"/>
      <c r="D198" s="18"/>
      <c r="E198" s="8"/>
      <c r="F198" s="8"/>
      <c r="G198" s="8"/>
      <c r="H198" s="8"/>
      <c r="I198" s="76"/>
    </row>
    <row r="199">
      <c r="A199" s="8"/>
      <c r="B199" s="8"/>
      <c r="C199" s="18"/>
      <c r="D199" s="18"/>
      <c r="E199" s="8"/>
      <c r="F199" s="8"/>
      <c r="G199" s="8"/>
      <c r="H199" s="8"/>
      <c r="I199" s="76"/>
    </row>
    <row r="200">
      <c r="A200" s="8"/>
      <c r="B200" s="8"/>
      <c r="C200" s="18"/>
      <c r="D200" s="18"/>
      <c r="E200" s="8"/>
      <c r="F200" s="8"/>
      <c r="G200" s="8"/>
      <c r="H200" s="8"/>
      <c r="I200" s="76"/>
    </row>
    <row r="201">
      <c r="A201" s="8"/>
      <c r="B201" s="8"/>
      <c r="C201" s="18"/>
      <c r="D201" s="18"/>
      <c r="E201" s="8"/>
      <c r="F201" s="8"/>
      <c r="G201" s="8"/>
      <c r="H201" s="8"/>
      <c r="I201" s="76"/>
    </row>
    <row r="202">
      <c r="A202" s="8"/>
      <c r="B202" s="8"/>
      <c r="C202" s="18"/>
      <c r="D202" s="18"/>
      <c r="E202" s="8"/>
      <c r="F202" s="8"/>
      <c r="G202" s="8"/>
      <c r="H202" s="8"/>
      <c r="I202" s="76"/>
    </row>
    <row r="203">
      <c r="A203" s="8"/>
      <c r="B203" s="8"/>
      <c r="C203" s="18"/>
      <c r="D203" s="18"/>
      <c r="E203" s="8"/>
      <c r="F203" s="8"/>
      <c r="G203" s="8"/>
      <c r="H203" s="8"/>
      <c r="I203" s="76"/>
    </row>
    <row r="204">
      <c r="A204" s="8"/>
      <c r="B204" s="8"/>
      <c r="C204" s="18"/>
      <c r="D204" s="18"/>
      <c r="E204" s="8"/>
      <c r="F204" s="8"/>
      <c r="G204" s="8"/>
      <c r="H204" s="8"/>
      <c r="I204" s="76"/>
    </row>
    <row r="205">
      <c r="A205" s="8"/>
      <c r="B205" s="8"/>
      <c r="C205" s="18"/>
      <c r="D205" s="18"/>
      <c r="E205" s="8"/>
      <c r="F205" s="8"/>
      <c r="G205" s="8"/>
      <c r="H205" s="8"/>
      <c r="I205" s="76"/>
    </row>
    <row r="206">
      <c r="A206" s="8"/>
      <c r="B206" s="8"/>
      <c r="C206" s="18"/>
      <c r="D206" s="18"/>
      <c r="E206" s="8"/>
      <c r="F206" s="8"/>
      <c r="G206" s="8"/>
      <c r="H206" s="8"/>
      <c r="I206" s="76"/>
    </row>
    <row r="207">
      <c r="A207" s="8"/>
      <c r="B207" s="8"/>
      <c r="C207" s="18"/>
      <c r="D207" s="18"/>
      <c r="E207" s="8"/>
      <c r="F207" s="8"/>
      <c r="G207" s="8"/>
      <c r="H207" s="8"/>
      <c r="I207" s="76"/>
    </row>
    <row r="208">
      <c r="A208" s="8"/>
      <c r="B208" s="8"/>
      <c r="C208" s="18"/>
      <c r="D208" s="18"/>
      <c r="E208" s="8"/>
      <c r="F208" s="8"/>
      <c r="G208" s="8"/>
      <c r="H208" s="8"/>
      <c r="I208" s="76"/>
    </row>
    <row r="209">
      <c r="A209" s="8"/>
      <c r="B209" s="8"/>
      <c r="C209" s="18"/>
      <c r="D209" s="18"/>
      <c r="E209" s="8"/>
      <c r="F209" s="8"/>
      <c r="G209" s="8"/>
      <c r="H209" s="8"/>
      <c r="I209" s="76"/>
    </row>
    <row r="210">
      <c r="A210" s="8"/>
      <c r="B210" s="8"/>
      <c r="C210" s="18"/>
      <c r="D210" s="18"/>
      <c r="E210" s="8"/>
      <c r="F210" s="8"/>
      <c r="G210" s="8"/>
      <c r="H210" s="8"/>
      <c r="I210" s="76"/>
    </row>
    <row r="211">
      <c r="A211" s="8"/>
      <c r="B211" s="8"/>
      <c r="C211" s="18"/>
      <c r="D211" s="18"/>
      <c r="E211" s="8"/>
      <c r="F211" s="8"/>
      <c r="G211" s="8"/>
      <c r="H211" s="8"/>
      <c r="I211" s="76"/>
    </row>
    <row r="212">
      <c r="A212" s="8"/>
      <c r="B212" s="8"/>
      <c r="C212" s="18"/>
      <c r="D212" s="18"/>
      <c r="E212" s="8"/>
      <c r="F212" s="8"/>
      <c r="G212" s="8"/>
      <c r="H212" s="8"/>
      <c r="I212" s="76"/>
    </row>
    <row r="213">
      <c r="A213" s="8"/>
      <c r="B213" s="8"/>
      <c r="C213" s="18"/>
      <c r="D213" s="18"/>
      <c r="E213" s="8"/>
      <c r="F213" s="8"/>
      <c r="G213" s="8"/>
      <c r="H213" s="8"/>
      <c r="I213" s="76"/>
    </row>
    <row r="214">
      <c r="A214" s="8"/>
      <c r="B214" s="8"/>
      <c r="C214" s="18"/>
      <c r="D214" s="18"/>
      <c r="E214" s="8"/>
      <c r="F214" s="8"/>
      <c r="G214" s="8"/>
      <c r="H214" s="8"/>
      <c r="I214" s="76"/>
    </row>
    <row r="215">
      <c r="A215" s="8"/>
      <c r="B215" s="8"/>
      <c r="C215" s="18"/>
      <c r="D215" s="18"/>
      <c r="E215" s="8"/>
      <c r="F215" s="8"/>
      <c r="G215" s="8"/>
      <c r="H215" s="8"/>
      <c r="I215" s="76"/>
    </row>
    <row r="216">
      <c r="A216" s="8"/>
      <c r="B216" s="8"/>
      <c r="C216" s="18"/>
      <c r="D216" s="18"/>
      <c r="E216" s="8"/>
      <c r="F216" s="8"/>
      <c r="G216" s="8"/>
      <c r="H216" s="8"/>
      <c r="I216" s="76"/>
    </row>
    <row r="217">
      <c r="A217" s="8"/>
      <c r="B217" s="8"/>
      <c r="C217" s="18"/>
      <c r="D217" s="18"/>
      <c r="E217" s="8"/>
      <c r="F217" s="8"/>
      <c r="G217" s="8"/>
      <c r="H217" s="8"/>
      <c r="I217" s="76"/>
    </row>
    <row r="218">
      <c r="A218" s="8"/>
      <c r="B218" s="8"/>
      <c r="C218" s="18"/>
      <c r="D218" s="18"/>
      <c r="E218" s="8"/>
      <c r="F218" s="8"/>
      <c r="G218" s="8"/>
      <c r="H218" s="8"/>
      <c r="I218" s="76"/>
    </row>
    <row r="219">
      <c r="A219" s="8"/>
      <c r="B219" s="8"/>
      <c r="C219" s="18"/>
      <c r="D219" s="18"/>
      <c r="E219" s="8"/>
      <c r="F219" s="8"/>
      <c r="G219" s="8"/>
      <c r="H219" s="8"/>
      <c r="I219" s="76"/>
    </row>
    <row r="220">
      <c r="A220" s="8"/>
      <c r="B220" s="8"/>
      <c r="C220" s="18"/>
      <c r="D220" s="18"/>
      <c r="E220" s="8"/>
      <c r="F220" s="8"/>
      <c r="G220" s="8"/>
      <c r="H220" s="8"/>
      <c r="I220" s="76"/>
    </row>
    <row r="221">
      <c r="A221" s="8"/>
      <c r="B221" s="8"/>
      <c r="C221" s="18"/>
      <c r="D221" s="18"/>
      <c r="E221" s="8"/>
      <c r="F221" s="8"/>
      <c r="G221" s="8"/>
      <c r="H221" s="8"/>
      <c r="I221" s="76"/>
    </row>
    <row r="222">
      <c r="A222" s="8"/>
      <c r="B222" s="8"/>
      <c r="C222" s="18"/>
      <c r="D222" s="18"/>
      <c r="E222" s="8"/>
      <c r="F222" s="8"/>
      <c r="G222" s="8"/>
      <c r="H222" s="8"/>
      <c r="I222" s="76"/>
    </row>
    <row r="223">
      <c r="A223" s="8"/>
      <c r="B223" s="8"/>
      <c r="C223" s="18"/>
      <c r="D223" s="18"/>
      <c r="E223" s="8"/>
      <c r="F223" s="8"/>
      <c r="G223" s="8"/>
      <c r="H223" s="8"/>
      <c r="I223" s="76"/>
    </row>
    <row r="224">
      <c r="A224" s="8"/>
      <c r="B224" s="8"/>
      <c r="C224" s="18"/>
      <c r="D224" s="18"/>
      <c r="E224" s="8"/>
      <c r="F224" s="8"/>
      <c r="G224" s="8"/>
      <c r="H224" s="8"/>
      <c r="I224" s="76"/>
    </row>
    <row r="225">
      <c r="A225" s="8"/>
      <c r="B225" s="8"/>
      <c r="C225" s="18"/>
      <c r="D225" s="18"/>
      <c r="E225" s="8"/>
      <c r="F225" s="8"/>
      <c r="G225" s="8"/>
      <c r="H225" s="8"/>
      <c r="I225" s="76"/>
    </row>
    <row r="226">
      <c r="A226" s="8"/>
      <c r="B226" s="8"/>
      <c r="C226" s="18"/>
      <c r="D226" s="18"/>
      <c r="E226" s="8"/>
      <c r="F226" s="8"/>
      <c r="G226" s="8"/>
      <c r="H226" s="8"/>
      <c r="I226" s="76"/>
    </row>
    <row r="227">
      <c r="A227" s="8"/>
      <c r="B227" s="8"/>
      <c r="C227" s="18"/>
      <c r="D227" s="18"/>
      <c r="E227" s="8"/>
      <c r="F227" s="8"/>
      <c r="G227" s="8"/>
      <c r="H227" s="8"/>
      <c r="I227" s="76"/>
    </row>
    <row r="228">
      <c r="A228" s="8"/>
      <c r="B228" s="8"/>
      <c r="C228" s="18"/>
      <c r="D228" s="18"/>
      <c r="E228" s="8"/>
      <c r="F228" s="8"/>
      <c r="G228" s="8"/>
      <c r="H228" s="8"/>
      <c r="I228" s="76"/>
    </row>
    <row r="229">
      <c r="A229" s="8"/>
      <c r="B229" s="8"/>
      <c r="C229" s="18"/>
      <c r="D229" s="18"/>
      <c r="E229" s="8"/>
      <c r="F229" s="8"/>
      <c r="G229" s="8"/>
      <c r="H229" s="8"/>
      <c r="I229" s="76"/>
    </row>
    <row r="230">
      <c r="A230" s="8"/>
      <c r="B230" s="8"/>
      <c r="C230" s="18"/>
      <c r="D230" s="18"/>
      <c r="E230" s="8"/>
      <c r="F230" s="8"/>
      <c r="G230" s="8"/>
      <c r="H230" s="8"/>
      <c r="I230" s="76"/>
    </row>
    <row r="231">
      <c r="A231" s="8"/>
      <c r="B231" s="8"/>
      <c r="C231" s="18"/>
      <c r="D231" s="18"/>
      <c r="E231" s="8"/>
      <c r="F231" s="8"/>
      <c r="G231" s="8"/>
      <c r="H231" s="8"/>
      <c r="I231" s="76"/>
    </row>
    <row r="232">
      <c r="A232" s="8"/>
      <c r="B232" s="8"/>
      <c r="C232" s="18"/>
      <c r="D232" s="18"/>
      <c r="E232" s="8"/>
      <c r="F232" s="8"/>
      <c r="G232" s="8"/>
      <c r="H232" s="8"/>
      <c r="I232" s="76"/>
    </row>
    <row r="233">
      <c r="A233" s="8"/>
      <c r="B233" s="8"/>
      <c r="C233" s="18"/>
      <c r="D233" s="18"/>
      <c r="E233" s="8"/>
      <c r="F233" s="8"/>
      <c r="G233" s="8"/>
      <c r="H233" s="8"/>
      <c r="I233" s="76"/>
    </row>
    <row r="234">
      <c r="A234" s="8"/>
      <c r="B234" s="8"/>
      <c r="C234" s="18"/>
      <c r="D234" s="18"/>
      <c r="E234" s="8"/>
      <c r="F234" s="8"/>
      <c r="G234" s="8"/>
      <c r="H234" s="8"/>
      <c r="I234" s="76"/>
    </row>
    <row r="235">
      <c r="A235" s="8"/>
      <c r="B235" s="8"/>
      <c r="C235" s="18"/>
      <c r="D235" s="18"/>
      <c r="E235" s="8"/>
      <c r="F235" s="8"/>
      <c r="G235" s="8"/>
      <c r="H235" s="8"/>
      <c r="I235" s="76"/>
    </row>
    <row r="236">
      <c r="A236" s="8"/>
      <c r="B236" s="8"/>
      <c r="C236" s="18"/>
      <c r="D236" s="18"/>
      <c r="E236" s="8"/>
      <c r="F236" s="8"/>
      <c r="G236" s="8"/>
      <c r="H236" s="8"/>
      <c r="I236" s="76"/>
    </row>
    <row r="237">
      <c r="A237" s="8"/>
      <c r="B237" s="8"/>
      <c r="C237" s="18"/>
      <c r="D237" s="18"/>
      <c r="E237" s="8"/>
      <c r="F237" s="8"/>
      <c r="G237" s="8"/>
      <c r="H237" s="8"/>
      <c r="I237" s="76"/>
    </row>
    <row r="238">
      <c r="A238" s="8"/>
      <c r="B238" s="8"/>
      <c r="C238" s="18"/>
      <c r="D238" s="18"/>
      <c r="E238" s="8"/>
      <c r="F238" s="8"/>
      <c r="G238" s="8"/>
      <c r="H238" s="8"/>
      <c r="I238" s="76"/>
    </row>
    <row r="239">
      <c r="A239" s="8"/>
      <c r="B239" s="8"/>
      <c r="C239" s="18"/>
      <c r="D239" s="18"/>
      <c r="E239" s="8"/>
      <c r="F239" s="8"/>
      <c r="G239" s="8"/>
      <c r="H239" s="8"/>
      <c r="I239" s="76"/>
    </row>
    <row r="240">
      <c r="A240" s="8"/>
      <c r="B240" s="8"/>
      <c r="C240" s="18"/>
      <c r="D240" s="18"/>
      <c r="E240" s="8"/>
      <c r="F240" s="8"/>
      <c r="G240" s="8"/>
      <c r="H240" s="8"/>
      <c r="I240" s="76"/>
    </row>
    <row r="241">
      <c r="A241" s="8"/>
      <c r="B241" s="8"/>
      <c r="C241" s="18"/>
      <c r="D241" s="18"/>
      <c r="E241" s="8"/>
      <c r="F241" s="8"/>
      <c r="G241" s="8"/>
      <c r="H241" s="8"/>
      <c r="I241" s="76"/>
    </row>
    <row r="242">
      <c r="A242" s="8"/>
      <c r="B242" s="8"/>
      <c r="C242" s="18"/>
      <c r="D242" s="18"/>
      <c r="E242" s="8"/>
      <c r="F242" s="8"/>
      <c r="G242" s="8"/>
      <c r="H242" s="8"/>
      <c r="I242" s="76"/>
    </row>
    <row r="243">
      <c r="A243" s="8"/>
      <c r="B243" s="8"/>
      <c r="C243" s="18"/>
      <c r="D243" s="18"/>
      <c r="E243" s="8"/>
      <c r="F243" s="8"/>
      <c r="G243" s="8"/>
      <c r="H243" s="8"/>
      <c r="I243" s="76"/>
    </row>
    <row r="244">
      <c r="A244" s="8"/>
      <c r="B244" s="8"/>
      <c r="C244" s="18"/>
      <c r="D244" s="18"/>
      <c r="E244" s="8"/>
      <c r="F244" s="8"/>
      <c r="G244" s="8"/>
      <c r="H244" s="8"/>
      <c r="I244" s="76"/>
    </row>
    <row r="245">
      <c r="A245" s="8"/>
      <c r="B245" s="8"/>
      <c r="C245" s="18"/>
      <c r="D245" s="18"/>
      <c r="E245" s="8"/>
      <c r="F245" s="8"/>
      <c r="G245" s="8"/>
      <c r="H245" s="8"/>
      <c r="I245" s="76"/>
    </row>
    <row r="246">
      <c r="A246" s="8"/>
      <c r="B246" s="8"/>
      <c r="C246" s="18"/>
      <c r="D246" s="18"/>
      <c r="E246" s="8"/>
      <c r="F246" s="8"/>
      <c r="G246" s="8"/>
      <c r="H246" s="8"/>
      <c r="I246" s="76"/>
    </row>
    <row r="247">
      <c r="A247" s="8"/>
      <c r="B247" s="8"/>
      <c r="C247" s="18"/>
      <c r="D247" s="18"/>
      <c r="E247" s="8"/>
      <c r="F247" s="8"/>
      <c r="G247" s="8"/>
      <c r="H247" s="8"/>
      <c r="I247" s="76"/>
    </row>
    <row r="248">
      <c r="A248" s="8"/>
      <c r="B248" s="8"/>
      <c r="C248" s="18"/>
      <c r="D248" s="18"/>
      <c r="E248" s="8"/>
      <c r="F248" s="8"/>
      <c r="G248" s="8"/>
      <c r="H248" s="8"/>
      <c r="I248" s="76"/>
    </row>
    <row r="249">
      <c r="A249" s="8"/>
      <c r="B249" s="8"/>
      <c r="C249" s="18"/>
      <c r="D249" s="18"/>
      <c r="E249" s="8"/>
      <c r="F249" s="8"/>
      <c r="G249" s="8"/>
      <c r="H249" s="8"/>
      <c r="I249" s="76"/>
    </row>
    <row r="250">
      <c r="A250" s="8"/>
      <c r="B250" s="8"/>
      <c r="C250" s="18"/>
      <c r="D250" s="18"/>
      <c r="E250" s="8"/>
      <c r="F250" s="8"/>
      <c r="G250" s="8"/>
      <c r="H250" s="8"/>
      <c r="I250" s="76"/>
    </row>
    <row r="251">
      <c r="A251" s="8"/>
      <c r="B251" s="8"/>
      <c r="C251" s="18"/>
      <c r="D251" s="18"/>
      <c r="E251" s="8"/>
      <c r="F251" s="8"/>
      <c r="G251" s="8"/>
      <c r="H251" s="8"/>
      <c r="I251" s="76"/>
    </row>
    <row r="252">
      <c r="A252" s="8"/>
      <c r="B252" s="8"/>
      <c r="C252" s="18"/>
      <c r="D252" s="18"/>
      <c r="E252" s="8"/>
      <c r="F252" s="8"/>
      <c r="G252" s="8"/>
      <c r="H252" s="8"/>
      <c r="I252" s="76"/>
    </row>
    <row r="253">
      <c r="A253" s="8"/>
      <c r="B253" s="8"/>
      <c r="C253" s="18"/>
      <c r="D253" s="18"/>
      <c r="E253" s="8"/>
      <c r="F253" s="8"/>
      <c r="G253" s="8"/>
      <c r="H253" s="8"/>
      <c r="I253" s="76"/>
    </row>
    <row r="254">
      <c r="A254" s="8"/>
      <c r="B254" s="8"/>
      <c r="C254" s="18"/>
      <c r="D254" s="18"/>
      <c r="E254" s="8"/>
      <c r="F254" s="8"/>
      <c r="G254" s="8"/>
      <c r="H254" s="8"/>
      <c r="I254" s="76"/>
    </row>
    <row r="255">
      <c r="A255" s="8"/>
      <c r="B255" s="8"/>
      <c r="C255" s="18"/>
      <c r="D255" s="18"/>
      <c r="E255" s="8"/>
      <c r="F255" s="8"/>
      <c r="G255" s="8"/>
      <c r="H255" s="8"/>
      <c r="I255" s="76"/>
    </row>
    <row r="256">
      <c r="A256" s="8"/>
      <c r="B256" s="8"/>
      <c r="C256" s="18"/>
      <c r="D256" s="18"/>
      <c r="E256" s="8"/>
      <c r="F256" s="8"/>
      <c r="G256" s="8"/>
      <c r="H256" s="8"/>
      <c r="I256" s="76"/>
    </row>
    <row r="257">
      <c r="A257" s="8"/>
      <c r="B257" s="8"/>
      <c r="C257" s="18"/>
      <c r="D257" s="18"/>
      <c r="E257" s="8"/>
      <c r="F257" s="8"/>
      <c r="G257" s="8"/>
      <c r="H257" s="8"/>
      <c r="I257" s="76"/>
    </row>
    <row r="258">
      <c r="A258" s="8"/>
      <c r="B258" s="8"/>
      <c r="C258" s="18"/>
      <c r="D258" s="18"/>
      <c r="E258" s="8"/>
      <c r="F258" s="8"/>
      <c r="G258" s="8"/>
      <c r="H258" s="8"/>
      <c r="I258" s="76"/>
    </row>
    <row r="259">
      <c r="A259" s="8"/>
      <c r="B259" s="8"/>
      <c r="C259" s="18"/>
      <c r="D259" s="18"/>
      <c r="E259" s="8"/>
      <c r="F259" s="8"/>
      <c r="G259" s="8"/>
      <c r="H259" s="8"/>
      <c r="I259" s="76"/>
    </row>
    <row r="260">
      <c r="A260" s="8"/>
      <c r="B260" s="8"/>
      <c r="C260" s="18"/>
      <c r="D260" s="18"/>
      <c r="E260" s="8"/>
      <c r="F260" s="8"/>
      <c r="G260" s="8"/>
      <c r="H260" s="8"/>
      <c r="I260" s="76"/>
    </row>
    <row r="261">
      <c r="A261" s="8"/>
      <c r="B261" s="8"/>
      <c r="C261" s="18"/>
      <c r="D261" s="18"/>
      <c r="E261" s="8"/>
      <c r="F261" s="8"/>
      <c r="G261" s="8"/>
      <c r="H261" s="8"/>
      <c r="I261" s="76"/>
    </row>
    <row r="262">
      <c r="A262" s="8"/>
      <c r="B262" s="8"/>
      <c r="C262" s="18"/>
      <c r="D262" s="18"/>
      <c r="E262" s="8"/>
      <c r="F262" s="8"/>
      <c r="G262" s="8"/>
      <c r="H262" s="8"/>
      <c r="I262" s="76"/>
    </row>
    <row r="263">
      <c r="A263" s="8"/>
      <c r="B263" s="8"/>
      <c r="C263" s="18"/>
      <c r="D263" s="18"/>
      <c r="E263" s="8"/>
      <c r="F263" s="8"/>
      <c r="G263" s="8"/>
      <c r="H263" s="8"/>
      <c r="I263" s="76"/>
    </row>
    <row r="264">
      <c r="A264" s="8"/>
      <c r="B264" s="8"/>
      <c r="C264" s="18"/>
      <c r="D264" s="18"/>
      <c r="E264" s="8"/>
      <c r="F264" s="8"/>
      <c r="G264" s="8"/>
      <c r="H264" s="8"/>
      <c r="I264" s="76"/>
    </row>
    <row r="265">
      <c r="A265" s="8"/>
      <c r="B265" s="8"/>
      <c r="C265" s="18"/>
      <c r="D265" s="18"/>
      <c r="E265" s="8"/>
      <c r="F265" s="8"/>
      <c r="G265" s="8"/>
      <c r="H265" s="8"/>
      <c r="I265" s="76"/>
    </row>
    <row r="266">
      <c r="A266" s="8"/>
      <c r="B266" s="8"/>
      <c r="C266" s="18"/>
      <c r="D266" s="18"/>
      <c r="E266" s="8"/>
      <c r="F266" s="8"/>
      <c r="G266" s="8"/>
      <c r="H266" s="8"/>
      <c r="I266" s="76"/>
    </row>
    <row r="267">
      <c r="A267" s="8"/>
      <c r="B267" s="8"/>
      <c r="C267" s="18"/>
      <c r="D267" s="18"/>
      <c r="E267" s="8"/>
      <c r="F267" s="8"/>
      <c r="G267" s="8"/>
      <c r="H267" s="8"/>
      <c r="I267" s="76"/>
    </row>
    <row r="268">
      <c r="A268" s="8"/>
      <c r="B268" s="8"/>
      <c r="C268" s="18"/>
      <c r="D268" s="18"/>
      <c r="E268" s="8"/>
      <c r="F268" s="8"/>
      <c r="G268" s="8"/>
      <c r="H268" s="8"/>
      <c r="I268" s="76"/>
    </row>
    <row r="269">
      <c r="A269" s="8"/>
      <c r="B269" s="8"/>
      <c r="C269" s="18"/>
      <c r="D269" s="18"/>
      <c r="E269" s="8"/>
      <c r="F269" s="8"/>
      <c r="G269" s="8"/>
      <c r="H269" s="8"/>
      <c r="I269" s="76"/>
    </row>
    <row r="270">
      <c r="A270" s="8"/>
      <c r="B270" s="8"/>
      <c r="C270" s="18"/>
      <c r="D270" s="18"/>
      <c r="E270" s="8"/>
      <c r="F270" s="8"/>
      <c r="G270" s="8"/>
      <c r="H270" s="8"/>
      <c r="I270" s="76"/>
    </row>
    <row r="271">
      <c r="A271" s="8"/>
      <c r="B271" s="8"/>
      <c r="C271" s="18"/>
      <c r="D271" s="18"/>
      <c r="E271" s="8"/>
      <c r="F271" s="8"/>
      <c r="G271" s="8"/>
      <c r="H271" s="8"/>
      <c r="I271" s="76"/>
    </row>
    <row r="272">
      <c r="A272" s="8"/>
      <c r="B272" s="8"/>
      <c r="C272" s="18"/>
      <c r="D272" s="18"/>
      <c r="E272" s="8"/>
      <c r="F272" s="8"/>
      <c r="G272" s="8"/>
      <c r="H272" s="8"/>
      <c r="I272" s="76"/>
    </row>
    <row r="273">
      <c r="A273" s="8"/>
      <c r="B273" s="8"/>
      <c r="C273" s="18"/>
      <c r="D273" s="18"/>
      <c r="E273" s="8"/>
      <c r="F273" s="8"/>
      <c r="G273" s="8"/>
      <c r="H273" s="8"/>
      <c r="I273" s="76"/>
    </row>
    <row r="274">
      <c r="A274" s="8"/>
      <c r="B274" s="8"/>
      <c r="C274" s="18"/>
      <c r="D274" s="18"/>
      <c r="E274" s="8"/>
      <c r="F274" s="8"/>
      <c r="G274" s="8"/>
      <c r="H274" s="8"/>
      <c r="I274" s="76"/>
    </row>
    <row r="275">
      <c r="A275" s="8"/>
      <c r="B275" s="8"/>
      <c r="C275" s="18"/>
      <c r="D275" s="18"/>
      <c r="E275" s="8"/>
      <c r="F275" s="8"/>
      <c r="G275" s="8"/>
      <c r="H275" s="8"/>
      <c r="I275" s="76"/>
    </row>
    <row r="276">
      <c r="A276" s="8"/>
      <c r="B276" s="8"/>
      <c r="C276" s="18"/>
      <c r="D276" s="18"/>
      <c r="E276" s="8"/>
      <c r="F276" s="8"/>
      <c r="G276" s="8"/>
      <c r="H276" s="8"/>
      <c r="I276" s="76"/>
    </row>
    <row r="277">
      <c r="A277" s="8"/>
      <c r="B277" s="8"/>
      <c r="C277" s="18"/>
      <c r="D277" s="18"/>
      <c r="E277" s="8"/>
      <c r="F277" s="8"/>
      <c r="G277" s="8"/>
      <c r="H277" s="8"/>
      <c r="I277" s="76"/>
    </row>
    <row r="278">
      <c r="A278" s="8"/>
      <c r="B278" s="8"/>
      <c r="C278" s="18"/>
      <c r="D278" s="18"/>
      <c r="E278" s="8"/>
      <c r="F278" s="8"/>
      <c r="G278" s="8"/>
      <c r="H278" s="8"/>
      <c r="I278" s="76"/>
    </row>
    <row r="279">
      <c r="A279" s="8"/>
      <c r="B279" s="8"/>
      <c r="C279" s="18"/>
      <c r="D279" s="18"/>
      <c r="E279" s="8"/>
      <c r="F279" s="8"/>
      <c r="G279" s="8"/>
      <c r="H279" s="8"/>
      <c r="I279" s="76"/>
    </row>
    <row r="280">
      <c r="A280" s="8"/>
      <c r="B280" s="8"/>
      <c r="C280" s="18"/>
      <c r="D280" s="18"/>
      <c r="E280" s="8"/>
      <c r="F280" s="8"/>
      <c r="G280" s="8"/>
      <c r="H280" s="8"/>
      <c r="I280" s="76"/>
    </row>
    <row r="281">
      <c r="A281" s="8"/>
      <c r="B281" s="8"/>
      <c r="C281" s="18"/>
      <c r="D281" s="18"/>
      <c r="E281" s="8"/>
      <c r="F281" s="8"/>
      <c r="G281" s="8"/>
      <c r="H281" s="8"/>
      <c r="I281" s="76"/>
    </row>
    <row r="282">
      <c r="A282" s="8"/>
      <c r="B282" s="8"/>
      <c r="C282" s="18"/>
      <c r="D282" s="18"/>
      <c r="E282" s="8"/>
      <c r="F282" s="8"/>
      <c r="G282" s="8"/>
      <c r="H282" s="8"/>
      <c r="I282" s="76"/>
    </row>
    <row r="283">
      <c r="A283" s="8"/>
      <c r="B283" s="8"/>
      <c r="C283" s="18"/>
      <c r="D283" s="18"/>
      <c r="E283" s="8"/>
      <c r="F283" s="8"/>
      <c r="G283" s="8"/>
      <c r="H283" s="8"/>
      <c r="I283" s="76"/>
    </row>
    <row r="284">
      <c r="A284" s="8"/>
      <c r="B284" s="8"/>
      <c r="C284" s="18"/>
      <c r="D284" s="18"/>
      <c r="E284" s="8"/>
      <c r="F284" s="8"/>
      <c r="G284" s="8"/>
      <c r="H284" s="8"/>
      <c r="I284" s="76"/>
    </row>
    <row r="285">
      <c r="A285" s="8"/>
      <c r="B285" s="8"/>
      <c r="C285" s="18"/>
      <c r="D285" s="18"/>
      <c r="E285" s="8"/>
      <c r="F285" s="8"/>
      <c r="G285" s="8"/>
      <c r="H285" s="8"/>
      <c r="I285" s="76"/>
    </row>
    <row r="286">
      <c r="A286" s="8"/>
      <c r="B286" s="8"/>
      <c r="C286" s="18"/>
      <c r="D286" s="18"/>
      <c r="E286" s="8"/>
      <c r="F286" s="8"/>
      <c r="G286" s="8"/>
      <c r="H286" s="8"/>
      <c r="I286" s="76"/>
    </row>
    <row r="287">
      <c r="A287" s="8"/>
      <c r="B287" s="8"/>
      <c r="C287" s="18"/>
      <c r="D287" s="18"/>
      <c r="E287" s="8"/>
      <c r="F287" s="8"/>
      <c r="G287" s="8"/>
      <c r="H287" s="8"/>
      <c r="I287" s="76"/>
    </row>
    <row r="288">
      <c r="A288" s="8"/>
      <c r="B288" s="8"/>
      <c r="C288" s="18"/>
      <c r="D288" s="18"/>
      <c r="E288" s="8"/>
      <c r="F288" s="8"/>
      <c r="G288" s="8"/>
      <c r="H288" s="8"/>
      <c r="I288" s="76"/>
    </row>
    <row r="289">
      <c r="A289" s="8"/>
      <c r="B289" s="8"/>
      <c r="C289" s="18"/>
      <c r="D289" s="18"/>
      <c r="E289" s="8"/>
      <c r="F289" s="8"/>
      <c r="G289" s="8"/>
      <c r="H289" s="8"/>
      <c r="I289" s="76"/>
    </row>
    <row r="290">
      <c r="A290" s="8"/>
      <c r="B290" s="8"/>
      <c r="C290" s="18"/>
      <c r="D290" s="18"/>
      <c r="E290" s="8"/>
      <c r="F290" s="8"/>
      <c r="G290" s="8"/>
      <c r="H290" s="8"/>
      <c r="I290" s="76"/>
    </row>
    <row r="291">
      <c r="A291" s="8"/>
      <c r="B291" s="8"/>
      <c r="C291" s="18"/>
      <c r="D291" s="18"/>
      <c r="E291" s="8"/>
      <c r="F291" s="8"/>
      <c r="G291" s="8"/>
      <c r="H291" s="8"/>
      <c r="I291" s="76"/>
    </row>
    <row r="292">
      <c r="A292" s="8"/>
      <c r="B292" s="8"/>
      <c r="C292" s="18"/>
      <c r="D292" s="18"/>
      <c r="E292" s="8"/>
      <c r="F292" s="8"/>
      <c r="G292" s="8"/>
      <c r="H292" s="8"/>
      <c r="I292" s="76"/>
    </row>
    <row r="293">
      <c r="A293" s="8"/>
      <c r="B293" s="8"/>
      <c r="C293" s="18"/>
      <c r="D293" s="18"/>
      <c r="E293" s="8"/>
      <c r="F293" s="8"/>
      <c r="G293" s="8"/>
      <c r="H293" s="8"/>
      <c r="I293" s="76"/>
    </row>
    <row r="294">
      <c r="A294" s="8"/>
      <c r="B294" s="8"/>
      <c r="C294" s="18"/>
      <c r="D294" s="18"/>
      <c r="E294" s="8"/>
      <c r="F294" s="8"/>
      <c r="G294" s="8"/>
      <c r="H294" s="8"/>
      <c r="I294" s="76"/>
    </row>
    <row r="295">
      <c r="A295" s="8"/>
      <c r="B295" s="8"/>
      <c r="C295" s="18"/>
      <c r="D295" s="18"/>
      <c r="E295" s="8"/>
      <c r="F295" s="8"/>
      <c r="G295" s="8"/>
      <c r="H295" s="8"/>
      <c r="I295" s="76"/>
    </row>
    <row r="296">
      <c r="A296" s="8"/>
      <c r="B296" s="8"/>
      <c r="C296" s="18"/>
      <c r="D296" s="18"/>
      <c r="E296" s="8"/>
      <c r="F296" s="8"/>
      <c r="G296" s="8"/>
      <c r="H296" s="8"/>
      <c r="I296" s="76"/>
    </row>
    <row r="297">
      <c r="A297" s="8"/>
      <c r="B297" s="8"/>
      <c r="C297" s="18"/>
      <c r="D297" s="18"/>
      <c r="E297" s="8"/>
      <c r="F297" s="8"/>
      <c r="G297" s="8"/>
      <c r="H297" s="8"/>
      <c r="I297" s="76"/>
    </row>
    <row r="298">
      <c r="A298" s="8"/>
      <c r="B298" s="8"/>
      <c r="C298" s="18"/>
      <c r="D298" s="18"/>
      <c r="E298" s="8"/>
      <c r="F298" s="8"/>
      <c r="G298" s="8"/>
      <c r="H298" s="8"/>
      <c r="I298" s="76"/>
    </row>
    <row r="299">
      <c r="A299" s="8"/>
      <c r="B299" s="8"/>
      <c r="C299" s="18"/>
      <c r="D299" s="18"/>
      <c r="E299" s="8"/>
      <c r="F299" s="8"/>
      <c r="G299" s="8"/>
      <c r="H299" s="8"/>
      <c r="I299" s="76"/>
    </row>
    <row r="300">
      <c r="A300" s="8"/>
      <c r="B300" s="8"/>
      <c r="C300" s="18"/>
      <c r="D300" s="18"/>
      <c r="E300" s="8"/>
      <c r="F300" s="8"/>
      <c r="G300" s="8"/>
      <c r="H300" s="8"/>
      <c r="I300" s="76"/>
    </row>
    <row r="301">
      <c r="A301" s="8"/>
      <c r="B301" s="8"/>
      <c r="C301" s="18"/>
      <c r="D301" s="18"/>
      <c r="E301" s="8"/>
      <c r="F301" s="8"/>
      <c r="G301" s="8"/>
      <c r="H301" s="8"/>
      <c r="I301" s="76"/>
    </row>
    <row r="302">
      <c r="A302" s="8"/>
      <c r="B302" s="8"/>
      <c r="C302" s="18"/>
      <c r="D302" s="18"/>
      <c r="E302" s="8"/>
      <c r="F302" s="8"/>
      <c r="G302" s="8"/>
      <c r="H302" s="8"/>
      <c r="I302" s="76"/>
    </row>
    <row r="303">
      <c r="A303" s="8"/>
      <c r="B303" s="8"/>
      <c r="C303" s="18"/>
      <c r="D303" s="18"/>
      <c r="E303" s="8"/>
      <c r="F303" s="8"/>
      <c r="G303" s="8"/>
      <c r="H303" s="8"/>
      <c r="I303" s="76"/>
    </row>
    <row r="304">
      <c r="A304" s="8"/>
      <c r="B304" s="8"/>
      <c r="C304" s="18"/>
      <c r="D304" s="18"/>
      <c r="E304" s="8"/>
      <c r="F304" s="8"/>
      <c r="G304" s="8"/>
      <c r="H304" s="8"/>
      <c r="I304" s="76"/>
    </row>
    <row r="305">
      <c r="A305" s="8"/>
      <c r="B305" s="8"/>
      <c r="C305" s="18"/>
      <c r="D305" s="18"/>
      <c r="E305" s="8"/>
      <c r="F305" s="8"/>
      <c r="G305" s="8"/>
      <c r="H305" s="8"/>
      <c r="I305" s="76"/>
    </row>
    <row r="306">
      <c r="A306" s="8"/>
      <c r="B306" s="8"/>
      <c r="C306" s="18"/>
      <c r="D306" s="18"/>
      <c r="E306" s="8"/>
      <c r="F306" s="8"/>
      <c r="G306" s="8"/>
      <c r="H306" s="8"/>
      <c r="I306" s="76"/>
    </row>
    <row r="307">
      <c r="A307" s="8"/>
      <c r="B307" s="8"/>
      <c r="C307" s="18"/>
      <c r="D307" s="18"/>
      <c r="E307" s="8"/>
      <c r="F307" s="8"/>
      <c r="G307" s="8"/>
      <c r="H307" s="8"/>
      <c r="I307" s="76"/>
    </row>
    <row r="308">
      <c r="A308" s="8"/>
      <c r="B308" s="8"/>
      <c r="C308" s="18"/>
      <c r="D308" s="18"/>
      <c r="E308" s="8"/>
      <c r="F308" s="8"/>
      <c r="G308" s="8"/>
      <c r="H308" s="8"/>
      <c r="I308" s="76"/>
    </row>
    <row r="309">
      <c r="A309" s="8"/>
      <c r="B309" s="8"/>
      <c r="C309" s="18"/>
      <c r="D309" s="18"/>
      <c r="E309" s="8"/>
      <c r="F309" s="8"/>
      <c r="G309" s="8"/>
      <c r="H309" s="8"/>
      <c r="I309" s="76"/>
    </row>
    <row r="310">
      <c r="A310" s="8"/>
      <c r="B310" s="8"/>
      <c r="C310" s="18"/>
      <c r="D310" s="18"/>
      <c r="E310" s="8"/>
      <c r="F310" s="8"/>
      <c r="G310" s="8"/>
      <c r="H310" s="8"/>
      <c r="I310" s="76"/>
    </row>
    <row r="311">
      <c r="A311" s="8"/>
      <c r="B311" s="8"/>
      <c r="C311" s="18"/>
      <c r="D311" s="18"/>
      <c r="E311" s="8"/>
      <c r="F311" s="8"/>
      <c r="G311" s="8"/>
      <c r="H311" s="8"/>
      <c r="I311" s="76"/>
    </row>
    <row r="312">
      <c r="A312" s="8"/>
      <c r="B312" s="8"/>
      <c r="C312" s="18"/>
      <c r="D312" s="18"/>
      <c r="E312" s="8"/>
      <c r="F312" s="8"/>
      <c r="G312" s="8"/>
      <c r="H312" s="8"/>
      <c r="I312" s="76"/>
    </row>
    <row r="313">
      <c r="A313" s="8"/>
      <c r="B313" s="8"/>
      <c r="C313" s="18"/>
      <c r="D313" s="18"/>
      <c r="E313" s="8"/>
      <c r="F313" s="8"/>
      <c r="G313" s="8"/>
      <c r="H313" s="8"/>
      <c r="I313" s="76"/>
    </row>
    <row r="314">
      <c r="A314" s="8"/>
      <c r="B314" s="8"/>
      <c r="C314" s="18"/>
      <c r="D314" s="18"/>
      <c r="E314" s="8"/>
      <c r="F314" s="8"/>
      <c r="G314" s="8"/>
      <c r="H314" s="8"/>
      <c r="I314" s="76"/>
    </row>
    <row r="315">
      <c r="A315" s="8"/>
      <c r="B315" s="8"/>
      <c r="C315" s="18"/>
      <c r="D315" s="18"/>
      <c r="E315" s="8"/>
      <c r="F315" s="8"/>
      <c r="G315" s="8"/>
      <c r="H315" s="8"/>
      <c r="I315" s="76"/>
    </row>
    <row r="316">
      <c r="A316" s="8"/>
      <c r="B316" s="8"/>
      <c r="C316" s="18"/>
      <c r="D316" s="18"/>
      <c r="E316" s="8"/>
      <c r="F316" s="8"/>
      <c r="G316" s="8"/>
      <c r="H316" s="8"/>
      <c r="I316" s="76"/>
    </row>
    <row r="317">
      <c r="A317" s="8"/>
      <c r="B317" s="8"/>
      <c r="C317" s="18"/>
      <c r="D317" s="18"/>
      <c r="E317" s="8"/>
      <c r="F317" s="8"/>
      <c r="G317" s="8"/>
      <c r="H317" s="8"/>
      <c r="I317" s="76"/>
    </row>
    <row r="318">
      <c r="A318" s="8"/>
      <c r="B318" s="8"/>
      <c r="C318" s="18"/>
      <c r="D318" s="18"/>
      <c r="E318" s="8"/>
      <c r="F318" s="8"/>
      <c r="G318" s="8"/>
      <c r="H318" s="8"/>
      <c r="I318" s="76"/>
    </row>
    <row r="319">
      <c r="A319" s="8"/>
      <c r="B319" s="8"/>
      <c r="C319" s="18"/>
      <c r="D319" s="18"/>
      <c r="E319" s="8"/>
      <c r="F319" s="8"/>
      <c r="G319" s="8"/>
      <c r="H319" s="8"/>
      <c r="I319" s="76"/>
    </row>
    <row r="320">
      <c r="A320" s="8"/>
      <c r="B320" s="8"/>
      <c r="C320" s="18"/>
      <c r="D320" s="18"/>
      <c r="E320" s="8"/>
      <c r="F320" s="8"/>
      <c r="G320" s="8"/>
      <c r="H320" s="8"/>
      <c r="I320" s="76"/>
    </row>
    <row r="321">
      <c r="A321" s="8"/>
      <c r="B321" s="8"/>
      <c r="C321" s="18"/>
      <c r="D321" s="18"/>
      <c r="E321" s="8"/>
      <c r="F321" s="8"/>
      <c r="G321" s="8"/>
      <c r="H321" s="8"/>
      <c r="I321" s="76"/>
    </row>
    <row r="322">
      <c r="A322" s="8"/>
      <c r="B322" s="8"/>
      <c r="C322" s="18"/>
      <c r="D322" s="18"/>
      <c r="E322" s="8"/>
      <c r="F322" s="8"/>
      <c r="G322" s="8"/>
      <c r="H322" s="8"/>
      <c r="I322" s="76"/>
    </row>
    <row r="323">
      <c r="A323" s="8"/>
      <c r="B323" s="8"/>
      <c r="C323" s="18"/>
      <c r="D323" s="18"/>
      <c r="E323" s="8"/>
      <c r="F323" s="8"/>
      <c r="G323" s="8"/>
      <c r="H323" s="8"/>
      <c r="I323" s="76"/>
    </row>
    <row r="324">
      <c r="A324" s="8"/>
      <c r="B324" s="8"/>
      <c r="C324" s="18"/>
      <c r="D324" s="18"/>
      <c r="E324" s="8"/>
      <c r="F324" s="8"/>
      <c r="G324" s="8"/>
      <c r="H324" s="8"/>
      <c r="I324" s="76"/>
    </row>
    <row r="325">
      <c r="A325" s="8"/>
      <c r="B325" s="8"/>
      <c r="C325" s="18"/>
      <c r="D325" s="18"/>
      <c r="E325" s="8"/>
      <c r="F325" s="8"/>
      <c r="G325" s="8"/>
      <c r="H325" s="8"/>
      <c r="I325" s="76"/>
    </row>
    <row r="326">
      <c r="A326" s="8"/>
      <c r="B326" s="8"/>
      <c r="C326" s="18"/>
      <c r="D326" s="18"/>
      <c r="E326" s="8"/>
      <c r="F326" s="8"/>
      <c r="G326" s="8"/>
      <c r="H326" s="8"/>
      <c r="I326" s="76"/>
    </row>
    <row r="327">
      <c r="A327" s="8"/>
      <c r="B327" s="8"/>
      <c r="C327" s="18"/>
      <c r="D327" s="18"/>
      <c r="E327" s="8"/>
      <c r="F327" s="8"/>
      <c r="G327" s="8"/>
      <c r="H327" s="8"/>
      <c r="I327" s="76"/>
    </row>
    <row r="328">
      <c r="A328" s="8"/>
      <c r="B328" s="8"/>
      <c r="C328" s="18"/>
      <c r="D328" s="18"/>
      <c r="E328" s="8"/>
      <c r="F328" s="8"/>
      <c r="G328" s="8"/>
      <c r="H328" s="8"/>
      <c r="I328" s="76"/>
    </row>
    <row r="329">
      <c r="A329" s="8"/>
      <c r="B329" s="8"/>
      <c r="C329" s="18"/>
      <c r="D329" s="18"/>
      <c r="E329" s="8"/>
      <c r="F329" s="8"/>
      <c r="G329" s="8"/>
      <c r="H329" s="8"/>
      <c r="I329" s="76"/>
    </row>
    <row r="330">
      <c r="A330" s="8"/>
      <c r="B330" s="8"/>
      <c r="C330" s="18"/>
      <c r="D330" s="18"/>
      <c r="E330" s="8"/>
      <c r="F330" s="8"/>
      <c r="G330" s="8"/>
      <c r="H330" s="8"/>
      <c r="I330" s="76"/>
    </row>
    <row r="331">
      <c r="A331" s="8"/>
      <c r="B331" s="8"/>
      <c r="C331" s="18"/>
      <c r="D331" s="18"/>
      <c r="E331" s="8"/>
      <c r="F331" s="8"/>
      <c r="G331" s="8"/>
      <c r="H331" s="8"/>
      <c r="I331" s="76"/>
    </row>
    <row r="332">
      <c r="A332" s="8"/>
      <c r="B332" s="8"/>
      <c r="C332" s="18"/>
      <c r="D332" s="18"/>
      <c r="E332" s="8"/>
      <c r="F332" s="8"/>
      <c r="G332" s="8"/>
      <c r="H332" s="8"/>
      <c r="I332" s="76"/>
    </row>
    <row r="333">
      <c r="A333" s="8"/>
      <c r="B333" s="8"/>
      <c r="C333" s="18"/>
      <c r="D333" s="18"/>
      <c r="E333" s="8"/>
      <c r="F333" s="8"/>
      <c r="G333" s="8"/>
      <c r="H333" s="8"/>
      <c r="I333" s="76"/>
    </row>
    <row r="334">
      <c r="A334" s="8"/>
      <c r="B334" s="8"/>
      <c r="C334" s="18"/>
      <c r="D334" s="18"/>
      <c r="E334" s="8"/>
      <c r="F334" s="8"/>
      <c r="G334" s="8"/>
      <c r="H334" s="8"/>
      <c r="I334" s="76"/>
    </row>
    <row r="335">
      <c r="A335" s="8"/>
      <c r="B335" s="8"/>
      <c r="C335" s="18"/>
      <c r="D335" s="18"/>
      <c r="E335" s="8"/>
      <c r="F335" s="8"/>
      <c r="G335" s="8"/>
      <c r="H335" s="8"/>
      <c r="I335" s="76"/>
    </row>
    <row r="336">
      <c r="A336" s="8"/>
      <c r="B336" s="8"/>
      <c r="C336" s="18"/>
      <c r="D336" s="18"/>
      <c r="E336" s="8"/>
      <c r="F336" s="8"/>
      <c r="G336" s="8"/>
      <c r="H336" s="8"/>
      <c r="I336" s="76"/>
    </row>
    <row r="337">
      <c r="A337" s="8"/>
      <c r="B337" s="8"/>
      <c r="C337" s="18"/>
      <c r="D337" s="18"/>
      <c r="E337" s="8"/>
      <c r="F337" s="8"/>
      <c r="G337" s="8"/>
      <c r="H337" s="8"/>
      <c r="I337" s="76"/>
    </row>
    <row r="338">
      <c r="A338" s="8"/>
      <c r="B338" s="8"/>
      <c r="C338" s="18"/>
      <c r="D338" s="18"/>
      <c r="E338" s="8"/>
      <c r="F338" s="8"/>
      <c r="G338" s="8"/>
      <c r="H338" s="8"/>
      <c r="I338" s="76"/>
    </row>
    <row r="339">
      <c r="A339" s="8"/>
      <c r="B339" s="8"/>
      <c r="C339" s="18"/>
      <c r="D339" s="18"/>
      <c r="E339" s="8"/>
      <c r="F339" s="8"/>
      <c r="G339" s="8"/>
      <c r="H339" s="8"/>
      <c r="I339" s="76"/>
    </row>
    <row r="340">
      <c r="A340" s="8"/>
      <c r="B340" s="8"/>
      <c r="C340" s="18"/>
      <c r="D340" s="18"/>
      <c r="E340" s="8"/>
      <c r="F340" s="8"/>
      <c r="G340" s="8"/>
      <c r="H340" s="8"/>
      <c r="I340" s="76"/>
    </row>
    <row r="341">
      <c r="A341" s="8"/>
      <c r="B341" s="8"/>
      <c r="C341" s="18"/>
      <c r="D341" s="18"/>
      <c r="E341" s="8"/>
      <c r="F341" s="8"/>
      <c r="G341" s="8"/>
      <c r="H341" s="8"/>
      <c r="I341" s="76"/>
    </row>
    <row r="342">
      <c r="A342" s="8"/>
      <c r="B342" s="8"/>
      <c r="C342" s="18"/>
      <c r="D342" s="18"/>
      <c r="E342" s="8"/>
      <c r="F342" s="8"/>
      <c r="G342" s="8"/>
      <c r="H342" s="8"/>
      <c r="I342" s="76"/>
    </row>
    <row r="343">
      <c r="A343" s="8"/>
      <c r="B343" s="8"/>
      <c r="C343" s="18"/>
      <c r="D343" s="18"/>
      <c r="E343" s="8"/>
      <c r="F343" s="8"/>
      <c r="G343" s="8"/>
      <c r="H343" s="8"/>
      <c r="I343" s="76"/>
    </row>
    <row r="344">
      <c r="A344" s="8"/>
      <c r="B344" s="8"/>
      <c r="C344" s="18"/>
      <c r="D344" s="18"/>
      <c r="E344" s="8"/>
      <c r="F344" s="8"/>
      <c r="G344" s="8"/>
      <c r="H344" s="8"/>
      <c r="I344" s="76"/>
    </row>
    <row r="345">
      <c r="A345" s="8"/>
      <c r="B345" s="8"/>
      <c r="C345" s="18"/>
      <c r="D345" s="18"/>
      <c r="E345" s="8"/>
      <c r="F345" s="8"/>
      <c r="G345" s="8"/>
      <c r="H345" s="8"/>
      <c r="I345" s="76"/>
    </row>
    <row r="346">
      <c r="A346" s="8"/>
      <c r="B346" s="8"/>
      <c r="C346" s="18"/>
      <c r="D346" s="18"/>
      <c r="E346" s="8"/>
      <c r="F346" s="8"/>
      <c r="G346" s="8"/>
      <c r="H346" s="8"/>
      <c r="I346" s="76"/>
    </row>
    <row r="347">
      <c r="A347" s="8"/>
      <c r="B347" s="8"/>
      <c r="C347" s="18"/>
      <c r="D347" s="18"/>
      <c r="E347" s="8"/>
      <c r="F347" s="8"/>
      <c r="G347" s="8"/>
      <c r="H347" s="8"/>
      <c r="I347" s="76"/>
    </row>
    <row r="348">
      <c r="A348" s="8"/>
      <c r="B348" s="8"/>
      <c r="C348" s="18"/>
      <c r="D348" s="18"/>
      <c r="E348" s="8"/>
      <c r="F348" s="8"/>
      <c r="G348" s="8"/>
      <c r="H348" s="8"/>
      <c r="I348" s="76"/>
    </row>
    <row r="349">
      <c r="A349" s="8"/>
      <c r="B349" s="8"/>
      <c r="C349" s="18"/>
      <c r="D349" s="18"/>
      <c r="E349" s="8"/>
      <c r="F349" s="8"/>
      <c r="G349" s="8"/>
      <c r="H349" s="8"/>
      <c r="I349" s="76"/>
    </row>
    <row r="350">
      <c r="A350" s="8"/>
      <c r="B350" s="8"/>
      <c r="C350" s="18"/>
      <c r="D350" s="18"/>
      <c r="E350" s="8"/>
      <c r="F350" s="8"/>
      <c r="G350" s="8"/>
      <c r="H350" s="8"/>
      <c r="I350" s="76"/>
    </row>
    <row r="351">
      <c r="A351" s="8"/>
      <c r="B351" s="8"/>
      <c r="C351" s="18"/>
      <c r="D351" s="18"/>
      <c r="E351" s="8"/>
      <c r="F351" s="8"/>
      <c r="G351" s="8"/>
      <c r="H351" s="8"/>
      <c r="I351" s="76"/>
    </row>
    <row r="352">
      <c r="A352" s="8"/>
      <c r="B352" s="8"/>
      <c r="C352" s="18"/>
      <c r="D352" s="18"/>
      <c r="E352" s="8"/>
      <c r="F352" s="8"/>
      <c r="G352" s="8"/>
      <c r="H352" s="8"/>
      <c r="I352" s="76"/>
    </row>
    <row r="353">
      <c r="A353" s="8"/>
      <c r="B353" s="8"/>
      <c r="C353" s="18"/>
      <c r="D353" s="18"/>
      <c r="E353" s="8"/>
      <c r="F353" s="8"/>
      <c r="G353" s="8"/>
      <c r="H353" s="8"/>
      <c r="I353" s="76"/>
    </row>
    <row r="354">
      <c r="A354" s="8"/>
      <c r="B354" s="8"/>
      <c r="C354" s="18"/>
      <c r="D354" s="18"/>
      <c r="E354" s="8"/>
      <c r="F354" s="8"/>
      <c r="G354" s="8"/>
      <c r="H354" s="8"/>
      <c r="I354" s="76"/>
    </row>
    <row r="355">
      <c r="A355" s="8"/>
      <c r="B355" s="8"/>
      <c r="C355" s="18"/>
      <c r="D355" s="18"/>
      <c r="E355" s="8"/>
      <c r="F355" s="8"/>
      <c r="G355" s="8"/>
      <c r="H355" s="8"/>
      <c r="I355" s="76"/>
    </row>
    <row r="356">
      <c r="A356" s="8"/>
      <c r="B356" s="8"/>
      <c r="C356" s="18"/>
      <c r="D356" s="18"/>
      <c r="E356" s="8"/>
      <c r="F356" s="8"/>
      <c r="G356" s="8"/>
      <c r="H356" s="8"/>
      <c r="I356" s="76"/>
    </row>
    <row r="357">
      <c r="A357" s="8"/>
      <c r="B357" s="8"/>
      <c r="C357" s="18"/>
      <c r="D357" s="18"/>
      <c r="E357" s="8"/>
      <c r="F357" s="8"/>
      <c r="G357" s="8"/>
      <c r="H357" s="8"/>
      <c r="I357" s="76"/>
    </row>
    <row r="358">
      <c r="A358" s="8"/>
      <c r="B358" s="8"/>
      <c r="C358" s="18"/>
      <c r="D358" s="18"/>
      <c r="E358" s="8"/>
      <c r="F358" s="8"/>
      <c r="G358" s="8"/>
      <c r="H358" s="8"/>
      <c r="I358" s="76"/>
    </row>
    <row r="359">
      <c r="A359" s="8"/>
      <c r="B359" s="8"/>
      <c r="C359" s="18"/>
      <c r="D359" s="18"/>
      <c r="E359" s="8"/>
      <c r="F359" s="8"/>
      <c r="G359" s="8"/>
      <c r="H359" s="8"/>
      <c r="I359" s="76"/>
    </row>
    <row r="360">
      <c r="A360" s="8"/>
      <c r="B360" s="8"/>
      <c r="C360" s="18"/>
      <c r="D360" s="18"/>
      <c r="E360" s="8"/>
      <c r="F360" s="8"/>
      <c r="G360" s="8"/>
      <c r="H360" s="8"/>
      <c r="I360" s="76"/>
    </row>
    <row r="361">
      <c r="A361" s="8"/>
      <c r="B361" s="8"/>
      <c r="C361" s="18"/>
      <c r="D361" s="18"/>
      <c r="E361" s="8"/>
      <c r="F361" s="8"/>
      <c r="G361" s="8"/>
      <c r="H361" s="8"/>
      <c r="I361" s="76"/>
    </row>
    <row r="362">
      <c r="A362" s="8"/>
      <c r="B362" s="8"/>
      <c r="C362" s="18"/>
      <c r="D362" s="18"/>
      <c r="E362" s="8"/>
      <c r="F362" s="8"/>
      <c r="G362" s="8"/>
      <c r="H362" s="8"/>
      <c r="I362" s="76"/>
    </row>
    <row r="363">
      <c r="A363" s="8"/>
      <c r="B363" s="8"/>
      <c r="C363" s="18"/>
      <c r="D363" s="18"/>
      <c r="E363" s="8"/>
      <c r="F363" s="8"/>
      <c r="G363" s="8"/>
      <c r="H363" s="8"/>
      <c r="I363" s="76"/>
    </row>
    <row r="364">
      <c r="A364" s="8"/>
      <c r="B364" s="8"/>
      <c r="C364" s="18"/>
      <c r="D364" s="18"/>
      <c r="E364" s="8"/>
      <c r="F364" s="8"/>
      <c r="G364" s="8"/>
      <c r="H364" s="8"/>
      <c r="I364" s="76"/>
    </row>
    <row r="365">
      <c r="A365" s="8"/>
      <c r="B365" s="8"/>
      <c r="C365" s="18"/>
      <c r="D365" s="18"/>
      <c r="E365" s="8"/>
      <c r="F365" s="8"/>
      <c r="G365" s="8"/>
      <c r="H365" s="8"/>
      <c r="I365" s="76"/>
    </row>
    <row r="366">
      <c r="A366" s="8"/>
      <c r="B366" s="8"/>
      <c r="C366" s="18"/>
      <c r="D366" s="18"/>
      <c r="E366" s="8"/>
      <c r="F366" s="8"/>
      <c r="G366" s="8"/>
      <c r="H366" s="8"/>
      <c r="I366" s="76"/>
    </row>
    <row r="367">
      <c r="A367" s="8"/>
      <c r="B367" s="8"/>
      <c r="C367" s="18"/>
      <c r="D367" s="18"/>
      <c r="E367" s="8"/>
      <c r="F367" s="8"/>
      <c r="G367" s="8"/>
      <c r="H367" s="8"/>
      <c r="I367" s="76"/>
    </row>
    <row r="368">
      <c r="A368" s="8"/>
      <c r="B368" s="8"/>
      <c r="C368" s="18"/>
      <c r="D368" s="18"/>
      <c r="E368" s="8"/>
      <c r="F368" s="8"/>
      <c r="G368" s="8"/>
      <c r="H368" s="8"/>
      <c r="I368" s="76"/>
    </row>
    <row r="369">
      <c r="A369" s="8"/>
      <c r="B369" s="8"/>
      <c r="C369" s="18"/>
      <c r="D369" s="18"/>
      <c r="E369" s="8"/>
      <c r="F369" s="8"/>
      <c r="G369" s="8"/>
      <c r="H369" s="8"/>
      <c r="I369" s="76"/>
    </row>
    <row r="370">
      <c r="A370" s="8"/>
      <c r="B370" s="8"/>
      <c r="C370" s="18"/>
      <c r="D370" s="18"/>
      <c r="E370" s="8"/>
      <c r="F370" s="8"/>
      <c r="G370" s="8"/>
      <c r="H370" s="8"/>
      <c r="I370" s="76"/>
    </row>
    <row r="371">
      <c r="A371" s="8"/>
      <c r="B371" s="8"/>
      <c r="C371" s="18"/>
      <c r="D371" s="18"/>
      <c r="E371" s="8"/>
      <c r="F371" s="8"/>
      <c r="G371" s="8"/>
      <c r="H371" s="8"/>
      <c r="I371" s="76"/>
    </row>
    <row r="372">
      <c r="A372" s="8"/>
      <c r="B372" s="8"/>
      <c r="C372" s="18"/>
      <c r="D372" s="18"/>
      <c r="E372" s="8"/>
      <c r="F372" s="8"/>
      <c r="G372" s="8"/>
      <c r="H372" s="8"/>
      <c r="I372" s="76"/>
    </row>
    <row r="373">
      <c r="A373" s="8"/>
      <c r="B373" s="8"/>
      <c r="C373" s="18"/>
      <c r="D373" s="18"/>
      <c r="E373" s="8"/>
      <c r="F373" s="8"/>
      <c r="G373" s="8"/>
      <c r="H373" s="8"/>
      <c r="I373" s="76"/>
    </row>
    <row r="374">
      <c r="A374" s="8"/>
      <c r="B374" s="8"/>
      <c r="C374" s="18"/>
      <c r="D374" s="18"/>
      <c r="E374" s="8"/>
      <c r="F374" s="8"/>
      <c r="G374" s="8"/>
      <c r="H374" s="8"/>
      <c r="I374" s="76"/>
    </row>
    <row r="375">
      <c r="A375" s="8"/>
      <c r="B375" s="8"/>
      <c r="C375" s="18"/>
      <c r="D375" s="18"/>
      <c r="E375" s="8"/>
      <c r="F375" s="8"/>
      <c r="G375" s="8"/>
      <c r="H375" s="8"/>
      <c r="I375" s="76"/>
    </row>
    <row r="376">
      <c r="A376" s="8"/>
      <c r="B376" s="8"/>
      <c r="C376" s="18"/>
      <c r="D376" s="18"/>
      <c r="E376" s="8"/>
      <c r="F376" s="8"/>
      <c r="G376" s="8"/>
      <c r="H376" s="8"/>
      <c r="I376" s="76"/>
    </row>
    <row r="377">
      <c r="A377" s="8"/>
      <c r="B377" s="8"/>
      <c r="C377" s="18"/>
      <c r="D377" s="18"/>
      <c r="E377" s="8"/>
      <c r="F377" s="8"/>
      <c r="G377" s="8"/>
      <c r="H377" s="8"/>
      <c r="I377" s="76"/>
    </row>
    <row r="378">
      <c r="A378" s="8"/>
      <c r="B378" s="8"/>
      <c r="C378" s="18"/>
      <c r="D378" s="18"/>
      <c r="E378" s="8"/>
      <c r="F378" s="8"/>
      <c r="G378" s="8"/>
      <c r="H378" s="8"/>
      <c r="I378" s="76"/>
    </row>
    <row r="379">
      <c r="A379" s="8"/>
      <c r="B379" s="8"/>
      <c r="C379" s="18"/>
      <c r="D379" s="18"/>
      <c r="E379" s="8"/>
      <c r="F379" s="8"/>
      <c r="G379" s="8"/>
      <c r="H379" s="8"/>
      <c r="I379" s="76"/>
    </row>
    <row r="380">
      <c r="A380" s="8"/>
      <c r="B380" s="8"/>
      <c r="C380" s="18"/>
      <c r="D380" s="18"/>
      <c r="E380" s="8"/>
      <c r="F380" s="8"/>
      <c r="G380" s="8"/>
      <c r="H380" s="8"/>
      <c r="I380" s="76"/>
    </row>
    <row r="381">
      <c r="A381" s="8"/>
      <c r="B381" s="8"/>
      <c r="C381" s="18"/>
      <c r="D381" s="18"/>
      <c r="E381" s="8"/>
      <c r="F381" s="8"/>
      <c r="G381" s="8"/>
      <c r="H381" s="8"/>
      <c r="I381" s="76"/>
    </row>
    <row r="382">
      <c r="A382" s="8"/>
      <c r="B382" s="8"/>
      <c r="C382" s="18"/>
      <c r="D382" s="18"/>
      <c r="E382" s="8"/>
      <c r="F382" s="8"/>
      <c r="G382" s="8"/>
      <c r="H382" s="8"/>
      <c r="I382" s="76"/>
    </row>
    <row r="383">
      <c r="A383" s="8"/>
      <c r="B383" s="8"/>
      <c r="C383" s="18"/>
      <c r="D383" s="18"/>
      <c r="E383" s="8"/>
      <c r="F383" s="8"/>
      <c r="G383" s="8"/>
      <c r="H383" s="8"/>
      <c r="I383" s="76"/>
    </row>
    <row r="384">
      <c r="A384" s="8"/>
      <c r="B384" s="8"/>
      <c r="C384" s="18"/>
      <c r="D384" s="18"/>
      <c r="E384" s="8"/>
      <c r="F384" s="8"/>
      <c r="G384" s="8"/>
      <c r="H384" s="8"/>
      <c r="I384" s="76"/>
    </row>
    <row r="385">
      <c r="A385" s="8"/>
      <c r="B385" s="8"/>
      <c r="C385" s="18"/>
      <c r="D385" s="18"/>
      <c r="E385" s="8"/>
      <c r="F385" s="8"/>
      <c r="G385" s="8"/>
      <c r="H385" s="8"/>
      <c r="I385" s="76"/>
    </row>
    <row r="386">
      <c r="A386" s="8"/>
      <c r="B386" s="8"/>
      <c r="C386" s="18"/>
      <c r="D386" s="18"/>
      <c r="E386" s="8"/>
      <c r="F386" s="8"/>
      <c r="G386" s="8"/>
      <c r="H386" s="8"/>
      <c r="I386" s="76"/>
    </row>
    <row r="387">
      <c r="A387" s="8"/>
      <c r="B387" s="8"/>
      <c r="C387" s="18"/>
      <c r="D387" s="18"/>
      <c r="E387" s="8"/>
      <c r="F387" s="8"/>
      <c r="G387" s="8"/>
      <c r="H387" s="8"/>
      <c r="I387" s="76"/>
    </row>
    <row r="388">
      <c r="A388" s="8"/>
      <c r="B388" s="8"/>
      <c r="C388" s="18"/>
      <c r="D388" s="18"/>
      <c r="E388" s="8"/>
      <c r="F388" s="8"/>
      <c r="G388" s="8"/>
      <c r="H388" s="8"/>
      <c r="I388" s="76"/>
    </row>
    <row r="389">
      <c r="A389" s="8"/>
      <c r="B389" s="8"/>
      <c r="C389" s="18"/>
      <c r="D389" s="18"/>
      <c r="E389" s="8"/>
      <c r="F389" s="8"/>
      <c r="G389" s="8"/>
      <c r="H389" s="8"/>
      <c r="I389" s="76"/>
    </row>
    <row r="390">
      <c r="A390" s="8"/>
      <c r="B390" s="8"/>
      <c r="C390" s="18"/>
      <c r="D390" s="18"/>
      <c r="E390" s="8"/>
      <c r="F390" s="8"/>
      <c r="G390" s="8"/>
      <c r="H390" s="8"/>
      <c r="I390" s="76"/>
    </row>
    <row r="391">
      <c r="A391" s="8"/>
      <c r="B391" s="8"/>
      <c r="C391" s="18"/>
      <c r="D391" s="18"/>
      <c r="E391" s="8"/>
      <c r="F391" s="8"/>
      <c r="G391" s="8"/>
      <c r="H391" s="8"/>
      <c r="I391" s="76"/>
    </row>
    <row r="392">
      <c r="A392" s="8"/>
      <c r="B392" s="8"/>
      <c r="C392" s="18"/>
      <c r="D392" s="18"/>
      <c r="E392" s="8"/>
      <c r="F392" s="8"/>
      <c r="G392" s="8"/>
      <c r="H392" s="8"/>
      <c r="I392" s="76"/>
    </row>
    <row r="393">
      <c r="A393" s="8"/>
      <c r="B393" s="8"/>
      <c r="C393" s="18"/>
      <c r="D393" s="18"/>
      <c r="E393" s="8"/>
      <c r="F393" s="8"/>
      <c r="G393" s="8"/>
      <c r="H393" s="8"/>
      <c r="I393" s="76"/>
    </row>
    <row r="394">
      <c r="A394" s="8"/>
      <c r="B394" s="8"/>
      <c r="C394" s="18"/>
      <c r="D394" s="18"/>
      <c r="E394" s="8"/>
      <c r="F394" s="8"/>
      <c r="G394" s="8"/>
      <c r="H394" s="8"/>
      <c r="I394" s="76"/>
    </row>
    <row r="395">
      <c r="A395" s="8"/>
      <c r="B395" s="8"/>
      <c r="C395" s="18"/>
      <c r="D395" s="18"/>
      <c r="E395" s="8"/>
      <c r="F395" s="8"/>
      <c r="G395" s="8"/>
      <c r="H395" s="8"/>
      <c r="I395" s="76"/>
    </row>
    <row r="396">
      <c r="A396" s="8"/>
      <c r="B396" s="8"/>
      <c r="C396" s="18"/>
      <c r="D396" s="18"/>
      <c r="E396" s="8"/>
      <c r="F396" s="8"/>
      <c r="G396" s="8"/>
      <c r="H396" s="8"/>
      <c r="I396" s="76"/>
    </row>
    <row r="397">
      <c r="A397" s="8"/>
      <c r="B397" s="8"/>
      <c r="C397" s="18"/>
      <c r="D397" s="18"/>
      <c r="E397" s="8"/>
      <c r="F397" s="8"/>
      <c r="G397" s="8"/>
      <c r="H397" s="8"/>
      <c r="I397" s="76"/>
    </row>
    <row r="398">
      <c r="A398" s="8"/>
      <c r="B398" s="8"/>
      <c r="C398" s="18"/>
      <c r="D398" s="18"/>
      <c r="E398" s="8"/>
      <c r="F398" s="8"/>
      <c r="G398" s="8"/>
      <c r="H398" s="8"/>
      <c r="I398" s="76"/>
    </row>
    <row r="399">
      <c r="A399" s="8"/>
      <c r="B399" s="8"/>
      <c r="C399" s="18"/>
      <c r="D399" s="18"/>
      <c r="E399" s="8"/>
      <c r="F399" s="8"/>
      <c r="G399" s="8"/>
      <c r="H399" s="8"/>
      <c r="I399" s="76"/>
    </row>
    <row r="400">
      <c r="A400" s="8"/>
      <c r="B400" s="8"/>
      <c r="C400" s="18"/>
      <c r="D400" s="18"/>
      <c r="E400" s="8"/>
      <c r="F400" s="8"/>
      <c r="G400" s="8"/>
      <c r="H400" s="8"/>
      <c r="I400" s="76"/>
    </row>
    <row r="401">
      <c r="A401" s="8"/>
      <c r="B401" s="8"/>
      <c r="C401" s="18"/>
      <c r="D401" s="18"/>
      <c r="E401" s="8"/>
      <c r="F401" s="8"/>
      <c r="G401" s="8"/>
      <c r="H401" s="8"/>
      <c r="I401" s="76"/>
    </row>
    <row r="402">
      <c r="A402" s="8"/>
      <c r="B402" s="8"/>
      <c r="C402" s="18"/>
      <c r="D402" s="18"/>
      <c r="E402" s="8"/>
      <c r="F402" s="8"/>
      <c r="G402" s="8"/>
      <c r="H402" s="8"/>
      <c r="I402" s="76"/>
    </row>
    <row r="403">
      <c r="A403" s="8"/>
      <c r="B403" s="8"/>
      <c r="C403" s="18"/>
      <c r="D403" s="18"/>
      <c r="E403" s="8"/>
      <c r="F403" s="8"/>
      <c r="G403" s="8"/>
      <c r="H403" s="8"/>
      <c r="I403" s="76"/>
    </row>
    <row r="404">
      <c r="A404" s="8"/>
      <c r="B404" s="8"/>
      <c r="C404" s="18"/>
      <c r="D404" s="18"/>
      <c r="E404" s="8"/>
      <c r="F404" s="8"/>
      <c r="G404" s="8"/>
      <c r="H404" s="8"/>
      <c r="I404" s="76"/>
    </row>
    <row r="405">
      <c r="A405" s="8"/>
      <c r="B405" s="8"/>
      <c r="C405" s="18"/>
      <c r="D405" s="18"/>
      <c r="E405" s="8"/>
      <c r="F405" s="8"/>
      <c r="G405" s="8"/>
      <c r="H405" s="8"/>
      <c r="I405" s="76"/>
    </row>
    <row r="406">
      <c r="A406" s="8"/>
      <c r="B406" s="8"/>
      <c r="C406" s="18"/>
      <c r="D406" s="18"/>
      <c r="E406" s="8"/>
      <c r="F406" s="8"/>
      <c r="G406" s="8"/>
      <c r="H406" s="8"/>
      <c r="I406" s="76"/>
    </row>
    <row r="407">
      <c r="A407" s="8"/>
      <c r="B407" s="8"/>
      <c r="C407" s="18"/>
      <c r="D407" s="18"/>
      <c r="E407" s="8"/>
      <c r="F407" s="8"/>
      <c r="G407" s="8"/>
      <c r="H407" s="8"/>
      <c r="I407" s="76"/>
    </row>
    <row r="408">
      <c r="A408" s="8"/>
      <c r="B408" s="8"/>
      <c r="C408" s="18"/>
      <c r="D408" s="18"/>
      <c r="E408" s="8"/>
      <c r="F408" s="8"/>
      <c r="G408" s="8"/>
      <c r="H408" s="8"/>
      <c r="I408" s="76"/>
    </row>
    <row r="409">
      <c r="A409" s="8"/>
      <c r="B409" s="8"/>
      <c r="C409" s="18"/>
      <c r="D409" s="18"/>
      <c r="E409" s="8"/>
      <c r="F409" s="8"/>
      <c r="G409" s="8"/>
      <c r="H409" s="8"/>
      <c r="I409" s="76"/>
    </row>
    <row r="410">
      <c r="A410" s="8"/>
      <c r="B410" s="8"/>
      <c r="C410" s="18"/>
      <c r="D410" s="18"/>
      <c r="E410" s="8"/>
      <c r="F410" s="8"/>
      <c r="G410" s="8"/>
      <c r="H410" s="8"/>
      <c r="I410" s="76"/>
    </row>
    <row r="411">
      <c r="A411" s="8"/>
      <c r="B411" s="8"/>
      <c r="C411" s="18"/>
      <c r="D411" s="18"/>
      <c r="E411" s="8"/>
      <c r="F411" s="8"/>
      <c r="G411" s="8"/>
      <c r="H411" s="8"/>
      <c r="I411" s="76"/>
    </row>
    <row r="412">
      <c r="A412" s="8"/>
      <c r="B412" s="8"/>
      <c r="C412" s="18"/>
      <c r="D412" s="18"/>
      <c r="E412" s="8"/>
      <c r="F412" s="8"/>
      <c r="G412" s="8"/>
      <c r="H412" s="8"/>
      <c r="I412" s="76"/>
    </row>
    <row r="413">
      <c r="A413" s="8"/>
      <c r="B413" s="8"/>
      <c r="C413" s="18"/>
      <c r="D413" s="18"/>
      <c r="E413" s="8"/>
      <c r="F413" s="8"/>
      <c r="G413" s="8"/>
      <c r="H413" s="8"/>
      <c r="I413" s="76"/>
    </row>
    <row r="414">
      <c r="A414" s="8"/>
      <c r="B414" s="8"/>
      <c r="C414" s="18"/>
      <c r="D414" s="18"/>
      <c r="E414" s="8"/>
      <c r="F414" s="8"/>
      <c r="G414" s="8"/>
      <c r="H414" s="8"/>
      <c r="I414" s="76"/>
    </row>
    <row r="415">
      <c r="A415" s="8"/>
      <c r="B415" s="8"/>
      <c r="C415" s="18"/>
      <c r="D415" s="18"/>
      <c r="E415" s="8"/>
      <c r="F415" s="8"/>
      <c r="G415" s="8"/>
      <c r="H415" s="8"/>
      <c r="I415" s="76"/>
    </row>
    <row r="416">
      <c r="A416" s="8"/>
      <c r="B416" s="8"/>
      <c r="C416" s="18"/>
      <c r="D416" s="18"/>
      <c r="E416" s="8"/>
      <c r="F416" s="8"/>
      <c r="G416" s="8"/>
      <c r="H416" s="8"/>
      <c r="I416" s="76"/>
    </row>
    <row r="417">
      <c r="A417" s="8"/>
      <c r="B417" s="8"/>
      <c r="C417" s="18"/>
      <c r="D417" s="18"/>
      <c r="E417" s="8"/>
      <c r="F417" s="8"/>
      <c r="G417" s="8"/>
      <c r="H417" s="8"/>
      <c r="I417" s="76"/>
    </row>
    <row r="418">
      <c r="A418" s="8"/>
      <c r="B418" s="8"/>
      <c r="C418" s="18"/>
      <c r="D418" s="18"/>
      <c r="E418" s="8"/>
      <c r="F418" s="8"/>
      <c r="G418" s="8"/>
      <c r="H418" s="8"/>
      <c r="I418" s="76"/>
    </row>
    <row r="419">
      <c r="A419" s="8"/>
      <c r="B419" s="8"/>
      <c r="C419" s="18"/>
      <c r="D419" s="18"/>
      <c r="E419" s="8"/>
      <c r="F419" s="8"/>
      <c r="G419" s="8"/>
      <c r="H419" s="8"/>
      <c r="I419" s="76"/>
    </row>
    <row r="420">
      <c r="A420" s="8"/>
      <c r="B420" s="8"/>
      <c r="C420" s="18"/>
      <c r="D420" s="18"/>
      <c r="E420" s="8"/>
      <c r="F420" s="8"/>
      <c r="G420" s="8"/>
      <c r="H420" s="8"/>
      <c r="I420" s="76"/>
    </row>
    <row r="421">
      <c r="A421" s="8"/>
      <c r="B421" s="8"/>
      <c r="C421" s="18"/>
      <c r="D421" s="18"/>
      <c r="E421" s="8"/>
      <c r="F421" s="8"/>
      <c r="G421" s="8"/>
      <c r="H421" s="8"/>
      <c r="I421" s="76"/>
    </row>
    <row r="422">
      <c r="A422" s="8"/>
      <c r="B422" s="8"/>
      <c r="C422" s="18"/>
      <c r="D422" s="18"/>
      <c r="E422" s="8"/>
      <c r="F422" s="8"/>
      <c r="G422" s="8"/>
      <c r="H422" s="8"/>
      <c r="I422" s="76"/>
    </row>
    <row r="423">
      <c r="A423" s="8"/>
      <c r="B423" s="8"/>
      <c r="C423" s="18"/>
      <c r="D423" s="18"/>
      <c r="E423" s="8"/>
      <c r="F423" s="8"/>
      <c r="G423" s="8"/>
      <c r="H423" s="8"/>
      <c r="I423" s="76"/>
    </row>
    <row r="424">
      <c r="A424" s="8"/>
      <c r="B424" s="8"/>
      <c r="C424" s="18"/>
      <c r="D424" s="18"/>
      <c r="E424" s="8"/>
      <c r="F424" s="8"/>
      <c r="G424" s="8"/>
      <c r="H424" s="8"/>
      <c r="I424" s="76"/>
    </row>
    <row r="425">
      <c r="A425" s="8"/>
      <c r="B425" s="8"/>
      <c r="C425" s="18"/>
      <c r="D425" s="18"/>
      <c r="E425" s="8"/>
      <c r="F425" s="8"/>
      <c r="G425" s="8"/>
      <c r="H425" s="8"/>
      <c r="I425" s="76"/>
    </row>
    <row r="426">
      <c r="A426" s="8"/>
      <c r="B426" s="8"/>
      <c r="C426" s="18"/>
      <c r="D426" s="18"/>
      <c r="E426" s="8"/>
      <c r="F426" s="8"/>
      <c r="G426" s="8"/>
      <c r="H426" s="8"/>
      <c r="I426" s="76"/>
    </row>
    <row r="427">
      <c r="A427" s="8"/>
      <c r="B427" s="8"/>
      <c r="C427" s="18"/>
      <c r="D427" s="18"/>
      <c r="E427" s="8"/>
      <c r="F427" s="8"/>
      <c r="G427" s="8"/>
      <c r="H427" s="8"/>
      <c r="I427" s="76"/>
    </row>
    <row r="428">
      <c r="A428" s="8"/>
      <c r="B428" s="8"/>
      <c r="C428" s="18"/>
      <c r="D428" s="18"/>
      <c r="E428" s="8"/>
      <c r="F428" s="8"/>
      <c r="G428" s="8"/>
      <c r="H428" s="8"/>
      <c r="I428" s="76"/>
    </row>
    <row r="429">
      <c r="A429" s="8"/>
      <c r="B429" s="8"/>
      <c r="C429" s="18"/>
      <c r="D429" s="18"/>
      <c r="E429" s="8"/>
      <c r="F429" s="8"/>
      <c r="G429" s="8"/>
      <c r="H429" s="8"/>
      <c r="I429" s="76"/>
    </row>
    <row r="430">
      <c r="A430" s="8"/>
      <c r="B430" s="8"/>
      <c r="C430" s="18"/>
      <c r="D430" s="18"/>
      <c r="E430" s="8"/>
      <c r="F430" s="8"/>
      <c r="G430" s="8"/>
      <c r="H430" s="8"/>
      <c r="I430" s="76"/>
    </row>
    <row r="431">
      <c r="A431" s="8"/>
      <c r="B431" s="8"/>
      <c r="C431" s="18"/>
      <c r="D431" s="18"/>
      <c r="E431" s="8"/>
      <c r="F431" s="8"/>
      <c r="G431" s="8"/>
      <c r="H431" s="8"/>
      <c r="I431" s="76"/>
    </row>
    <row r="432">
      <c r="A432" s="8"/>
      <c r="B432" s="8"/>
      <c r="C432" s="18"/>
      <c r="D432" s="18"/>
      <c r="E432" s="8"/>
      <c r="F432" s="8"/>
      <c r="G432" s="8"/>
      <c r="H432" s="8"/>
      <c r="I432" s="76"/>
    </row>
    <row r="433">
      <c r="A433" s="8"/>
      <c r="B433" s="8"/>
      <c r="C433" s="18"/>
      <c r="D433" s="18"/>
      <c r="E433" s="8"/>
      <c r="F433" s="8"/>
      <c r="G433" s="8"/>
      <c r="H433" s="8"/>
      <c r="I433" s="76"/>
    </row>
    <row r="434">
      <c r="A434" s="8"/>
      <c r="B434" s="8"/>
      <c r="C434" s="18"/>
      <c r="D434" s="18"/>
      <c r="E434" s="8"/>
      <c r="F434" s="8"/>
      <c r="G434" s="8"/>
      <c r="H434" s="8"/>
      <c r="I434" s="76"/>
    </row>
    <row r="435">
      <c r="A435" s="8"/>
      <c r="B435" s="8"/>
      <c r="C435" s="18"/>
      <c r="D435" s="18"/>
      <c r="E435" s="8"/>
      <c r="F435" s="8"/>
      <c r="G435" s="8"/>
      <c r="H435" s="8"/>
      <c r="I435" s="76"/>
    </row>
    <row r="436">
      <c r="A436" s="8"/>
      <c r="B436" s="8"/>
      <c r="C436" s="18"/>
      <c r="D436" s="18"/>
      <c r="E436" s="8"/>
      <c r="F436" s="8"/>
      <c r="G436" s="8"/>
      <c r="H436" s="8"/>
      <c r="I436" s="76"/>
    </row>
    <row r="437">
      <c r="A437" s="8"/>
      <c r="B437" s="8"/>
      <c r="C437" s="18"/>
      <c r="D437" s="18"/>
      <c r="E437" s="8"/>
      <c r="F437" s="8"/>
      <c r="G437" s="8"/>
      <c r="H437" s="8"/>
      <c r="I437" s="76"/>
    </row>
    <row r="438">
      <c r="A438" s="8"/>
      <c r="B438" s="8"/>
      <c r="C438" s="18"/>
      <c r="D438" s="18"/>
      <c r="E438" s="8"/>
      <c r="F438" s="8"/>
      <c r="G438" s="8"/>
      <c r="H438" s="8"/>
      <c r="I438" s="76"/>
    </row>
    <row r="439">
      <c r="A439" s="8"/>
      <c r="B439" s="8"/>
      <c r="C439" s="18"/>
      <c r="D439" s="18"/>
      <c r="E439" s="8"/>
      <c r="F439" s="8"/>
      <c r="G439" s="8"/>
      <c r="H439" s="8"/>
      <c r="I439" s="76"/>
    </row>
    <row r="440">
      <c r="A440" s="8"/>
      <c r="B440" s="8"/>
      <c r="C440" s="18"/>
      <c r="D440" s="18"/>
      <c r="E440" s="8"/>
      <c r="F440" s="8"/>
      <c r="G440" s="8"/>
      <c r="H440" s="8"/>
      <c r="I440" s="76"/>
    </row>
    <row r="441">
      <c r="A441" s="8"/>
      <c r="B441" s="8"/>
      <c r="C441" s="18"/>
      <c r="D441" s="18"/>
      <c r="E441" s="8"/>
      <c r="F441" s="8"/>
      <c r="G441" s="8"/>
      <c r="H441" s="8"/>
      <c r="I441" s="76"/>
    </row>
    <row r="442">
      <c r="A442" s="8"/>
      <c r="B442" s="8"/>
      <c r="C442" s="18"/>
      <c r="D442" s="18"/>
      <c r="E442" s="8"/>
      <c r="F442" s="8"/>
      <c r="G442" s="8"/>
      <c r="H442" s="8"/>
      <c r="I442" s="76"/>
    </row>
    <row r="443">
      <c r="A443" s="8"/>
      <c r="B443" s="8"/>
      <c r="C443" s="18"/>
      <c r="D443" s="18"/>
      <c r="E443" s="8"/>
      <c r="F443" s="8"/>
      <c r="G443" s="8"/>
      <c r="H443" s="8"/>
      <c r="I443" s="76"/>
    </row>
    <row r="444">
      <c r="A444" s="8"/>
      <c r="B444" s="8"/>
      <c r="C444" s="18"/>
      <c r="D444" s="18"/>
      <c r="E444" s="8"/>
      <c r="F444" s="8"/>
      <c r="G444" s="8"/>
      <c r="H444" s="8"/>
      <c r="I444" s="76"/>
    </row>
    <row r="445">
      <c r="A445" s="8"/>
      <c r="B445" s="8"/>
      <c r="C445" s="18"/>
      <c r="D445" s="18"/>
      <c r="E445" s="8"/>
      <c r="F445" s="8"/>
      <c r="G445" s="8"/>
      <c r="H445" s="8"/>
      <c r="I445" s="76"/>
    </row>
    <row r="446">
      <c r="A446" s="8"/>
      <c r="B446" s="8"/>
      <c r="C446" s="18"/>
      <c r="D446" s="18"/>
      <c r="E446" s="8"/>
      <c r="F446" s="8"/>
      <c r="G446" s="8"/>
      <c r="H446" s="8"/>
      <c r="I446" s="76"/>
    </row>
    <row r="447">
      <c r="A447" s="8"/>
      <c r="B447" s="8"/>
      <c r="C447" s="18"/>
      <c r="D447" s="18"/>
      <c r="E447" s="8"/>
      <c r="F447" s="8"/>
      <c r="G447" s="8"/>
      <c r="H447" s="8"/>
      <c r="I447" s="76"/>
    </row>
    <row r="448">
      <c r="A448" s="8"/>
      <c r="B448" s="8"/>
      <c r="C448" s="18"/>
      <c r="D448" s="18"/>
      <c r="E448" s="8"/>
      <c r="F448" s="8"/>
      <c r="G448" s="8"/>
      <c r="H448" s="8"/>
      <c r="I448" s="76"/>
    </row>
    <row r="449">
      <c r="A449" s="8"/>
      <c r="B449" s="8"/>
      <c r="C449" s="18"/>
      <c r="D449" s="18"/>
      <c r="E449" s="8"/>
      <c r="F449" s="8"/>
      <c r="G449" s="8"/>
      <c r="H449" s="8"/>
      <c r="I449" s="76"/>
    </row>
    <row r="450">
      <c r="A450" s="8"/>
      <c r="B450" s="8"/>
      <c r="C450" s="18"/>
      <c r="D450" s="18"/>
      <c r="E450" s="8"/>
      <c r="F450" s="8"/>
      <c r="G450" s="8"/>
      <c r="H450" s="8"/>
      <c r="I450" s="76"/>
    </row>
    <row r="451">
      <c r="A451" s="8"/>
      <c r="B451" s="8"/>
      <c r="C451" s="18"/>
      <c r="D451" s="18"/>
      <c r="E451" s="8"/>
      <c r="F451" s="8"/>
      <c r="G451" s="8"/>
      <c r="H451" s="8"/>
      <c r="I451" s="76"/>
    </row>
    <row r="452">
      <c r="A452" s="8"/>
      <c r="B452" s="8"/>
      <c r="C452" s="18"/>
      <c r="D452" s="18"/>
      <c r="E452" s="8"/>
      <c r="F452" s="8"/>
      <c r="G452" s="8"/>
      <c r="H452" s="8"/>
      <c r="I452" s="76"/>
    </row>
    <row r="453">
      <c r="A453" s="8"/>
      <c r="B453" s="8"/>
      <c r="C453" s="18"/>
      <c r="D453" s="18"/>
      <c r="E453" s="8"/>
      <c r="F453" s="8"/>
      <c r="G453" s="8"/>
      <c r="H453" s="8"/>
      <c r="I453" s="76"/>
    </row>
    <row r="454">
      <c r="A454" s="8"/>
      <c r="B454" s="8"/>
      <c r="C454" s="18"/>
      <c r="D454" s="18"/>
      <c r="E454" s="8"/>
      <c r="F454" s="8"/>
      <c r="G454" s="8"/>
      <c r="H454" s="8"/>
      <c r="I454" s="76"/>
    </row>
    <row r="455">
      <c r="A455" s="8"/>
      <c r="B455" s="8"/>
      <c r="C455" s="18"/>
      <c r="D455" s="18"/>
      <c r="E455" s="8"/>
      <c r="F455" s="8"/>
      <c r="G455" s="8"/>
      <c r="H455" s="8"/>
      <c r="I455" s="76"/>
    </row>
    <row r="456">
      <c r="A456" s="8"/>
      <c r="B456" s="8"/>
      <c r="C456" s="18"/>
      <c r="D456" s="18"/>
      <c r="E456" s="8"/>
      <c r="F456" s="8"/>
      <c r="G456" s="8"/>
      <c r="H456" s="8"/>
      <c r="I456" s="76"/>
    </row>
    <row r="457">
      <c r="A457" s="8"/>
      <c r="B457" s="8"/>
      <c r="C457" s="18"/>
      <c r="D457" s="18"/>
      <c r="E457" s="8"/>
      <c r="F457" s="8"/>
      <c r="G457" s="8"/>
      <c r="H457" s="8"/>
      <c r="I457" s="76"/>
    </row>
    <row r="458">
      <c r="A458" s="8"/>
      <c r="B458" s="8"/>
      <c r="C458" s="18"/>
      <c r="D458" s="18"/>
      <c r="E458" s="8"/>
      <c r="F458" s="8"/>
      <c r="G458" s="8"/>
      <c r="H458" s="8"/>
      <c r="I458" s="76"/>
    </row>
    <row r="459">
      <c r="A459" s="8"/>
      <c r="B459" s="8"/>
      <c r="C459" s="18"/>
      <c r="D459" s="18"/>
      <c r="E459" s="8"/>
      <c r="F459" s="8"/>
      <c r="G459" s="8"/>
      <c r="H459" s="8"/>
      <c r="I459" s="76"/>
    </row>
    <row r="460">
      <c r="A460" s="8"/>
      <c r="B460" s="8"/>
      <c r="C460" s="18"/>
      <c r="D460" s="18"/>
      <c r="E460" s="8"/>
      <c r="F460" s="8"/>
      <c r="G460" s="8"/>
      <c r="H460" s="8"/>
      <c r="I460" s="76"/>
    </row>
    <row r="461">
      <c r="A461" s="8"/>
      <c r="B461" s="8"/>
      <c r="C461" s="18"/>
      <c r="D461" s="18"/>
      <c r="E461" s="8"/>
      <c r="F461" s="8"/>
      <c r="G461" s="8"/>
      <c r="H461" s="8"/>
      <c r="I461" s="76"/>
    </row>
    <row r="462">
      <c r="A462" s="8"/>
      <c r="B462" s="8"/>
      <c r="C462" s="18"/>
      <c r="D462" s="18"/>
      <c r="E462" s="8"/>
      <c r="F462" s="8"/>
      <c r="G462" s="8"/>
      <c r="H462" s="8"/>
      <c r="I462" s="76"/>
    </row>
    <row r="463">
      <c r="A463" s="8"/>
      <c r="B463" s="8"/>
      <c r="C463" s="18"/>
      <c r="D463" s="18"/>
      <c r="E463" s="8"/>
      <c r="F463" s="8"/>
      <c r="G463" s="8"/>
      <c r="H463" s="8"/>
      <c r="I463" s="76"/>
    </row>
    <row r="464">
      <c r="A464" s="8"/>
      <c r="B464" s="8"/>
      <c r="C464" s="18"/>
      <c r="D464" s="18"/>
      <c r="E464" s="8"/>
      <c r="F464" s="8"/>
      <c r="G464" s="8"/>
      <c r="H464" s="8"/>
      <c r="I464" s="76"/>
    </row>
    <row r="465">
      <c r="A465" s="8"/>
      <c r="B465" s="8"/>
      <c r="C465" s="18"/>
      <c r="D465" s="18"/>
      <c r="E465" s="8"/>
      <c r="F465" s="8"/>
      <c r="G465" s="8"/>
      <c r="H465" s="8"/>
      <c r="I465" s="76"/>
    </row>
    <row r="466">
      <c r="A466" s="8"/>
      <c r="B466" s="8"/>
      <c r="C466" s="18"/>
      <c r="D466" s="18"/>
      <c r="E466" s="8"/>
      <c r="F466" s="8"/>
      <c r="G466" s="8"/>
      <c r="H466" s="8"/>
      <c r="I466" s="76"/>
    </row>
    <row r="467">
      <c r="A467" s="8"/>
      <c r="B467" s="8"/>
      <c r="C467" s="18"/>
      <c r="D467" s="18"/>
      <c r="E467" s="8"/>
      <c r="F467" s="8"/>
      <c r="G467" s="8"/>
      <c r="H467" s="8"/>
      <c r="I467" s="76"/>
    </row>
    <row r="468">
      <c r="A468" s="8"/>
      <c r="B468" s="8"/>
      <c r="C468" s="18"/>
      <c r="D468" s="18"/>
      <c r="E468" s="8"/>
      <c r="F468" s="8"/>
      <c r="G468" s="8"/>
      <c r="H468" s="8"/>
      <c r="I468" s="76"/>
    </row>
    <row r="469">
      <c r="A469" s="8"/>
      <c r="B469" s="8"/>
      <c r="C469" s="18"/>
      <c r="D469" s="18"/>
      <c r="E469" s="8"/>
      <c r="F469" s="8"/>
      <c r="G469" s="8"/>
      <c r="H469" s="8"/>
      <c r="I469" s="76"/>
    </row>
    <row r="470">
      <c r="A470" s="8"/>
      <c r="B470" s="8"/>
      <c r="C470" s="18"/>
      <c r="D470" s="18"/>
      <c r="E470" s="8"/>
      <c r="F470" s="8"/>
      <c r="G470" s="8"/>
      <c r="H470" s="8"/>
      <c r="I470" s="76"/>
    </row>
    <row r="471">
      <c r="A471" s="8"/>
      <c r="B471" s="8"/>
      <c r="C471" s="18"/>
      <c r="D471" s="18"/>
      <c r="E471" s="8"/>
      <c r="F471" s="8"/>
      <c r="G471" s="8"/>
      <c r="H471" s="8"/>
      <c r="I471" s="76"/>
    </row>
    <row r="472">
      <c r="A472" s="8"/>
      <c r="B472" s="8"/>
      <c r="C472" s="18"/>
      <c r="D472" s="18"/>
      <c r="E472" s="8"/>
      <c r="F472" s="8"/>
      <c r="G472" s="8"/>
      <c r="H472" s="8"/>
      <c r="I472" s="76"/>
    </row>
    <row r="473">
      <c r="A473" s="8"/>
      <c r="B473" s="8"/>
      <c r="C473" s="18"/>
      <c r="D473" s="18"/>
      <c r="E473" s="8"/>
      <c r="F473" s="8"/>
      <c r="G473" s="8"/>
      <c r="H473" s="8"/>
      <c r="I473" s="76"/>
    </row>
    <row r="474">
      <c r="A474" s="8"/>
      <c r="B474" s="8"/>
      <c r="C474" s="18"/>
      <c r="D474" s="18"/>
      <c r="E474" s="8"/>
      <c r="F474" s="8"/>
      <c r="G474" s="8"/>
      <c r="H474" s="8"/>
      <c r="I474" s="76"/>
    </row>
    <row r="475">
      <c r="A475" s="8"/>
      <c r="B475" s="8"/>
      <c r="C475" s="18"/>
      <c r="D475" s="18"/>
      <c r="E475" s="8"/>
      <c r="F475" s="8"/>
      <c r="G475" s="8"/>
      <c r="H475" s="8"/>
      <c r="I475" s="76"/>
    </row>
    <row r="476">
      <c r="A476" s="8"/>
      <c r="B476" s="8"/>
      <c r="C476" s="18"/>
      <c r="D476" s="18"/>
      <c r="E476" s="8"/>
      <c r="F476" s="8"/>
      <c r="G476" s="8"/>
      <c r="H476" s="8"/>
      <c r="I476" s="76"/>
    </row>
    <row r="477">
      <c r="A477" s="8"/>
      <c r="B477" s="8"/>
      <c r="C477" s="18"/>
      <c r="D477" s="18"/>
      <c r="E477" s="8"/>
      <c r="F477" s="8"/>
      <c r="G477" s="8"/>
      <c r="H477" s="8"/>
      <c r="I477" s="76"/>
    </row>
    <row r="478">
      <c r="A478" s="8"/>
      <c r="B478" s="8"/>
      <c r="C478" s="18"/>
      <c r="D478" s="18"/>
      <c r="E478" s="8"/>
      <c r="F478" s="8"/>
      <c r="G478" s="8"/>
      <c r="H478" s="8"/>
      <c r="I478" s="76"/>
    </row>
    <row r="479">
      <c r="A479" s="8"/>
      <c r="B479" s="8"/>
      <c r="C479" s="18"/>
      <c r="D479" s="18"/>
      <c r="E479" s="8"/>
      <c r="F479" s="8"/>
      <c r="G479" s="8"/>
      <c r="H479" s="8"/>
      <c r="I479" s="76"/>
    </row>
    <row r="480">
      <c r="A480" s="8"/>
      <c r="B480" s="8"/>
      <c r="C480" s="18"/>
      <c r="D480" s="18"/>
      <c r="E480" s="8"/>
      <c r="F480" s="8"/>
      <c r="G480" s="8"/>
      <c r="H480" s="8"/>
      <c r="I480" s="76"/>
    </row>
    <row r="481">
      <c r="A481" s="8"/>
      <c r="B481" s="8"/>
      <c r="C481" s="18"/>
      <c r="D481" s="18"/>
      <c r="E481" s="8"/>
      <c r="F481" s="8"/>
      <c r="G481" s="8"/>
      <c r="H481" s="8"/>
      <c r="I481" s="76"/>
    </row>
    <row r="482">
      <c r="A482" s="8"/>
      <c r="B482" s="8"/>
      <c r="C482" s="18"/>
      <c r="D482" s="18"/>
      <c r="E482" s="8"/>
      <c r="F482" s="8"/>
      <c r="G482" s="8"/>
      <c r="H482" s="8"/>
      <c r="I482" s="76"/>
    </row>
    <row r="483">
      <c r="A483" s="8"/>
      <c r="B483" s="8"/>
      <c r="C483" s="18"/>
      <c r="D483" s="18"/>
      <c r="E483" s="8"/>
      <c r="F483" s="8"/>
      <c r="G483" s="8"/>
      <c r="H483" s="8"/>
      <c r="I483" s="76"/>
    </row>
    <row r="484">
      <c r="A484" s="8"/>
      <c r="B484" s="8"/>
      <c r="C484" s="18"/>
      <c r="D484" s="18"/>
      <c r="E484" s="8"/>
      <c r="F484" s="8"/>
      <c r="G484" s="8"/>
      <c r="H484" s="8"/>
      <c r="I484" s="76"/>
    </row>
    <row r="485">
      <c r="A485" s="8"/>
      <c r="B485" s="8"/>
      <c r="C485" s="18"/>
      <c r="D485" s="18"/>
      <c r="E485" s="8"/>
      <c r="F485" s="8"/>
      <c r="G485" s="8"/>
      <c r="H485" s="8"/>
      <c r="I485" s="76"/>
    </row>
    <row r="486">
      <c r="A486" s="8"/>
      <c r="B486" s="8"/>
      <c r="C486" s="18"/>
      <c r="D486" s="18"/>
      <c r="E486" s="8"/>
      <c r="F486" s="8"/>
      <c r="G486" s="8"/>
      <c r="H486" s="8"/>
      <c r="I486" s="76"/>
    </row>
    <row r="487">
      <c r="A487" s="8"/>
      <c r="B487" s="8"/>
      <c r="C487" s="18"/>
      <c r="D487" s="18"/>
      <c r="E487" s="8"/>
      <c r="F487" s="8"/>
      <c r="G487" s="8"/>
      <c r="H487" s="8"/>
      <c r="I487" s="76"/>
    </row>
    <row r="488">
      <c r="A488" s="8"/>
      <c r="B488" s="8"/>
      <c r="C488" s="18"/>
      <c r="D488" s="18"/>
      <c r="E488" s="8"/>
      <c r="F488" s="8"/>
      <c r="G488" s="8"/>
      <c r="H488" s="8"/>
      <c r="I488" s="76"/>
    </row>
    <row r="489">
      <c r="A489" s="8"/>
      <c r="B489" s="8"/>
      <c r="C489" s="18"/>
      <c r="D489" s="18"/>
      <c r="E489" s="8"/>
      <c r="F489" s="8"/>
      <c r="G489" s="8"/>
      <c r="H489" s="8"/>
      <c r="I489" s="76"/>
    </row>
    <row r="490">
      <c r="A490" s="8"/>
      <c r="B490" s="8"/>
      <c r="C490" s="18"/>
      <c r="D490" s="18"/>
      <c r="E490" s="8"/>
      <c r="F490" s="8"/>
      <c r="G490" s="8"/>
      <c r="H490" s="8"/>
      <c r="I490" s="76"/>
    </row>
    <row r="491">
      <c r="A491" s="8"/>
      <c r="B491" s="8"/>
      <c r="C491" s="18"/>
      <c r="D491" s="18"/>
      <c r="E491" s="8"/>
      <c r="F491" s="8"/>
      <c r="G491" s="8"/>
      <c r="H491" s="8"/>
      <c r="I491" s="76"/>
    </row>
    <row r="492">
      <c r="A492" s="8"/>
      <c r="B492" s="8"/>
      <c r="C492" s="18"/>
      <c r="D492" s="18"/>
      <c r="E492" s="8"/>
      <c r="F492" s="8"/>
      <c r="G492" s="8"/>
      <c r="H492" s="8"/>
      <c r="I492" s="76"/>
    </row>
    <row r="493">
      <c r="A493" s="8"/>
      <c r="B493" s="8"/>
      <c r="C493" s="18"/>
      <c r="D493" s="18"/>
      <c r="E493" s="8"/>
      <c r="F493" s="8"/>
      <c r="G493" s="8"/>
      <c r="H493" s="8"/>
      <c r="I493" s="76"/>
    </row>
    <row r="494">
      <c r="A494" s="8"/>
      <c r="B494" s="8"/>
      <c r="C494" s="18"/>
      <c r="D494" s="18"/>
      <c r="E494" s="8"/>
      <c r="F494" s="8"/>
      <c r="G494" s="8"/>
      <c r="H494" s="8"/>
      <c r="I494" s="76"/>
    </row>
    <row r="495">
      <c r="A495" s="8"/>
      <c r="B495" s="8"/>
      <c r="C495" s="18"/>
      <c r="D495" s="18"/>
      <c r="E495" s="8"/>
      <c r="F495" s="8"/>
      <c r="G495" s="8"/>
      <c r="H495" s="8"/>
      <c r="I495" s="76"/>
    </row>
    <row r="496">
      <c r="A496" s="8"/>
      <c r="B496" s="8"/>
      <c r="C496" s="18"/>
      <c r="D496" s="18"/>
      <c r="E496" s="8"/>
      <c r="F496" s="8"/>
      <c r="G496" s="8"/>
      <c r="H496" s="8"/>
      <c r="I496" s="76"/>
    </row>
    <row r="497">
      <c r="A497" s="8"/>
      <c r="B497" s="8"/>
      <c r="C497" s="18"/>
      <c r="D497" s="18"/>
      <c r="E497" s="8"/>
      <c r="F497" s="8"/>
      <c r="G497" s="8"/>
      <c r="H497" s="8"/>
      <c r="I497" s="76"/>
    </row>
    <row r="498">
      <c r="A498" s="8"/>
      <c r="B498" s="8"/>
      <c r="C498" s="18"/>
      <c r="D498" s="18"/>
      <c r="E498" s="8"/>
      <c r="F498" s="8"/>
      <c r="G498" s="8"/>
      <c r="H498" s="8"/>
      <c r="I498" s="76"/>
    </row>
    <row r="499">
      <c r="A499" s="8"/>
      <c r="B499" s="8"/>
      <c r="C499" s="18"/>
      <c r="D499" s="18"/>
      <c r="E499" s="8"/>
      <c r="F499" s="8"/>
      <c r="G499" s="8"/>
      <c r="H499" s="8"/>
      <c r="I499" s="76"/>
    </row>
    <row r="500">
      <c r="A500" s="8"/>
      <c r="B500" s="8"/>
      <c r="C500" s="18"/>
      <c r="D500" s="18"/>
      <c r="E500" s="8"/>
      <c r="F500" s="8"/>
      <c r="G500" s="8"/>
      <c r="H500" s="8"/>
      <c r="I500" s="76"/>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1" t="str">
        <f>IFERROR(__xludf.DUMMYFUNCTION("QUERY(Effectifs!A:Z, ""SELECT * WHERE E CONTAINS 'Rivebois' ORDER BY Z ASC"", 1)"),"Assermenté")</f>
        <v>Assermenté</v>
      </c>
      <c r="B1" s="1" t="str">
        <f>IFERROR(__xludf.DUMMYFUNCTION("""COMPUTED_VALUE"""),"Grade")</f>
        <v>Grade</v>
      </c>
      <c r="C1" s="1" t="str">
        <f>IFERROR(__xludf.DUMMYFUNCTION("""COMPUTED_VALUE"""),"Prénom")</f>
        <v>Prénom</v>
      </c>
      <c r="D1" s="1" t="str">
        <f>IFERROR(__xludf.DUMMYFUNCTION("""COMPUTED_VALUE"""),"Nom")</f>
        <v>Nom</v>
      </c>
      <c r="E1" s="1" t="str">
        <f>IFERROR(__xludf.DUMMYFUNCTION("""COMPUTED_VALUE"""),"Corps")</f>
        <v>Corps</v>
      </c>
      <c r="F1" s="1" t="str">
        <f>IFERROR(__xludf.DUMMYFUNCTION("""COMPUTED_VALUE"""),"Spécialité")</f>
        <v>Spécialité</v>
      </c>
      <c r="G1" s="1" t="str">
        <f>IFERROR(__xludf.DUMMYFUNCTION("""COMPUTED_VALUE"""),"Status")</f>
        <v>Status</v>
      </c>
      <c r="H1" s="1" t="str">
        <f>IFERROR(__xludf.DUMMYFUNCTION("""COMPUTED_VALUE"""),"Métier")</f>
        <v>Métier</v>
      </c>
      <c r="I1" s="73" t="str">
        <f>IFERROR(__xludf.DUMMYFUNCTION("""COMPUTED_VALUE"""),"Recrutement")</f>
        <v>Recrutement</v>
      </c>
      <c r="J1" s="3" t="str">
        <f>IFERROR(__xludf.DUMMYFUNCTION("""COMPUTED_VALUE"""),"Jours travaillés")</f>
        <v>Jours travaillés</v>
      </c>
      <c r="K1" s="3" t="str">
        <f>IFERROR(__xludf.DUMMYFUNCTION("""COMPUTED_VALUE"""),"")</f>
        <v/>
      </c>
      <c r="L1" s="3" t="str">
        <f>IFERROR(__xludf.DUMMYFUNCTION("""COMPUTED_VALUE"""),"")</f>
        <v/>
      </c>
      <c r="M1" s="3" t="str">
        <f>IFERROR(__xludf.DUMMYFUNCTION("""COMPUTED_VALUE"""),"")</f>
        <v/>
      </c>
      <c r="N1" s="3" t="str">
        <f>IFERROR(__xludf.DUMMYFUNCTION("""COMPUTED_VALUE"""),"")</f>
        <v/>
      </c>
      <c r="O1" s="3" t="str">
        <f>IFERROR(__xludf.DUMMYFUNCTION("""COMPUTED_VALUE"""),"")</f>
        <v/>
      </c>
      <c r="P1" s="3" t="str">
        <f>IFERROR(__xludf.DUMMYFUNCTION("""COMPUTED_VALUE"""),"")</f>
        <v/>
      </c>
      <c r="Q1" s="3" t="str">
        <f>IFERROR(__xludf.DUMMYFUNCTION("""COMPUTED_VALUE"""),"")</f>
        <v/>
      </c>
      <c r="R1" s="3" t="str">
        <f>IFERROR(__xludf.DUMMYFUNCTION("""COMPUTED_VALUE"""),"")</f>
        <v/>
      </c>
      <c r="S1" s="3" t="str">
        <f>IFERROR(__xludf.DUMMYFUNCTION("""COMPUTED_VALUE"""),"")</f>
        <v/>
      </c>
      <c r="T1" s="3" t="str">
        <f>IFERROR(__xludf.DUMMYFUNCTION("""COMPUTED_VALUE"""),"")</f>
        <v/>
      </c>
      <c r="U1" s="3" t="str">
        <f>IFERROR(__xludf.DUMMYFUNCTION("""COMPUTED_VALUE"""),"")</f>
        <v/>
      </c>
      <c r="V1" s="3" t="str">
        <f>IFERROR(__xludf.DUMMYFUNCTION("""COMPUTED_VALUE"""),"")</f>
        <v/>
      </c>
      <c r="W1" s="3" t="str">
        <f>IFERROR(__xludf.DUMMYFUNCTION("""COMPUTED_VALUE"""),"")</f>
        <v/>
      </c>
      <c r="X1" s="3" t="str">
        <f>IFERROR(__xludf.DUMMYFUNCTION("""COMPUTED_VALUE"""),"")</f>
        <v/>
      </c>
      <c r="Y1" s="3" t="str">
        <f>IFERROR(__xludf.DUMMYFUNCTION("""COMPUTED_VALUE"""),"")</f>
        <v/>
      </c>
      <c r="Z1" s="4" t="str">
        <f>IFERROR(__xludf.DUMMYFUNCTION("""COMPUTED_VALUE"""),"Grade Order")</f>
        <v>Grade Order</v>
      </c>
    </row>
    <row r="2">
      <c r="A2" s="5" t="b">
        <f>IFERROR(__xludf.DUMMYFUNCTION("""COMPUTED_VALUE"""),FALSE)</f>
        <v>0</v>
      </c>
      <c r="B2" s="5" t="str">
        <f>IFERROR(__xludf.DUMMYFUNCTION("""COMPUTED_VALUE"""),"Major")</f>
        <v>Major</v>
      </c>
      <c r="C2" s="15" t="str">
        <f>IFERROR(__xludf.DUMMYFUNCTION("""COMPUTED_VALUE"""),"Krakan ")</f>
        <v>Krakan </v>
      </c>
      <c r="D2" s="15" t="str">
        <f>IFERROR(__xludf.DUMMYFUNCTION("""COMPUTED_VALUE"""),"Valyn")</f>
        <v>Valyn</v>
      </c>
      <c r="E2" s="5" t="str">
        <f>IFERROR(__xludf.DUMMYFUNCTION("""COMPUTED_VALUE"""),"Rivebois")</f>
        <v>Rivebois</v>
      </c>
      <c r="F2" s="12" t="str">
        <f>IFERROR(__xludf.DUMMYFUNCTION("""COMPUTED_VALUE"""),"Garde")</f>
        <v>Garde</v>
      </c>
      <c r="G2" s="5" t="str">
        <f>IFERROR(__xludf.DUMMYFUNCTION("""COMPUTED_VALUE"""),"En service actif")</f>
        <v>En service actif</v>
      </c>
      <c r="H2" s="5"/>
      <c r="I2" s="74"/>
      <c r="J2" s="8">
        <f>IFERROR(__xludf.DUMMYFUNCTION("""COMPUTED_VALUE"""),0.0)</f>
        <v>0</v>
      </c>
      <c r="K2" s="8"/>
      <c r="L2" s="8"/>
      <c r="M2" s="8"/>
      <c r="N2" s="8"/>
      <c r="O2" s="8"/>
      <c r="P2" s="8"/>
      <c r="Q2" s="8"/>
      <c r="R2" s="8"/>
      <c r="S2" s="8"/>
      <c r="T2" s="8"/>
      <c r="U2" s="8"/>
      <c r="V2" s="8"/>
      <c r="W2" s="8"/>
      <c r="X2" s="8"/>
      <c r="Y2" s="8"/>
      <c r="Z2" s="8">
        <f>IFERROR(__xludf.DUMMYFUNCTION("""COMPUTED_VALUE"""),3.0)</f>
        <v>3</v>
      </c>
    </row>
    <row r="3">
      <c r="A3" s="5" t="b">
        <f>IFERROR(__xludf.DUMMYFUNCTION("""COMPUTED_VALUE"""),FALSE)</f>
        <v>0</v>
      </c>
      <c r="B3" s="5" t="str">
        <f>IFERROR(__xludf.DUMMYFUNCTION("""COMPUTED_VALUE"""),"Capitaine")</f>
        <v>Capitaine</v>
      </c>
      <c r="C3" s="15" t="str">
        <f>IFERROR(__xludf.DUMMYFUNCTION("""COMPUTED_VALUE"""),"Sigurd")</f>
        <v>Sigurd</v>
      </c>
      <c r="D3" s="18" t="str">
        <f>IFERROR(__xludf.DUMMYFUNCTION("""COMPUTED_VALUE"""),"Grisetoison")</f>
        <v>Grisetoison</v>
      </c>
      <c r="E3" s="5" t="str">
        <f>IFERROR(__xludf.DUMMYFUNCTION("""COMPUTED_VALUE"""),"Rivebois")</f>
        <v>Rivebois</v>
      </c>
      <c r="F3" s="12" t="str">
        <f>IFERROR(__xludf.DUMMYFUNCTION("""COMPUTED_VALUE"""),"Garde, Collecteur de la garde")</f>
        <v>Garde, Collecteur de la garde</v>
      </c>
      <c r="G3" s="5" t="str">
        <f>IFERROR(__xludf.DUMMYFUNCTION("""COMPUTED_VALUE"""),"En service actif")</f>
        <v>En service actif</v>
      </c>
      <c r="H3" s="5"/>
      <c r="I3" s="74"/>
      <c r="J3" s="8">
        <f>IFERROR(__xludf.DUMMYFUNCTION("""COMPUTED_VALUE"""),4.0)</f>
        <v>4</v>
      </c>
      <c r="K3" s="8"/>
      <c r="L3" s="8"/>
      <c r="M3" s="8"/>
      <c r="N3" s="8"/>
      <c r="O3" s="8"/>
      <c r="P3" s="8"/>
      <c r="Q3" s="8"/>
      <c r="R3" s="8"/>
      <c r="S3" s="8"/>
      <c r="T3" s="8"/>
      <c r="U3" s="8"/>
      <c r="V3" s="8"/>
      <c r="W3" s="8"/>
      <c r="X3" s="8"/>
      <c r="Y3" s="8"/>
      <c r="Z3" s="8">
        <f>IFERROR(__xludf.DUMMYFUNCTION("""COMPUTED_VALUE"""),4.0)</f>
        <v>4</v>
      </c>
    </row>
    <row r="4">
      <c r="A4" s="5" t="b">
        <f>IFERROR(__xludf.DUMMYFUNCTION("""COMPUTED_VALUE"""),FALSE)</f>
        <v>0</v>
      </c>
      <c r="B4" s="5" t="str">
        <f>IFERROR(__xludf.DUMMYFUNCTION("""COMPUTED_VALUE"""),"Lieutenant-Chef")</f>
        <v>Lieutenant-Chef</v>
      </c>
      <c r="C4" s="15" t="str">
        <f>IFERROR(__xludf.DUMMYFUNCTION("""COMPUTED_VALUE"""),"Hakon")</f>
        <v>Hakon</v>
      </c>
      <c r="D4" s="18" t="str">
        <f>IFERROR(__xludf.DUMMYFUNCTION("""COMPUTED_VALUE"""),"Grisetoison")</f>
        <v>Grisetoison</v>
      </c>
      <c r="E4" s="5" t="str">
        <f>IFERROR(__xludf.DUMMYFUNCTION("""COMPUTED_VALUE"""),"Rivebois")</f>
        <v>Rivebois</v>
      </c>
      <c r="F4" s="12" t="str">
        <f>IFERROR(__xludf.DUMMYFUNCTION("""COMPUTED_VALUE"""),"Garde, Collecteur de la garde")</f>
        <v>Garde, Collecteur de la garde</v>
      </c>
      <c r="G4" s="5" t="str">
        <f>IFERROR(__xludf.DUMMYFUNCTION("""COMPUTED_VALUE"""),"En service actif")</f>
        <v>En service actif</v>
      </c>
      <c r="H4" s="5"/>
      <c r="I4" s="74"/>
      <c r="J4" s="8">
        <f>IFERROR(__xludf.DUMMYFUNCTION("""COMPUTED_VALUE"""),5.0)</f>
        <v>5</v>
      </c>
      <c r="K4" s="8"/>
      <c r="L4" s="8"/>
      <c r="M4" s="8"/>
      <c r="N4" s="8"/>
      <c r="O4" s="8"/>
      <c r="P4" s="8"/>
      <c r="Q4" s="8"/>
      <c r="R4" s="8"/>
      <c r="S4" s="8"/>
      <c r="T4" s="8"/>
      <c r="U4" s="8"/>
      <c r="V4" s="8"/>
      <c r="W4" s="8"/>
      <c r="X4" s="8"/>
      <c r="Y4" s="8"/>
      <c r="Z4" s="8">
        <f>IFERROR(__xludf.DUMMYFUNCTION("""COMPUTED_VALUE"""),5.0)</f>
        <v>5</v>
      </c>
    </row>
    <row r="5">
      <c r="A5" s="5" t="b">
        <f>IFERROR(__xludf.DUMMYFUNCTION("""COMPUTED_VALUE"""),TRUE)</f>
        <v>1</v>
      </c>
      <c r="B5" s="5" t="str">
        <f>IFERROR(__xludf.DUMMYFUNCTION("""COMPUTED_VALUE"""),"Lieutenant")</f>
        <v>Lieutenant</v>
      </c>
      <c r="C5" s="15" t="str">
        <f>IFERROR(__xludf.DUMMYFUNCTION("""COMPUTED_VALUE"""),"Daric")</f>
        <v>Daric</v>
      </c>
      <c r="D5" s="15"/>
      <c r="E5" s="5" t="str">
        <f>IFERROR(__xludf.DUMMYFUNCTION("""COMPUTED_VALUE"""),"Rivebois")</f>
        <v>Rivebois</v>
      </c>
      <c r="F5" s="12" t="str">
        <f>IFERROR(__xludf.DUMMYFUNCTION("""COMPUTED_VALUE"""),"Garde")</f>
        <v>Garde</v>
      </c>
      <c r="G5" s="5" t="str">
        <f>IFERROR(__xludf.DUMMYFUNCTION("""COMPUTED_VALUE"""),"En service actif")</f>
        <v>En service actif</v>
      </c>
      <c r="H5" s="5"/>
      <c r="I5" s="74"/>
      <c r="J5" s="8">
        <f>IFERROR(__xludf.DUMMYFUNCTION("""COMPUTED_VALUE"""),0.0)</f>
        <v>0</v>
      </c>
      <c r="K5" s="8"/>
      <c r="L5" s="8"/>
      <c r="M5" s="8"/>
      <c r="N5" s="8"/>
      <c r="O5" s="8"/>
      <c r="P5" s="8"/>
      <c r="Q5" s="8"/>
      <c r="R5" s="8"/>
      <c r="S5" s="8"/>
      <c r="T5" s="8"/>
      <c r="U5" s="8"/>
      <c r="V5" s="8"/>
      <c r="W5" s="8"/>
      <c r="X5" s="8"/>
      <c r="Y5" s="8"/>
      <c r="Z5" s="8">
        <f>IFERROR(__xludf.DUMMYFUNCTION("""COMPUTED_VALUE"""),6.0)</f>
        <v>6</v>
      </c>
    </row>
    <row r="6">
      <c r="A6" s="5" t="b">
        <f>IFERROR(__xludf.DUMMYFUNCTION("""COMPUTED_VALUE"""),FALSE)</f>
        <v>0</v>
      </c>
      <c r="B6" s="5" t="str">
        <f>IFERROR(__xludf.DUMMYFUNCTION("""COMPUTED_VALUE"""),"Lieutenant")</f>
        <v>Lieutenant</v>
      </c>
      <c r="C6" s="15" t="str">
        <f>IFERROR(__xludf.DUMMYFUNCTION("""COMPUTED_VALUE"""),"Brand")</f>
        <v>Brand</v>
      </c>
      <c r="D6" s="15" t="str">
        <f>IFERROR(__xludf.DUMMYFUNCTION("""COMPUTED_VALUE"""),"Grisetoison")</f>
        <v>Grisetoison</v>
      </c>
      <c r="E6" s="5" t="str">
        <f>IFERROR(__xludf.DUMMYFUNCTION("""COMPUTED_VALUE"""),"Rivebois")</f>
        <v>Rivebois</v>
      </c>
      <c r="F6" s="12" t="str">
        <f>IFERROR(__xludf.DUMMYFUNCTION("""COMPUTED_VALUE"""),"Garde")</f>
        <v>Garde</v>
      </c>
      <c r="G6" s="5" t="str">
        <f>IFERROR(__xludf.DUMMYFUNCTION("""COMPUTED_VALUE"""),"En service actif")</f>
        <v>En service actif</v>
      </c>
      <c r="H6" s="5"/>
      <c r="I6" s="74"/>
      <c r="J6" s="8"/>
      <c r="K6" s="8"/>
      <c r="L6" s="8"/>
      <c r="M6" s="8"/>
      <c r="N6" s="8"/>
      <c r="O6" s="8"/>
      <c r="P6" s="8"/>
      <c r="Q6" s="8"/>
      <c r="R6" s="8"/>
      <c r="S6" s="8"/>
      <c r="T6" s="8"/>
      <c r="U6" s="8"/>
      <c r="V6" s="8"/>
      <c r="W6" s="8"/>
      <c r="X6" s="8"/>
      <c r="Y6" s="8"/>
      <c r="Z6" s="8">
        <f>IFERROR(__xludf.DUMMYFUNCTION("""COMPUTED_VALUE"""),6.0)</f>
        <v>6</v>
      </c>
    </row>
    <row r="7">
      <c r="A7" s="5" t="b">
        <f>IFERROR(__xludf.DUMMYFUNCTION("""COMPUTED_VALUE"""),FALSE)</f>
        <v>0</v>
      </c>
      <c r="B7" s="5" t="str">
        <f>IFERROR(__xludf.DUMMYFUNCTION("""COMPUTED_VALUE"""),"Garde")</f>
        <v>Garde</v>
      </c>
      <c r="C7" s="15" t="str">
        <f>IFERROR(__xludf.DUMMYFUNCTION("""COMPUTED_VALUE"""),"Lous")</f>
        <v>Lous</v>
      </c>
      <c r="D7" s="15" t="str">
        <f>IFERROR(__xludf.DUMMYFUNCTION("""COMPUTED_VALUE"""),"Bois")</f>
        <v>Bois</v>
      </c>
      <c r="E7" s="5" t="str">
        <f>IFERROR(__xludf.DUMMYFUNCTION("""COMPUTED_VALUE"""),"Rivebois")</f>
        <v>Rivebois</v>
      </c>
      <c r="F7" s="12" t="str">
        <f>IFERROR(__xludf.DUMMYFUNCTION("""COMPUTED_VALUE"""),"Garde")</f>
        <v>Garde</v>
      </c>
      <c r="G7" s="5" t="str">
        <f>IFERROR(__xludf.DUMMYFUNCTION("""COMPUTED_VALUE"""),"En service actif")</f>
        <v>En service actif</v>
      </c>
      <c r="H7" s="8"/>
      <c r="I7" s="74"/>
      <c r="J7" s="8"/>
      <c r="K7" s="8"/>
      <c r="L7" s="8"/>
      <c r="M7" s="8"/>
      <c r="N7" s="8"/>
      <c r="O7" s="8"/>
      <c r="P7" s="8"/>
      <c r="Q7" s="8"/>
      <c r="R7" s="8"/>
      <c r="S7" s="8"/>
      <c r="T7" s="8"/>
      <c r="U7" s="8"/>
      <c r="V7" s="8"/>
      <c r="W7" s="8"/>
      <c r="X7" s="8"/>
      <c r="Y7" s="8"/>
      <c r="Z7" s="8">
        <f>IFERROR(__xludf.DUMMYFUNCTION("""COMPUTED_VALUE"""),11.0)</f>
        <v>11</v>
      </c>
    </row>
    <row r="8">
      <c r="A8" s="5"/>
      <c r="B8" s="5"/>
      <c r="C8" s="15"/>
      <c r="D8" s="15"/>
      <c r="E8" s="5"/>
      <c r="F8" s="12"/>
      <c r="G8" s="5"/>
      <c r="H8" s="8"/>
      <c r="I8" s="74"/>
    </row>
    <row r="9">
      <c r="A9" s="5"/>
      <c r="B9" s="5"/>
      <c r="C9" s="15"/>
      <c r="D9" s="75"/>
      <c r="E9" s="5"/>
      <c r="F9" s="12"/>
      <c r="G9" s="5"/>
      <c r="H9" s="5"/>
      <c r="I9" s="74"/>
    </row>
    <row r="10">
      <c r="A10" s="8"/>
      <c r="B10" s="5"/>
      <c r="C10" s="15"/>
      <c r="D10" s="15"/>
      <c r="E10" s="5"/>
      <c r="F10" s="12"/>
      <c r="G10" s="5"/>
      <c r="H10" s="8"/>
      <c r="I10" s="74"/>
    </row>
    <row r="11">
      <c r="A11" s="8"/>
      <c r="B11" s="5"/>
      <c r="C11" s="15"/>
      <c r="D11" s="18"/>
      <c r="E11" s="5"/>
      <c r="F11" s="12"/>
      <c r="G11" s="5"/>
      <c r="H11" s="8"/>
      <c r="I11" s="74"/>
    </row>
    <row r="12">
      <c r="A12" s="5"/>
      <c r="B12" s="5"/>
      <c r="C12" s="15"/>
      <c r="D12" s="18"/>
      <c r="E12" s="5"/>
      <c r="F12" s="12"/>
      <c r="G12" s="5"/>
      <c r="H12" s="5"/>
      <c r="I12" s="74"/>
    </row>
    <row r="13">
      <c r="A13" s="5"/>
      <c r="B13" s="5"/>
      <c r="C13" s="15"/>
      <c r="D13" s="18"/>
      <c r="E13" s="5"/>
      <c r="F13" s="12"/>
      <c r="G13" s="5"/>
      <c r="H13" s="5"/>
      <c r="I13" s="74"/>
    </row>
    <row r="14">
      <c r="A14" s="5"/>
      <c r="B14" s="5"/>
      <c r="C14" s="15"/>
      <c r="D14" s="15"/>
      <c r="E14" s="5"/>
      <c r="F14" s="12"/>
      <c r="G14" s="5"/>
      <c r="H14" s="8"/>
      <c r="I14" s="74"/>
    </row>
    <row r="15">
      <c r="A15" s="5"/>
      <c r="B15" s="5"/>
      <c r="C15" s="15"/>
      <c r="D15" s="15"/>
      <c r="E15" s="5"/>
      <c r="F15" s="12"/>
      <c r="G15" s="5"/>
      <c r="H15" s="8"/>
      <c r="I15" s="74"/>
    </row>
    <row r="16">
      <c r="A16" s="5"/>
      <c r="B16" s="5"/>
      <c r="C16" s="15"/>
      <c r="D16" s="15"/>
      <c r="E16" s="5"/>
      <c r="F16" s="12"/>
      <c r="G16" s="5"/>
      <c r="H16" s="8"/>
      <c r="I16" s="74"/>
    </row>
    <row r="17">
      <c r="A17" s="5"/>
      <c r="B17" s="5"/>
      <c r="C17" s="15"/>
      <c r="D17" s="15"/>
      <c r="E17" s="5"/>
      <c r="F17" s="12"/>
      <c r="G17" s="5"/>
      <c r="H17" s="8"/>
      <c r="I17" s="74"/>
    </row>
    <row r="18">
      <c r="A18" s="5"/>
      <c r="B18" s="5"/>
      <c r="C18" s="15"/>
      <c r="D18" s="18"/>
      <c r="E18" s="5"/>
      <c r="F18" s="12"/>
      <c r="G18" s="5"/>
      <c r="H18" s="8"/>
      <c r="I18" s="74"/>
    </row>
    <row r="19">
      <c r="A19" s="5"/>
      <c r="B19" s="5"/>
      <c r="C19" s="15"/>
      <c r="D19" s="18"/>
      <c r="E19" s="5"/>
      <c r="F19" s="12"/>
      <c r="G19" s="5"/>
      <c r="H19" s="8"/>
      <c r="I19" s="74"/>
    </row>
    <row r="20">
      <c r="A20" s="5"/>
      <c r="B20" s="5"/>
      <c r="C20" s="15"/>
      <c r="D20" s="18"/>
      <c r="E20" s="5"/>
      <c r="F20" s="12"/>
      <c r="G20" s="5"/>
      <c r="H20" s="8"/>
      <c r="I20" s="74"/>
    </row>
    <row r="21">
      <c r="A21" s="5"/>
      <c r="B21" s="5"/>
      <c r="C21" s="15"/>
      <c r="D21" s="15"/>
      <c r="E21" s="5"/>
      <c r="F21" s="12"/>
      <c r="G21" s="5"/>
      <c r="H21" s="5"/>
      <c r="I21" s="74"/>
    </row>
    <row r="22">
      <c r="A22" s="5"/>
      <c r="B22" s="5"/>
      <c r="C22" s="15"/>
      <c r="D22" s="15"/>
      <c r="E22" s="5"/>
      <c r="F22" s="12"/>
      <c r="G22" s="5"/>
      <c r="H22" s="5"/>
      <c r="I22" s="74"/>
    </row>
    <row r="23">
      <c r="A23" s="5"/>
      <c r="B23" s="5"/>
      <c r="C23" s="15"/>
      <c r="D23" s="15"/>
      <c r="E23" s="5"/>
      <c r="F23" s="12"/>
      <c r="G23" s="5"/>
      <c r="H23" s="5"/>
      <c r="I23" s="74"/>
    </row>
    <row r="24">
      <c r="A24" s="5"/>
      <c r="B24" s="5"/>
      <c r="C24" s="15"/>
      <c r="D24" s="18"/>
      <c r="E24" s="5"/>
      <c r="F24" s="12"/>
      <c r="G24" s="5"/>
      <c r="H24" s="5"/>
      <c r="I24" s="74"/>
    </row>
    <row r="25">
      <c r="A25" s="5"/>
      <c r="B25" s="5"/>
      <c r="C25" s="15"/>
      <c r="D25" s="15"/>
      <c r="E25" s="5"/>
      <c r="F25" s="12"/>
      <c r="G25" s="5"/>
      <c r="H25" s="8"/>
      <c r="I25" s="74"/>
    </row>
    <row r="26">
      <c r="A26" s="5"/>
      <c r="B26" s="5"/>
      <c r="C26" s="15"/>
      <c r="D26" s="18"/>
      <c r="E26" s="5"/>
      <c r="F26" s="12"/>
      <c r="G26" s="5"/>
      <c r="H26" s="8"/>
      <c r="I26" s="74"/>
    </row>
    <row r="27">
      <c r="A27" s="5"/>
      <c r="B27" s="5"/>
      <c r="C27" s="15"/>
      <c r="D27" s="18"/>
      <c r="E27" s="5"/>
      <c r="F27" s="12"/>
      <c r="G27" s="5"/>
      <c r="H27" s="8"/>
      <c r="I27" s="74"/>
    </row>
    <row r="28">
      <c r="A28" s="5"/>
      <c r="B28" s="5"/>
      <c r="C28" s="15"/>
      <c r="D28" s="15"/>
      <c r="E28" s="5"/>
      <c r="F28" s="12"/>
      <c r="G28" s="5"/>
      <c r="H28" s="8"/>
      <c r="I28" s="74"/>
    </row>
    <row r="29">
      <c r="A29" s="5"/>
      <c r="B29" s="5"/>
      <c r="C29" s="15"/>
      <c r="D29" s="15"/>
      <c r="E29" s="5"/>
      <c r="F29" s="12"/>
      <c r="G29" s="5"/>
      <c r="H29" s="8"/>
      <c r="I29" s="74"/>
    </row>
    <row r="30">
      <c r="A30" s="5"/>
      <c r="B30" s="5"/>
      <c r="C30" s="15"/>
      <c r="D30" s="18"/>
      <c r="E30" s="5"/>
      <c r="F30" s="12"/>
      <c r="G30" s="5"/>
      <c r="H30" s="8"/>
      <c r="I30" s="74"/>
    </row>
    <row r="31">
      <c r="A31" s="5"/>
      <c r="B31" s="5"/>
      <c r="C31" s="15"/>
      <c r="D31" s="18"/>
      <c r="E31" s="5"/>
      <c r="F31" s="12"/>
      <c r="G31" s="5"/>
      <c r="H31" s="8"/>
      <c r="I31" s="74"/>
    </row>
    <row r="32">
      <c r="A32" s="5"/>
      <c r="B32" s="5"/>
      <c r="C32" s="15"/>
      <c r="D32" s="15"/>
      <c r="E32" s="5"/>
      <c r="F32" s="12"/>
      <c r="G32" s="5"/>
      <c r="H32" s="8"/>
      <c r="I32" s="74"/>
    </row>
    <row r="33">
      <c r="A33" s="5"/>
      <c r="B33" s="5"/>
      <c r="C33" s="15"/>
      <c r="D33" s="15"/>
      <c r="E33" s="5"/>
      <c r="F33" s="12"/>
      <c r="G33" s="5"/>
      <c r="H33" s="8"/>
      <c r="I33" s="74"/>
    </row>
    <row r="34">
      <c r="A34" s="8"/>
      <c r="B34" s="5"/>
      <c r="C34" s="15"/>
      <c r="D34" s="18"/>
      <c r="E34" s="5"/>
      <c r="F34" s="12"/>
      <c r="G34" s="5"/>
      <c r="H34" s="8"/>
      <c r="I34" s="74"/>
    </row>
    <row r="35">
      <c r="A35" s="5"/>
      <c r="B35" s="5"/>
      <c r="C35" s="15"/>
      <c r="D35" s="18"/>
      <c r="E35" s="5"/>
      <c r="F35" s="12"/>
      <c r="G35" s="5"/>
      <c r="H35" s="8"/>
      <c r="I35" s="74"/>
    </row>
    <row r="36">
      <c r="A36" s="5"/>
      <c r="B36" s="5"/>
      <c r="C36" s="15"/>
      <c r="D36" s="15"/>
      <c r="E36" s="5"/>
      <c r="F36" s="12"/>
      <c r="G36" s="5"/>
      <c r="H36" s="8"/>
      <c r="I36" s="74"/>
    </row>
    <row r="37">
      <c r="A37" s="8"/>
      <c r="B37" s="5"/>
      <c r="C37" s="15"/>
      <c r="D37" s="15"/>
      <c r="E37" s="5"/>
      <c r="F37" s="12"/>
      <c r="G37" s="5"/>
      <c r="H37" s="8"/>
      <c r="I37" s="74"/>
    </row>
    <row r="38">
      <c r="A38" s="8"/>
      <c r="B38" s="5"/>
      <c r="C38" s="15"/>
      <c r="D38" s="15"/>
      <c r="E38" s="5"/>
      <c r="F38" s="12"/>
      <c r="G38" s="5"/>
      <c r="H38" s="8"/>
      <c r="I38" s="74"/>
    </row>
    <row r="39">
      <c r="A39" s="8"/>
      <c r="B39" s="5"/>
      <c r="C39" s="15"/>
      <c r="D39" s="18"/>
      <c r="E39" s="5"/>
      <c r="F39" s="12"/>
      <c r="G39" s="5"/>
      <c r="H39" s="8"/>
      <c r="I39" s="74"/>
    </row>
    <row r="40">
      <c r="A40" s="8"/>
      <c r="B40" s="5"/>
      <c r="C40" s="15"/>
      <c r="D40" s="18"/>
      <c r="E40" s="5"/>
      <c r="F40" s="12"/>
      <c r="G40" s="5"/>
      <c r="H40" s="5"/>
      <c r="I40" s="74"/>
    </row>
    <row r="41">
      <c r="A41" s="8"/>
      <c r="B41" s="8"/>
      <c r="C41" s="18"/>
      <c r="D41" s="18"/>
      <c r="E41" s="8"/>
      <c r="F41" s="8"/>
      <c r="G41" s="8"/>
      <c r="H41" s="8"/>
      <c r="I41" s="74"/>
    </row>
    <row r="42">
      <c r="A42" s="8"/>
      <c r="B42" s="8"/>
      <c r="C42" s="18"/>
      <c r="D42" s="18"/>
      <c r="E42" s="8"/>
      <c r="F42" s="8"/>
      <c r="G42" s="8"/>
      <c r="H42" s="8"/>
      <c r="I42" s="74"/>
    </row>
    <row r="43">
      <c r="A43" s="8"/>
      <c r="B43" s="8"/>
      <c r="C43" s="18"/>
      <c r="D43" s="18"/>
      <c r="E43" s="8"/>
      <c r="F43" s="8"/>
      <c r="G43" s="8"/>
      <c r="H43" s="8"/>
      <c r="I43" s="74"/>
    </row>
    <row r="44">
      <c r="A44" s="8"/>
      <c r="B44" s="8"/>
      <c r="C44" s="18"/>
      <c r="D44" s="18"/>
      <c r="E44" s="8"/>
      <c r="F44" s="8"/>
      <c r="G44" s="8"/>
      <c r="H44" s="8"/>
      <c r="I44" s="74"/>
    </row>
    <row r="45">
      <c r="A45" s="8"/>
      <c r="B45" s="8"/>
      <c r="C45" s="18"/>
      <c r="D45" s="18"/>
      <c r="E45" s="8"/>
      <c r="F45" s="8"/>
      <c r="G45" s="8"/>
      <c r="H45" s="8"/>
      <c r="I45" s="74"/>
    </row>
    <row r="46">
      <c r="A46" s="8"/>
      <c r="B46" s="8"/>
      <c r="C46" s="18"/>
      <c r="D46" s="18"/>
      <c r="E46" s="8"/>
      <c r="F46" s="8"/>
      <c r="G46" s="8"/>
      <c r="H46" s="8"/>
      <c r="I46" s="76"/>
    </row>
    <row r="47">
      <c r="A47" s="8"/>
      <c r="B47" s="8"/>
      <c r="C47" s="18"/>
      <c r="D47" s="18"/>
      <c r="E47" s="8"/>
      <c r="F47" s="8"/>
      <c r="G47" s="8"/>
      <c r="H47" s="8"/>
      <c r="I47" s="76"/>
    </row>
    <row r="48">
      <c r="A48" s="8"/>
      <c r="B48" s="8"/>
      <c r="C48" s="18"/>
      <c r="D48" s="18"/>
      <c r="E48" s="8"/>
      <c r="F48" s="8"/>
      <c r="G48" s="8"/>
      <c r="H48" s="8"/>
      <c r="I48" s="76"/>
    </row>
    <row r="49">
      <c r="A49" s="8"/>
      <c r="B49" s="8"/>
      <c r="C49" s="18"/>
      <c r="D49" s="18"/>
      <c r="E49" s="8"/>
      <c r="F49" s="8"/>
      <c r="G49" s="8"/>
      <c r="H49" s="8"/>
      <c r="I49" s="76"/>
    </row>
    <row r="50">
      <c r="A50" s="8"/>
      <c r="B50" s="8"/>
      <c r="C50" s="18"/>
      <c r="D50" s="18"/>
      <c r="E50" s="8"/>
      <c r="F50" s="8"/>
      <c r="G50" s="8"/>
      <c r="H50" s="8"/>
      <c r="I50" s="76"/>
    </row>
    <row r="51">
      <c r="A51" s="8"/>
      <c r="B51" s="8"/>
      <c r="C51" s="18"/>
      <c r="D51" s="18"/>
      <c r="E51" s="8"/>
      <c r="F51" s="8"/>
      <c r="G51" s="8"/>
      <c r="H51" s="8"/>
      <c r="I51" s="76"/>
    </row>
    <row r="52">
      <c r="A52" s="8"/>
      <c r="B52" s="8"/>
      <c r="C52" s="18"/>
      <c r="D52" s="18"/>
      <c r="E52" s="8"/>
      <c r="F52" s="8"/>
      <c r="G52" s="8"/>
      <c r="H52" s="8"/>
      <c r="I52" s="76"/>
    </row>
    <row r="53">
      <c r="A53" s="8"/>
      <c r="B53" s="8"/>
      <c r="C53" s="18"/>
      <c r="D53" s="18"/>
      <c r="E53" s="8"/>
      <c r="F53" s="8"/>
      <c r="G53" s="8"/>
      <c r="H53" s="8"/>
      <c r="I53" s="76"/>
    </row>
    <row r="54">
      <c r="A54" s="8"/>
      <c r="B54" s="8"/>
      <c r="C54" s="18"/>
      <c r="D54" s="18"/>
      <c r="E54" s="8"/>
      <c r="F54" s="8"/>
      <c r="G54" s="8"/>
      <c r="H54" s="8"/>
      <c r="I54" s="76"/>
    </row>
    <row r="55">
      <c r="A55" s="8"/>
      <c r="B55" s="8"/>
      <c r="C55" s="18"/>
      <c r="D55" s="18"/>
      <c r="E55" s="8"/>
      <c r="F55" s="8"/>
      <c r="G55" s="8"/>
      <c r="H55" s="8"/>
      <c r="I55" s="76"/>
    </row>
    <row r="56">
      <c r="A56" s="8"/>
      <c r="B56" s="8"/>
      <c r="C56" s="18"/>
      <c r="D56" s="18"/>
      <c r="E56" s="8"/>
      <c r="F56" s="8"/>
      <c r="G56" s="8"/>
      <c r="H56" s="8"/>
      <c r="I56" s="76"/>
    </row>
    <row r="57">
      <c r="A57" s="8"/>
      <c r="B57" s="8"/>
      <c r="C57" s="18"/>
      <c r="D57" s="18"/>
      <c r="E57" s="8"/>
      <c r="F57" s="8"/>
      <c r="G57" s="8"/>
      <c r="H57" s="8"/>
      <c r="I57" s="76"/>
    </row>
    <row r="58">
      <c r="A58" s="8"/>
      <c r="B58" s="8"/>
      <c r="C58" s="18"/>
      <c r="D58" s="18"/>
      <c r="E58" s="8"/>
      <c r="F58" s="8"/>
      <c r="G58" s="8"/>
      <c r="H58" s="8"/>
      <c r="I58" s="76"/>
    </row>
    <row r="59">
      <c r="A59" s="8"/>
      <c r="B59" s="8"/>
      <c r="C59" s="18"/>
      <c r="D59" s="18"/>
      <c r="E59" s="8"/>
      <c r="F59" s="8"/>
      <c r="G59" s="8"/>
      <c r="H59" s="8"/>
      <c r="I59" s="76"/>
    </row>
    <row r="60">
      <c r="A60" s="8"/>
      <c r="B60" s="8"/>
      <c r="C60" s="18"/>
      <c r="D60" s="18"/>
      <c r="E60" s="8"/>
      <c r="F60" s="8"/>
      <c r="G60" s="8"/>
      <c r="H60" s="8"/>
      <c r="I60" s="76"/>
    </row>
    <row r="61">
      <c r="A61" s="8"/>
      <c r="B61" s="8"/>
      <c r="C61" s="18"/>
      <c r="D61" s="18"/>
      <c r="E61" s="8"/>
      <c r="F61" s="8"/>
      <c r="G61" s="8"/>
      <c r="H61" s="8"/>
      <c r="I61" s="76"/>
    </row>
    <row r="62">
      <c r="A62" s="8"/>
      <c r="B62" s="8"/>
      <c r="C62" s="18"/>
      <c r="D62" s="18"/>
      <c r="E62" s="8"/>
      <c r="F62" s="8"/>
      <c r="G62" s="8"/>
      <c r="H62" s="8"/>
      <c r="I62" s="76"/>
    </row>
    <row r="63">
      <c r="A63" s="8"/>
      <c r="B63" s="8"/>
      <c r="C63" s="18"/>
      <c r="D63" s="18"/>
      <c r="E63" s="8"/>
      <c r="F63" s="8"/>
      <c r="G63" s="8"/>
      <c r="H63" s="8"/>
      <c r="I63" s="76"/>
    </row>
    <row r="64">
      <c r="A64" s="8"/>
      <c r="B64" s="8"/>
      <c r="C64" s="18"/>
      <c r="D64" s="18"/>
      <c r="E64" s="8"/>
      <c r="F64" s="8"/>
      <c r="G64" s="8"/>
      <c r="H64" s="8"/>
      <c r="I64" s="76"/>
    </row>
    <row r="65">
      <c r="A65" s="8"/>
      <c r="B65" s="8"/>
      <c r="C65" s="18"/>
      <c r="D65" s="18"/>
      <c r="E65" s="8"/>
      <c r="F65" s="8"/>
      <c r="G65" s="8"/>
      <c r="H65" s="8"/>
      <c r="I65" s="76"/>
    </row>
    <row r="66">
      <c r="A66" s="8"/>
      <c r="B66" s="8"/>
      <c r="C66" s="18"/>
      <c r="D66" s="18"/>
      <c r="E66" s="8"/>
      <c r="F66" s="8"/>
      <c r="G66" s="8"/>
      <c r="H66" s="8"/>
      <c r="I66" s="76"/>
    </row>
    <row r="67">
      <c r="A67" s="8"/>
      <c r="B67" s="8"/>
      <c r="C67" s="18"/>
      <c r="D67" s="18"/>
      <c r="E67" s="8"/>
      <c r="F67" s="8"/>
      <c r="G67" s="8"/>
      <c r="H67" s="8"/>
      <c r="I67" s="76"/>
    </row>
    <row r="68">
      <c r="A68" s="8"/>
      <c r="B68" s="8"/>
      <c r="C68" s="18"/>
      <c r="D68" s="18"/>
      <c r="E68" s="8"/>
      <c r="F68" s="8"/>
      <c r="G68" s="8"/>
      <c r="H68" s="8"/>
      <c r="I68" s="76"/>
    </row>
    <row r="69">
      <c r="A69" s="8"/>
      <c r="B69" s="8"/>
      <c r="C69" s="18"/>
      <c r="D69" s="18"/>
      <c r="E69" s="8"/>
      <c r="F69" s="8"/>
      <c r="G69" s="8"/>
      <c r="H69" s="8"/>
      <c r="I69" s="76"/>
    </row>
    <row r="70">
      <c r="A70" s="8"/>
      <c r="B70" s="8"/>
      <c r="C70" s="18"/>
      <c r="D70" s="18"/>
      <c r="E70" s="8"/>
      <c r="F70" s="8"/>
      <c r="G70" s="8"/>
      <c r="H70" s="8"/>
      <c r="I70" s="76"/>
    </row>
    <row r="71">
      <c r="A71" s="8"/>
      <c r="B71" s="8"/>
      <c r="C71" s="18"/>
      <c r="D71" s="18"/>
      <c r="E71" s="8"/>
      <c r="F71" s="8"/>
      <c r="G71" s="8"/>
      <c r="H71" s="8"/>
      <c r="I71" s="76"/>
    </row>
    <row r="72">
      <c r="A72" s="8"/>
      <c r="B72" s="8"/>
      <c r="C72" s="18"/>
      <c r="D72" s="18"/>
      <c r="E72" s="8"/>
      <c r="F72" s="8"/>
      <c r="G72" s="8"/>
      <c r="H72" s="8"/>
      <c r="I72" s="76"/>
    </row>
    <row r="73">
      <c r="A73" s="8"/>
      <c r="B73" s="8"/>
      <c r="C73" s="18"/>
      <c r="D73" s="18"/>
      <c r="E73" s="8"/>
      <c r="F73" s="8"/>
      <c r="G73" s="8"/>
      <c r="H73" s="8"/>
      <c r="I73" s="76"/>
    </row>
    <row r="74">
      <c r="A74" s="8"/>
      <c r="B74" s="8"/>
      <c r="C74" s="18"/>
      <c r="D74" s="18"/>
      <c r="E74" s="8"/>
      <c r="F74" s="8"/>
      <c r="G74" s="8"/>
      <c r="H74" s="8"/>
      <c r="I74" s="76"/>
    </row>
    <row r="75">
      <c r="A75" s="8"/>
      <c r="B75" s="8"/>
      <c r="C75" s="18"/>
      <c r="D75" s="18"/>
      <c r="E75" s="8"/>
      <c r="F75" s="8"/>
      <c r="G75" s="8"/>
      <c r="H75" s="8"/>
      <c r="I75" s="76"/>
    </row>
    <row r="76">
      <c r="A76" s="8"/>
      <c r="B76" s="8"/>
      <c r="C76" s="18"/>
      <c r="D76" s="18"/>
      <c r="E76" s="8"/>
      <c r="F76" s="8"/>
      <c r="G76" s="8"/>
      <c r="H76" s="8"/>
      <c r="I76" s="76"/>
    </row>
    <row r="77">
      <c r="A77" s="8"/>
      <c r="B77" s="8"/>
      <c r="C77" s="18"/>
      <c r="D77" s="18"/>
      <c r="E77" s="8"/>
      <c r="F77" s="8"/>
      <c r="G77" s="8"/>
      <c r="H77" s="8"/>
      <c r="I77" s="76"/>
    </row>
    <row r="78">
      <c r="A78" s="8"/>
      <c r="B78" s="8"/>
      <c r="C78" s="18"/>
      <c r="D78" s="18"/>
      <c r="E78" s="8"/>
      <c r="F78" s="8"/>
      <c r="G78" s="8"/>
      <c r="H78" s="8"/>
      <c r="I78" s="76"/>
    </row>
    <row r="79">
      <c r="A79" s="8"/>
      <c r="B79" s="8"/>
      <c r="C79" s="18"/>
      <c r="D79" s="18"/>
      <c r="E79" s="8"/>
      <c r="F79" s="8"/>
      <c r="G79" s="8"/>
      <c r="H79" s="8"/>
      <c r="I79" s="76"/>
    </row>
    <row r="80">
      <c r="A80" s="8"/>
      <c r="B80" s="8"/>
      <c r="C80" s="18"/>
      <c r="D80" s="18"/>
      <c r="E80" s="8"/>
      <c r="F80" s="8"/>
      <c r="G80" s="8"/>
      <c r="H80" s="8"/>
      <c r="I80" s="76"/>
    </row>
    <row r="81">
      <c r="A81" s="8"/>
      <c r="B81" s="8"/>
      <c r="C81" s="18"/>
      <c r="D81" s="18"/>
      <c r="E81" s="8"/>
      <c r="F81" s="8"/>
      <c r="G81" s="8"/>
      <c r="H81" s="8"/>
      <c r="I81" s="76"/>
    </row>
    <row r="82">
      <c r="A82" s="8"/>
      <c r="B82" s="8"/>
      <c r="C82" s="18"/>
      <c r="D82" s="18"/>
      <c r="E82" s="8"/>
      <c r="F82" s="8"/>
      <c r="G82" s="8"/>
      <c r="H82" s="8"/>
      <c r="I82" s="76"/>
    </row>
    <row r="83">
      <c r="A83" s="8"/>
      <c r="B83" s="8"/>
      <c r="C83" s="18"/>
      <c r="D83" s="18"/>
      <c r="E83" s="8"/>
      <c r="F83" s="8"/>
      <c r="G83" s="8"/>
      <c r="H83" s="8"/>
      <c r="I83" s="76"/>
    </row>
    <row r="84">
      <c r="A84" s="8"/>
      <c r="B84" s="8"/>
      <c r="C84" s="18"/>
      <c r="D84" s="18"/>
      <c r="E84" s="8"/>
      <c r="F84" s="8"/>
      <c r="G84" s="8"/>
      <c r="H84" s="8"/>
      <c r="I84" s="76"/>
    </row>
    <row r="85">
      <c r="A85" s="8"/>
      <c r="B85" s="8"/>
      <c r="C85" s="18"/>
      <c r="D85" s="18"/>
      <c r="E85" s="8"/>
      <c r="F85" s="8"/>
      <c r="G85" s="8"/>
      <c r="H85" s="8"/>
      <c r="I85" s="76"/>
    </row>
    <row r="86">
      <c r="A86" s="8"/>
      <c r="B86" s="8"/>
      <c r="C86" s="18"/>
      <c r="D86" s="18"/>
      <c r="E86" s="8"/>
      <c r="F86" s="8"/>
      <c r="G86" s="8"/>
      <c r="H86" s="8"/>
      <c r="I86" s="76"/>
    </row>
    <row r="87">
      <c r="A87" s="8"/>
      <c r="B87" s="8"/>
      <c r="C87" s="18"/>
      <c r="D87" s="18"/>
      <c r="E87" s="8"/>
      <c r="F87" s="8"/>
      <c r="G87" s="8"/>
      <c r="H87" s="8"/>
      <c r="I87" s="76"/>
    </row>
    <row r="88">
      <c r="A88" s="8"/>
      <c r="B88" s="8"/>
      <c r="C88" s="18"/>
      <c r="D88" s="18"/>
      <c r="E88" s="8"/>
      <c r="F88" s="8"/>
      <c r="G88" s="8"/>
      <c r="H88" s="8"/>
      <c r="I88" s="76"/>
    </row>
    <row r="89">
      <c r="A89" s="8"/>
      <c r="B89" s="8"/>
      <c r="C89" s="18"/>
      <c r="D89" s="18"/>
      <c r="E89" s="8"/>
      <c r="F89" s="8"/>
      <c r="G89" s="8"/>
      <c r="H89" s="8"/>
      <c r="I89" s="76"/>
    </row>
    <row r="90">
      <c r="A90" s="8"/>
      <c r="B90" s="8"/>
      <c r="C90" s="18"/>
      <c r="D90" s="18"/>
      <c r="E90" s="8"/>
      <c r="F90" s="8"/>
      <c r="G90" s="8"/>
      <c r="H90" s="8"/>
      <c r="I90" s="76"/>
    </row>
    <row r="91">
      <c r="A91" s="8"/>
      <c r="B91" s="8"/>
      <c r="C91" s="18"/>
      <c r="D91" s="18"/>
      <c r="E91" s="8"/>
      <c r="F91" s="8"/>
      <c r="G91" s="8"/>
      <c r="H91" s="8"/>
      <c r="I91" s="76"/>
    </row>
    <row r="92">
      <c r="A92" s="8"/>
      <c r="B92" s="8"/>
      <c r="C92" s="18"/>
      <c r="D92" s="18"/>
      <c r="E92" s="8"/>
      <c r="F92" s="8"/>
      <c r="G92" s="8"/>
      <c r="H92" s="8"/>
      <c r="I92" s="76"/>
    </row>
    <row r="93">
      <c r="A93" s="8"/>
      <c r="B93" s="8"/>
      <c r="C93" s="18"/>
      <c r="D93" s="18"/>
      <c r="E93" s="8"/>
      <c r="F93" s="8"/>
      <c r="G93" s="8"/>
      <c r="H93" s="8"/>
      <c r="I93" s="76"/>
    </row>
    <row r="94">
      <c r="A94" s="8"/>
      <c r="B94" s="8"/>
      <c r="C94" s="18"/>
      <c r="D94" s="18"/>
      <c r="E94" s="8"/>
      <c r="F94" s="8"/>
      <c r="G94" s="8"/>
      <c r="H94" s="8"/>
      <c r="I94" s="76"/>
    </row>
    <row r="95">
      <c r="A95" s="8"/>
      <c r="B95" s="8"/>
      <c r="C95" s="18"/>
      <c r="D95" s="18"/>
      <c r="E95" s="8"/>
      <c r="F95" s="8"/>
      <c r="G95" s="8"/>
      <c r="H95" s="8"/>
      <c r="I95" s="76"/>
    </row>
    <row r="96">
      <c r="A96" s="8"/>
      <c r="B96" s="8"/>
      <c r="C96" s="18"/>
      <c r="D96" s="18"/>
      <c r="E96" s="8"/>
      <c r="F96" s="8"/>
      <c r="G96" s="8"/>
      <c r="H96" s="8"/>
      <c r="I96" s="76"/>
    </row>
    <row r="97">
      <c r="A97" s="8"/>
      <c r="B97" s="8"/>
      <c r="C97" s="18"/>
      <c r="D97" s="18"/>
      <c r="E97" s="8"/>
      <c r="F97" s="8"/>
      <c r="G97" s="8"/>
      <c r="H97" s="8"/>
      <c r="I97" s="76"/>
    </row>
    <row r="98">
      <c r="A98" s="8"/>
      <c r="B98" s="8"/>
      <c r="C98" s="18"/>
      <c r="D98" s="18"/>
      <c r="E98" s="8"/>
      <c r="F98" s="8"/>
      <c r="G98" s="8"/>
      <c r="H98" s="8"/>
      <c r="I98" s="76"/>
    </row>
    <row r="99">
      <c r="A99" s="8"/>
      <c r="B99" s="8"/>
      <c r="C99" s="18"/>
      <c r="D99" s="18"/>
      <c r="E99" s="8"/>
      <c r="F99" s="8"/>
      <c r="G99" s="8"/>
      <c r="H99" s="8"/>
      <c r="I99" s="76"/>
    </row>
    <row r="100">
      <c r="A100" s="8"/>
      <c r="B100" s="8"/>
      <c r="C100" s="18"/>
      <c r="D100" s="18"/>
      <c r="E100" s="8"/>
      <c r="F100" s="8"/>
      <c r="G100" s="8"/>
      <c r="H100" s="8"/>
      <c r="I100" s="76"/>
    </row>
    <row r="101">
      <c r="A101" s="8"/>
      <c r="B101" s="8"/>
      <c r="C101" s="18"/>
      <c r="D101" s="18"/>
      <c r="E101" s="8"/>
      <c r="F101" s="8"/>
      <c r="G101" s="8"/>
      <c r="H101" s="8"/>
      <c r="I101" s="76"/>
    </row>
    <row r="102">
      <c r="A102" s="8"/>
      <c r="B102" s="8"/>
      <c r="C102" s="18"/>
      <c r="D102" s="18"/>
      <c r="E102" s="8"/>
      <c r="F102" s="8"/>
      <c r="G102" s="8"/>
      <c r="H102" s="8"/>
      <c r="I102" s="76"/>
    </row>
    <row r="103">
      <c r="A103" s="8"/>
      <c r="B103" s="8"/>
      <c r="C103" s="18"/>
      <c r="D103" s="18"/>
      <c r="E103" s="8"/>
      <c r="F103" s="8"/>
      <c r="G103" s="8"/>
      <c r="H103" s="8"/>
      <c r="I103" s="76"/>
    </row>
    <row r="104">
      <c r="A104" s="8"/>
      <c r="B104" s="8"/>
      <c r="C104" s="18"/>
      <c r="D104" s="18"/>
      <c r="E104" s="8"/>
      <c r="F104" s="8"/>
      <c r="G104" s="8"/>
      <c r="H104" s="8"/>
      <c r="I104" s="76"/>
    </row>
    <row r="105">
      <c r="A105" s="8"/>
      <c r="B105" s="8"/>
      <c r="C105" s="18"/>
      <c r="D105" s="18"/>
      <c r="E105" s="8"/>
      <c r="F105" s="8"/>
      <c r="G105" s="8"/>
      <c r="H105" s="8"/>
      <c r="I105" s="76"/>
    </row>
    <row r="106">
      <c r="A106" s="8"/>
      <c r="B106" s="8"/>
      <c r="C106" s="18"/>
      <c r="D106" s="18"/>
      <c r="E106" s="8"/>
      <c r="F106" s="8"/>
      <c r="G106" s="8"/>
      <c r="H106" s="8"/>
      <c r="I106" s="76"/>
    </row>
    <row r="107">
      <c r="A107" s="8"/>
      <c r="B107" s="8"/>
      <c r="C107" s="18"/>
      <c r="D107" s="18"/>
      <c r="E107" s="8"/>
      <c r="F107" s="8"/>
      <c r="G107" s="8"/>
      <c r="H107" s="8"/>
      <c r="I107" s="76"/>
    </row>
    <row r="108">
      <c r="A108" s="8"/>
      <c r="B108" s="8"/>
      <c r="C108" s="18"/>
      <c r="D108" s="18"/>
      <c r="E108" s="8"/>
      <c r="F108" s="8"/>
      <c r="G108" s="8"/>
      <c r="H108" s="8"/>
      <c r="I108" s="76"/>
    </row>
    <row r="109">
      <c r="A109" s="8"/>
      <c r="B109" s="8"/>
      <c r="C109" s="18"/>
      <c r="D109" s="18"/>
      <c r="E109" s="8"/>
      <c r="F109" s="8"/>
      <c r="G109" s="8"/>
      <c r="H109" s="8"/>
      <c r="I109" s="76"/>
    </row>
    <row r="110">
      <c r="A110" s="8"/>
      <c r="B110" s="8"/>
      <c r="C110" s="18"/>
      <c r="D110" s="18"/>
      <c r="E110" s="8"/>
      <c r="F110" s="8"/>
      <c r="G110" s="8"/>
      <c r="H110" s="8"/>
      <c r="I110" s="76"/>
    </row>
    <row r="111">
      <c r="A111" s="8"/>
      <c r="B111" s="8"/>
      <c r="C111" s="18"/>
      <c r="D111" s="18"/>
      <c r="E111" s="8"/>
      <c r="F111" s="8"/>
      <c r="G111" s="8"/>
      <c r="H111" s="8"/>
      <c r="I111" s="76"/>
    </row>
    <row r="112">
      <c r="A112" s="8"/>
      <c r="B112" s="8"/>
      <c r="C112" s="18"/>
      <c r="D112" s="18"/>
      <c r="E112" s="8"/>
      <c r="F112" s="8"/>
      <c r="G112" s="8"/>
      <c r="H112" s="8"/>
      <c r="I112" s="76"/>
    </row>
    <row r="113">
      <c r="A113" s="8"/>
      <c r="B113" s="8"/>
      <c r="C113" s="18"/>
      <c r="D113" s="18"/>
      <c r="E113" s="8"/>
      <c r="F113" s="8"/>
      <c r="G113" s="8"/>
      <c r="H113" s="8"/>
      <c r="I113" s="76"/>
    </row>
    <row r="114">
      <c r="A114" s="8"/>
      <c r="B114" s="8"/>
      <c r="C114" s="18"/>
      <c r="D114" s="18"/>
      <c r="E114" s="8"/>
      <c r="F114" s="8"/>
      <c r="G114" s="8"/>
      <c r="H114" s="8"/>
      <c r="I114" s="76"/>
    </row>
    <row r="115">
      <c r="A115" s="8"/>
      <c r="B115" s="8"/>
      <c r="C115" s="18"/>
      <c r="D115" s="18"/>
      <c r="E115" s="8"/>
      <c r="F115" s="8"/>
      <c r="G115" s="8"/>
      <c r="H115" s="8"/>
      <c r="I115" s="76"/>
    </row>
    <row r="116">
      <c r="A116" s="8"/>
      <c r="B116" s="8"/>
      <c r="C116" s="18"/>
      <c r="D116" s="18"/>
      <c r="E116" s="8"/>
      <c r="F116" s="8"/>
      <c r="G116" s="8"/>
      <c r="H116" s="8"/>
      <c r="I116" s="76"/>
    </row>
    <row r="117">
      <c r="A117" s="8"/>
      <c r="B117" s="8"/>
      <c r="C117" s="18"/>
      <c r="D117" s="18"/>
      <c r="E117" s="8"/>
      <c r="F117" s="8"/>
      <c r="G117" s="8"/>
      <c r="H117" s="8"/>
      <c r="I117" s="76"/>
    </row>
    <row r="118">
      <c r="A118" s="8"/>
      <c r="B118" s="8"/>
      <c r="C118" s="18"/>
      <c r="D118" s="18"/>
      <c r="E118" s="8"/>
      <c r="F118" s="8"/>
      <c r="G118" s="8"/>
      <c r="H118" s="8"/>
      <c r="I118" s="76"/>
    </row>
    <row r="119">
      <c r="A119" s="8"/>
      <c r="B119" s="8"/>
      <c r="C119" s="18"/>
      <c r="D119" s="18"/>
      <c r="E119" s="8"/>
      <c r="F119" s="8"/>
      <c r="G119" s="8"/>
      <c r="H119" s="8"/>
      <c r="I119" s="76"/>
    </row>
    <row r="120">
      <c r="A120" s="8"/>
      <c r="B120" s="8"/>
      <c r="C120" s="18"/>
      <c r="D120" s="18"/>
      <c r="E120" s="8"/>
      <c r="F120" s="8"/>
      <c r="G120" s="8"/>
      <c r="H120" s="8"/>
      <c r="I120" s="76"/>
    </row>
    <row r="121">
      <c r="A121" s="8"/>
      <c r="B121" s="8"/>
      <c r="C121" s="18"/>
      <c r="D121" s="18"/>
      <c r="E121" s="8"/>
      <c r="F121" s="8"/>
      <c r="G121" s="8"/>
      <c r="H121" s="8"/>
      <c r="I121" s="76"/>
    </row>
    <row r="122">
      <c r="A122" s="8"/>
      <c r="B122" s="8"/>
      <c r="C122" s="18"/>
      <c r="D122" s="18"/>
      <c r="E122" s="8"/>
      <c r="F122" s="8"/>
      <c r="G122" s="8"/>
      <c r="H122" s="8"/>
      <c r="I122" s="76"/>
    </row>
    <row r="123">
      <c r="A123" s="8"/>
      <c r="B123" s="8"/>
      <c r="C123" s="18"/>
      <c r="D123" s="18"/>
      <c r="E123" s="8"/>
      <c r="F123" s="8"/>
      <c r="G123" s="8"/>
      <c r="H123" s="8"/>
      <c r="I123" s="76"/>
    </row>
    <row r="124">
      <c r="A124" s="8"/>
      <c r="B124" s="8"/>
      <c r="C124" s="18"/>
      <c r="D124" s="18"/>
      <c r="E124" s="8"/>
      <c r="F124" s="8"/>
      <c r="G124" s="8"/>
      <c r="H124" s="8"/>
      <c r="I124" s="76"/>
    </row>
    <row r="125">
      <c r="A125" s="8"/>
      <c r="B125" s="8"/>
      <c r="C125" s="18"/>
      <c r="D125" s="18"/>
      <c r="E125" s="8"/>
      <c r="F125" s="8"/>
      <c r="G125" s="8"/>
      <c r="H125" s="8"/>
      <c r="I125" s="76"/>
    </row>
    <row r="126">
      <c r="A126" s="8"/>
      <c r="B126" s="8"/>
      <c r="C126" s="18"/>
      <c r="D126" s="18"/>
      <c r="E126" s="8"/>
      <c r="F126" s="8"/>
      <c r="G126" s="8"/>
      <c r="H126" s="8"/>
      <c r="I126" s="76"/>
    </row>
    <row r="127">
      <c r="A127" s="8"/>
      <c r="B127" s="8"/>
      <c r="C127" s="18"/>
      <c r="D127" s="18"/>
      <c r="E127" s="8"/>
      <c r="F127" s="8"/>
      <c r="G127" s="8"/>
      <c r="H127" s="8"/>
      <c r="I127" s="76"/>
    </row>
    <row r="128">
      <c r="A128" s="8"/>
      <c r="B128" s="8"/>
      <c r="C128" s="18"/>
      <c r="D128" s="18"/>
      <c r="E128" s="8"/>
      <c r="F128" s="8"/>
      <c r="G128" s="8"/>
      <c r="H128" s="8"/>
      <c r="I128" s="76"/>
    </row>
    <row r="129">
      <c r="A129" s="8"/>
      <c r="B129" s="8"/>
      <c r="C129" s="18"/>
      <c r="D129" s="18"/>
      <c r="E129" s="8"/>
      <c r="F129" s="8"/>
      <c r="G129" s="8"/>
      <c r="H129" s="8"/>
      <c r="I129" s="76"/>
    </row>
    <row r="130">
      <c r="A130" s="8"/>
      <c r="B130" s="8"/>
      <c r="C130" s="18"/>
      <c r="D130" s="18"/>
      <c r="E130" s="8"/>
      <c r="F130" s="8"/>
      <c r="G130" s="8"/>
      <c r="H130" s="8"/>
      <c r="I130" s="76"/>
    </row>
    <row r="131">
      <c r="A131" s="8"/>
      <c r="B131" s="8"/>
      <c r="C131" s="18"/>
      <c r="D131" s="18"/>
      <c r="E131" s="8"/>
      <c r="F131" s="8"/>
      <c r="G131" s="8"/>
      <c r="H131" s="8"/>
      <c r="I131" s="76"/>
    </row>
    <row r="132">
      <c r="A132" s="8"/>
      <c r="B132" s="8"/>
      <c r="C132" s="18"/>
      <c r="D132" s="18"/>
      <c r="E132" s="8"/>
      <c r="F132" s="8"/>
      <c r="G132" s="8"/>
      <c r="H132" s="8"/>
      <c r="I132" s="76"/>
    </row>
    <row r="133">
      <c r="A133" s="8"/>
      <c r="B133" s="8"/>
      <c r="C133" s="18"/>
      <c r="D133" s="18"/>
      <c r="E133" s="8"/>
      <c r="F133" s="8"/>
      <c r="G133" s="8"/>
      <c r="H133" s="8"/>
      <c r="I133" s="76"/>
    </row>
    <row r="134">
      <c r="A134" s="8"/>
      <c r="B134" s="8"/>
      <c r="C134" s="18"/>
      <c r="D134" s="18"/>
      <c r="E134" s="8"/>
      <c r="F134" s="8"/>
      <c r="G134" s="8"/>
      <c r="H134" s="8"/>
      <c r="I134" s="76"/>
    </row>
    <row r="135">
      <c r="A135" s="8"/>
      <c r="B135" s="8"/>
      <c r="C135" s="18"/>
      <c r="D135" s="18"/>
      <c r="E135" s="8"/>
      <c r="F135" s="8"/>
      <c r="G135" s="8"/>
      <c r="H135" s="8"/>
      <c r="I135" s="76"/>
    </row>
    <row r="136">
      <c r="A136" s="8"/>
      <c r="B136" s="8"/>
      <c r="C136" s="18"/>
      <c r="D136" s="18"/>
      <c r="E136" s="8"/>
      <c r="F136" s="8"/>
      <c r="G136" s="8"/>
      <c r="H136" s="8"/>
      <c r="I136" s="76"/>
    </row>
    <row r="137">
      <c r="A137" s="8"/>
      <c r="B137" s="8"/>
      <c r="C137" s="18"/>
      <c r="D137" s="18"/>
      <c r="E137" s="8"/>
      <c r="F137" s="8"/>
      <c r="G137" s="8"/>
      <c r="H137" s="8"/>
      <c r="I137" s="76"/>
    </row>
    <row r="138">
      <c r="A138" s="8"/>
      <c r="B138" s="8"/>
      <c r="C138" s="18"/>
      <c r="D138" s="18"/>
      <c r="E138" s="8"/>
      <c r="F138" s="8"/>
      <c r="G138" s="8"/>
      <c r="H138" s="8"/>
      <c r="I138" s="76"/>
    </row>
    <row r="139">
      <c r="A139" s="8"/>
      <c r="B139" s="8"/>
      <c r="C139" s="18"/>
      <c r="D139" s="18"/>
      <c r="E139" s="8"/>
      <c r="F139" s="8"/>
      <c r="G139" s="8"/>
      <c r="H139" s="8"/>
      <c r="I139" s="76"/>
    </row>
    <row r="140">
      <c r="A140" s="8"/>
      <c r="B140" s="8"/>
      <c r="C140" s="18"/>
      <c r="D140" s="18"/>
      <c r="E140" s="8"/>
      <c r="F140" s="8"/>
      <c r="G140" s="8"/>
      <c r="H140" s="8"/>
      <c r="I140" s="76"/>
    </row>
    <row r="141">
      <c r="A141" s="8"/>
      <c r="B141" s="8"/>
      <c r="C141" s="18"/>
      <c r="D141" s="18"/>
      <c r="E141" s="8"/>
      <c r="F141" s="8"/>
      <c r="G141" s="8"/>
      <c r="H141" s="8"/>
      <c r="I141" s="76"/>
    </row>
    <row r="142">
      <c r="A142" s="8"/>
      <c r="B142" s="8"/>
      <c r="C142" s="18"/>
      <c r="D142" s="18"/>
      <c r="E142" s="8"/>
      <c r="F142" s="8"/>
      <c r="G142" s="8"/>
      <c r="H142" s="8"/>
      <c r="I142" s="76"/>
    </row>
    <row r="143">
      <c r="A143" s="8"/>
      <c r="B143" s="8"/>
      <c r="C143" s="18"/>
      <c r="D143" s="18"/>
      <c r="E143" s="8"/>
      <c r="F143" s="8"/>
      <c r="G143" s="8"/>
      <c r="H143" s="8"/>
      <c r="I143" s="76"/>
    </row>
    <row r="144">
      <c r="A144" s="8"/>
      <c r="B144" s="8"/>
      <c r="C144" s="18"/>
      <c r="D144" s="18"/>
      <c r="E144" s="8"/>
      <c r="F144" s="8"/>
      <c r="G144" s="8"/>
      <c r="H144" s="8"/>
      <c r="I144" s="76"/>
    </row>
    <row r="145">
      <c r="A145" s="8"/>
      <c r="B145" s="8"/>
      <c r="C145" s="18"/>
      <c r="D145" s="18"/>
      <c r="E145" s="8"/>
      <c r="F145" s="8"/>
      <c r="G145" s="8"/>
      <c r="H145" s="8"/>
      <c r="I145" s="76"/>
    </row>
    <row r="146">
      <c r="A146" s="8"/>
      <c r="B146" s="8"/>
      <c r="C146" s="18"/>
      <c r="D146" s="18"/>
      <c r="E146" s="8"/>
      <c r="F146" s="8"/>
      <c r="G146" s="8"/>
      <c r="H146" s="8"/>
      <c r="I146" s="76"/>
    </row>
    <row r="147">
      <c r="A147" s="8"/>
      <c r="B147" s="8"/>
      <c r="C147" s="18"/>
      <c r="D147" s="18"/>
      <c r="E147" s="8"/>
      <c r="F147" s="8"/>
      <c r="G147" s="8"/>
      <c r="H147" s="8"/>
      <c r="I147" s="76"/>
    </row>
    <row r="148">
      <c r="A148" s="8"/>
      <c r="B148" s="8"/>
      <c r="C148" s="18"/>
      <c r="D148" s="18"/>
      <c r="E148" s="8"/>
      <c r="F148" s="8"/>
      <c r="G148" s="8"/>
      <c r="H148" s="8"/>
      <c r="I148" s="76"/>
    </row>
    <row r="149">
      <c r="A149" s="8"/>
      <c r="B149" s="8"/>
      <c r="C149" s="18"/>
      <c r="D149" s="18"/>
      <c r="E149" s="8"/>
      <c r="F149" s="8"/>
      <c r="G149" s="8"/>
      <c r="H149" s="8"/>
      <c r="I149" s="76"/>
    </row>
    <row r="150">
      <c r="A150" s="8"/>
      <c r="B150" s="8"/>
      <c r="C150" s="18"/>
      <c r="D150" s="18"/>
      <c r="E150" s="8"/>
      <c r="F150" s="8"/>
      <c r="G150" s="8"/>
      <c r="H150" s="8"/>
      <c r="I150" s="76"/>
    </row>
    <row r="151">
      <c r="A151" s="8"/>
      <c r="B151" s="8"/>
      <c r="C151" s="18"/>
      <c r="D151" s="18"/>
      <c r="E151" s="8"/>
      <c r="F151" s="8"/>
      <c r="G151" s="8"/>
      <c r="H151" s="8"/>
      <c r="I151" s="76"/>
    </row>
    <row r="152">
      <c r="A152" s="8"/>
      <c r="B152" s="8"/>
      <c r="C152" s="18"/>
      <c r="D152" s="18"/>
      <c r="E152" s="8"/>
      <c r="F152" s="8"/>
      <c r="G152" s="8"/>
      <c r="H152" s="8"/>
      <c r="I152" s="76"/>
    </row>
    <row r="153">
      <c r="A153" s="8"/>
      <c r="B153" s="8"/>
      <c r="C153" s="18"/>
      <c r="D153" s="18"/>
      <c r="E153" s="8"/>
      <c r="F153" s="8"/>
      <c r="G153" s="8"/>
      <c r="H153" s="8"/>
      <c r="I153" s="76"/>
    </row>
    <row r="154">
      <c r="A154" s="8"/>
      <c r="B154" s="8"/>
      <c r="C154" s="18"/>
      <c r="D154" s="18"/>
      <c r="E154" s="8"/>
      <c r="F154" s="8"/>
      <c r="G154" s="8"/>
      <c r="H154" s="8"/>
      <c r="I154" s="76"/>
    </row>
    <row r="155">
      <c r="A155" s="8"/>
      <c r="B155" s="8"/>
      <c r="C155" s="18"/>
      <c r="D155" s="18"/>
      <c r="E155" s="8"/>
      <c r="F155" s="8"/>
      <c r="G155" s="8"/>
      <c r="H155" s="8"/>
      <c r="I155" s="76"/>
    </row>
    <row r="156">
      <c r="A156" s="8"/>
      <c r="B156" s="8"/>
      <c r="C156" s="18"/>
      <c r="D156" s="18"/>
      <c r="E156" s="8"/>
      <c r="F156" s="8"/>
      <c r="G156" s="8"/>
      <c r="H156" s="8"/>
      <c r="I156" s="76"/>
    </row>
    <row r="157">
      <c r="A157" s="8"/>
      <c r="B157" s="8"/>
      <c r="C157" s="18"/>
      <c r="D157" s="18"/>
      <c r="E157" s="8"/>
      <c r="F157" s="8"/>
      <c r="G157" s="8"/>
      <c r="H157" s="8"/>
      <c r="I157" s="76"/>
    </row>
    <row r="158">
      <c r="A158" s="8"/>
      <c r="B158" s="8"/>
      <c r="C158" s="18"/>
      <c r="D158" s="18"/>
      <c r="E158" s="8"/>
      <c r="F158" s="8"/>
      <c r="G158" s="8"/>
      <c r="H158" s="8"/>
      <c r="I158" s="76"/>
    </row>
    <row r="159">
      <c r="A159" s="8"/>
      <c r="B159" s="8"/>
      <c r="C159" s="18"/>
      <c r="D159" s="18"/>
      <c r="E159" s="8"/>
      <c r="F159" s="8"/>
      <c r="G159" s="8"/>
      <c r="H159" s="8"/>
      <c r="I159" s="76"/>
    </row>
    <row r="160">
      <c r="A160" s="8"/>
      <c r="B160" s="8"/>
      <c r="C160" s="18"/>
      <c r="D160" s="18"/>
      <c r="E160" s="8"/>
      <c r="F160" s="8"/>
      <c r="G160" s="8"/>
      <c r="H160" s="8"/>
      <c r="I160" s="76"/>
    </row>
    <row r="161">
      <c r="A161" s="8"/>
      <c r="B161" s="8"/>
      <c r="C161" s="18"/>
      <c r="D161" s="18"/>
      <c r="E161" s="8"/>
      <c r="F161" s="8"/>
      <c r="G161" s="8"/>
      <c r="H161" s="8"/>
      <c r="I161" s="76"/>
    </row>
    <row r="162">
      <c r="A162" s="8"/>
      <c r="B162" s="8"/>
      <c r="C162" s="18"/>
      <c r="D162" s="18"/>
      <c r="E162" s="8"/>
      <c r="F162" s="8"/>
      <c r="G162" s="8"/>
      <c r="H162" s="8"/>
      <c r="I162" s="76"/>
    </row>
    <row r="163">
      <c r="A163" s="8"/>
      <c r="B163" s="8"/>
      <c r="C163" s="18"/>
      <c r="D163" s="18"/>
      <c r="E163" s="8"/>
      <c r="F163" s="8"/>
      <c r="G163" s="8"/>
      <c r="H163" s="8"/>
      <c r="I163" s="76"/>
    </row>
    <row r="164">
      <c r="A164" s="8"/>
      <c r="B164" s="8"/>
      <c r="C164" s="18"/>
      <c r="D164" s="18"/>
      <c r="E164" s="8"/>
      <c r="F164" s="8"/>
      <c r="G164" s="8"/>
      <c r="H164" s="8"/>
      <c r="I164" s="76"/>
    </row>
    <row r="165">
      <c r="A165" s="8"/>
      <c r="B165" s="8"/>
      <c r="C165" s="18"/>
      <c r="D165" s="18"/>
      <c r="E165" s="8"/>
      <c r="F165" s="8"/>
      <c r="G165" s="8"/>
      <c r="H165" s="8"/>
      <c r="I165" s="76"/>
    </row>
    <row r="166">
      <c r="A166" s="8"/>
      <c r="B166" s="8"/>
      <c r="C166" s="18"/>
      <c r="D166" s="18"/>
      <c r="E166" s="8"/>
      <c r="F166" s="8"/>
      <c r="G166" s="8"/>
      <c r="H166" s="8"/>
      <c r="I166" s="76"/>
    </row>
    <row r="167">
      <c r="A167" s="8"/>
      <c r="B167" s="8"/>
      <c r="C167" s="18"/>
      <c r="D167" s="18"/>
      <c r="E167" s="8"/>
      <c r="F167" s="8"/>
      <c r="G167" s="8"/>
      <c r="H167" s="8"/>
      <c r="I167" s="76"/>
    </row>
    <row r="168">
      <c r="A168" s="8"/>
      <c r="B168" s="8"/>
      <c r="C168" s="18"/>
      <c r="D168" s="18"/>
      <c r="E168" s="8"/>
      <c r="F168" s="8"/>
      <c r="G168" s="8"/>
      <c r="H168" s="8"/>
      <c r="I168" s="76"/>
    </row>
    <row r="169">
      <c r="A169" s="8"/>
      <c r="B169" s="8"/>
      <c r="C169" s="18"/>
      <c r="D169" s="18"/>
      <c r="E169" s="8"/>
      <c r="F169" s="8"/>
      <c r="G169" s="8"/>
      <c r="H169" s="8"/>
      <c r="I169" s="76"/>
    </row>
    <row r="170">
      <c r="A170" s="8"/>
      <c r="B170" s="8"/>
      <c r="C170" s="18"/>
      <c r="D170" s="18"/>
      <c r="E170" s="8"/>
      <c r="F170" s="8"/>
      <c r="G170" s="8"/>
      <c r="H170" s="8"/>
      <c r="I170" s="76"/>
    </row>
    <row r="171">
      <c r="A171" s="8"/>
      <c r="B171" s="8"/>
      <c r="C171" s="18"/>
      <c r="D171" s="18"/>
      <c r="E171" s="8"/>
      <c r="F171" s="8"/>
      <c r="G171" s="8"/>
      <c r="H171" s="8"/>
      <c r="I171" s="76"/>
    </row>
    <row r="172">
      <c r="A172" s="8"/>
      <c r="B172" s="8"/>
      <c r="C172" s="18"/>
      <c r="D172" s="18"/>
      <c r="E172" s="8"/>
      <c r="F172" s="8"/>
      <c r="G172" s="8"/>
      <c r="H172" s="8"/>
      <c r="I172" s="76"/>
    </row>
    <row r="173">
      <c r="A173" s="8"/>
      <c r="B173" s="8"/>
      <c r="C173" s="18"/>
      <c r="D173" s="18"/>
      <c r="E173" s="8"/>
      <c r="F173" s="8"/>
      <c r="G173" s="8"/>
      <c r="H173" s="8"/>
      <c r="I173" s="76"/>
    </row>
    <row r="174">
      <c r="A174" s="8"/>
      <c r="B174" s="8"/>
      <c r="C174" s="18"/>
      <c r="D174" s="18"/>
      <c r="E174" s="8"/>
      <c r="F174" s="8"/>
      <c r="G174" s="8"/>
      <c r="H174" s="8"/>
      <c r="I174" s="76"/>
    </row>
    <row r="175">
      <c r="A175" s="8"/>
      <c r="B175" s="8"/>
      <c r="C175" s="18"/>
      <c r="D175" s="18"/>
      <c r="E175" s="8"/>
      <c r="F175" s="8"/>
      <c r="G175" s="8"/>
      <c r="H175" s="8"/>
      <c r="I175" s="76"/>
    </row>
    <row r="176">
      <c r="A176" s="8"/>
      <c r="B176" s="8"/>
      <c r="C176" s="18"/>
      <c r="D176" s="18"/>
      <c r="E176" s="8"/>
      <c r="F176" s="8"/>
      <c r="G176" s="8"/>
      <c r="H176" s="8"/>
      <c r="I176" s="76"/>
    </row>
    <row r="177">
      <c r="A177" s="8"/>
      <c r="B177" s="8"/>
      <c r="C177" s="18"/>
      <c r="D177" s="18"/>
      <c r="E177" s="8"/>
      <c r="F177" s="8"/>
      <c r="G177" s="8"/>
      <c r="H177" s="8"/>
      <c r="I177" s="76"/>
    </row>
    <row r="178">
      <c r="A178" s="8"/>
      <c r="B178" s="8"/>
      <c r="C178" s="18"/>
      <c r="D178" s="18"/>
      <c r="E178" s="8"/>
      <c r="F178" s="8"/>
      <c r="G178" s="8"/>
      <c r="H178" s="8"/>
      <c r="I178" s="76"/>
    </row>
    <row r="179">
      <c r="A179" s="8"/>
      <c r="B179" s="8"/>
      <c r="C179" s="18"/>
      <c r="D179" s="18"/>
      <c r="E179" s="8"/>
      <c r="F179" s="8"/>
      <c r="G179" s="8"/>
      <c r="H179" s="8"/>
      <c r="I179" s="76"/>
    </row>
    <row r="180">
      <c r="A180" s="8"/>
      <c r="B180" s="8"/>
      <c r="C180" s="18"/>
      <c r="D180" s="18"/>
      <c r="E180" s="8"/>
      <c r="F180" s="8"/>
      <c r="G180" s="8"/>
      <c r="H180" s="8"/>
      <c r="I180" s="76"/>
    </row>
    <row r="181">
      <c r="A181" s="8"/>
      <c r="B181" s="8"/>
      <c r="C181" s="18"/>
      <c r="D181" s="18"/>
      <c r="E181" s="8"/>
      <c r="F181" s="8"/>
      <c r="G181" s="8"/>
      <c r="H181" s="8"/>
      <c r="I181" s="76"/>
    </row>
    <row r="182">
      <c r="A182" s="8"/>
      <c r="B182" s="8"/>
      <c r="C182" s="18"/>
      <c r="D182" s="18"/>
      <c r="E182" s="8"/>
      <c r="F182" s="8"/>
      <c r="G182" s="8"/>
      <c r="H182" s="8"/>
      <c r="I182" s="76"/>
    </row>
    <row r="183">
      <c r="A183" s="8"/>
      <c r="B183" s="8"/>
      <c r="C183" s="18"/>
      <c r="D183" s="18"/>
      <c r="E183" s="8"/>
      <c r="F183" s="8"/>
      <c r="G183" s="8"/>
      <c r="H183" s="8"/>
      <c r="I183" s="76"/>
    </row>
    <row r="184">
      <c r="A184" s="8"/>
      <c r="B184" s="8"/>
      <c r="C184" s="18"/>
      <c r="D184" s="18"/>
      <c r="E184" s="8"/>
      <c r="F184" s="8"/>
      <c r="G184" s="8"/>
      <c r="H184" s="8"/>
      <c r="I184" s="76"/>
    </row>
    <row r="185">
      <c r="A185" s="8"/>
      <c r="B185" s="8"/>
      <c r="C185" s="18"/>
      <c r="D185" s="18"/>
      <c r="E185" s="8"/>
      <c r="F185" s="8"/>
      <c r="G185" s="8"/>
      <c r="H185" s="8"/>
      <c r="I185" s="76"/>
    </row>
    <row r="186">
      <c r="A186" s="8"/>
      <c r="B186" s="8"/>
      <c r="C186" s="18"/>
      <c r="D186" s="18"/>
      <c r="E186" s="8"/>
      <c r="F186" s="8"/>
      <c r="G186" s="8"/>
      <c r="H186" s="8"/>
      <c r="I186" s="76"/>
    </row>
    <row r="187">
      <c r="A187" s="8"/>
      <c r="B187" s="8"/>
      <c r="C187" s="18"/>
      <c r="D187" s="18"/>
      <c r="E187" s="8"/>
      <c r="F187" s="8"/>
      <c r="G187" s="8"/>
      <c r="H187" s="8"/>
      <c r="I187" s="76"/>
    </row>
    <row r="188">
      <c r="A188" s="8"/>
      <c r="B188" s="8"/>
      <c r="C188" s="18"/>
      <c r="D188" s="18"/>
      <c r="E188" s="8"/>
      <c r="F188" s="8"/>
      <c r="G188" s="8"/>
      <c r="H188" s="8"/>
      <c r="I188" s="76"/>
    </row>
    <row r="189">
      <c r="A189" s="8"/>
      <c r="B189" s="8"/>
      <c r="C189" s="18"/>
      <c r="D189" s="18"/>
      <c r="E189" s="8"/>
      <c r="F189" s="8"/>
      <c r="G189" s="8"/>
      <c r="H189" s="8"/>
      <c r="I189" s="76"/>
    </row>
    <row r="190">
      <c r="A190" s="8"/>
      <c r="B190" s="8"/>
      <c r="C190" s="18"/>
      <c r="D190" s="18"/>
      <c r="E190" s="8"/>
      <c r="F190" s="8"/>
      <c r="G190" s="8"/>
      <c r="H190" s="8"/>
      <c r="I190" s="76"/>
    </row>
    <row r="191">
      <c r="A191" s="8"/>
      <c r="B191" s="8"/>
      <c r="C191" s="18"/>
      <c r="D191" s="18"/>
      <c r="E191" s="8"/>
      <c r="F191" s="8"/>
      <c r="G191" s="8"/>
      <c r="H191" s="8"/>
      <c r="I191" s="76"/>
    </row>
    <row r="192">
      <c r="A192" s="8"/>
      <c r="B192" s="8"/>
      <c r="C192" s="18"/>
      <c r="D192" s="18"/>
      <c r="E192" s="8"/>
      <c r="F192" s="8"/>
      <c r="G192" s="8"/>
      <c r="H192" s="8"/>
      <c r="I192" s="76"/>
    </row>
    <row r="193">
      <c r="A193" s="8"/>
      <c r="B193" s="8"/>
      <c r="C193" s="18"/>
      <c r="D193" s="18"/>
      <c r="E193" s="8"/>
      <c r="F193" s="8"/>
      <c r="G193" s="8"/>
      <c r="H193" s="8"/>
      <c r="I193" s="76"/>
    </row>
    <row r="194">
      <c r="A194" s="8"/>
      <c r="B194" s="8"/>
      <c r="C194" s="18"/>
      <c r="D194" s="18"/>
      <c r="E194" s="8"/>
      <c r="F194" s="8"/>
      <c r="G194" s="8"/>
      <c r="H194" s="8"/>
      <c r="I194" s="76"/>
    </row>
    <row r="195">
      <c r="A195" s="8"/>
      <c r="B195" s="8"/>
      <c r="C195" s="18"/>
      <c r="D195" s="18"/>
      <c r="E195" s="8"/>
      <c r="F195" s="8"/>
      <c r="G195" s="8"/>
      <c r="H195" s="8"/>
      <c r="I195" s="76"/>
    </row>
    <row r="196">
      <c r="A196" s="8"/>
      <c r="B196" s="8"/>
      <c r="C196" s="18"/>
      <c r="D196" s="18"/>
      <c r="E196" s="8"/>
      <c r="F196" s="8"/>
      <c r="G196" s="8"/>
      <c r="H196" s="8"/>
      <c r="I196" s="76"/>
    </row>
    <row r="197">
      <c r="A197" s="8"/>
      <c r="B197" s="8"/>
      <c r="C197" s="18"/>
      <c r="D197" s="18"/>
      <c r="E197" s="8"/>
      <c r="F197" s="8"/>
      <c r="G197" s="8"/>
      <c r="H197" s="8"/>
      <c r="I197" s="76"/>
    </row>
    <row r="198">
      <c r="A198" s="8"/>
      <c r="B198" s="8"/>
      <c r="C198" s="18"/>
      <c r="D198" s="18"/>
      <c r="E198" s="8"/>
      <c r="F198" s="8"/>
      <c r="G198" s="8"/>
      <c r="H198" s="8"/>
      <c r="I198" s="76"/>
    </row>
    <row r="199">
      <c r="A199" s="8"/>
      <c r="B199" s="8"/>
      <c r="C199" s="18"/>
      <c r="D199" s="18"/>
      <c r="E199" s="8"/>
      <c r="F199" s="8"/>
      <c r="G199" s="8"/>
      <c r="H199" s="8"/>
      <c r="I199" s="76"/>
    </row>
    <row r="200">
      <c r="A200" s="8"/>
      <c r="B200" s="8"/>
      <c r="C200" s="18"/>
      <c r="D200" s="18"/>
      <c r="E200" s="8"/>
      <c r="F200" s="8"/>
      <c r="G200" s="8"/>
      <c r="H200" s="8"/>
      <c r="I200" s="76"/>
    </row>
    <row r="201">
      <c r="A201" s="8"/>
      <c r="B201" s="8"/>
      <c r="C201" s="18"/>
      <c r="D201" s="18"/>
      <c r="E201" s="8"/>
      <c r="F201" s="8"/>
      <c r="G201" s="8"/>
      <c r="H201" s="8"/>
      <c r="I201" s="76"/>
    </row>
    <row r="202">
      <c r="A202" s="8"/>
      <c r="B202" s="8"/>
      <c r="C202" s="18"/>
      <c r="D202" s="18"/>
      <c r="E202" s="8"/>
      <c r="F202" s="8"/>
      <c r="G202" s="8"/>
      <c r="H202" s="8"/>
      <c r="I202" s="76"/>
    </row>
    <row r="203">
      <c r="A203" s="8"/>
      <c r="B203" s="8"/>
      <c r="C203" s="18"/>
      <c r="D203" s="18"/>
      <c r="E203" s="8"/>
      <c r="F203" s="8"/>
      <c r="G203" s="8"/>
      <c r="H203" s="8"/>
      <c r="I203" s="76"/>
    </row>
    <row r="204">
      <c r="A204" s="8"/>
      <c r="B204" s="8"/>
      <c r="C204" s="18"/>
      <c r="D204" s="18"/>
      <c r="E204" s="8"/>
      <c r="F204" s="8"/>
      <c r="G204" s="8"/>
      <c r="H204" s="8"/>
      <c r="I204" s="76"/>
    </row>
    <row r="205">
      <c r="A205" s="8"/>
      <c r="B205" s="8"/>
      <c r="C205" s="18"/>
      <c r="D205" s="18"/>
      <c r="E205" s="8"/>
      <c r="F205" s="8"/>
      <c r="G205" s="8"/>
      <c r="H205" s="8"/>
      <c r="I205" s="76"/>
    </row>
    <row r="206">
      <c r="A206" s="8"/>
      <c r="B206" s="8"/>
      <c r="C206" s="18"/>
      <c r="D206" s="18"/>
      <c r="E206" s="8"/>
      <c r="F206" s="8"/>
      <c r="G206" s="8"/>
      <c r="H206" s="8"/>
      <c r="I206" s="76"/>
    </row>
    <row r="207">
      <c r="A207" s="8"/>
      <c r="B207" s="8"/>
      <c r="C207" s="18"/>
      <c r="D207" s="18"/>
      <c r="E207" s="8"/>
      <c r="F207" s="8"/>
      <c r="G207" s="8"/>
      <c r="H207" s="8"/>
      <c r="I207" s="76"/>
    </row>
    <row r="208">
      <c r="A208" s="8"/>
      <c r="B208" s="8"/>
      <c r="C208" s="18"/>
      <c r="D208" s="18"/>
      <c r="E208" s="8"/>
      <c r="F208" s="8"/>
      <c r="G208" s="8"/>
      <c r="H208" s="8"/>
      <c r="I208" s="76"/>
    </row>
    <row r="209">
      <c r="A209" s="8"/>
      <c r="B209" s="8"/>
      <c r="C209" s="18"/>
      <c r="D209" s="18"/>
      <c r="E209" s="8"/>
      <c r="F209" s="8"/>
      <c r="G209" s="8"/>
      <c r="H209" s="8"/>
      <c r="I209" s="76"/>
    </row>
    <row r="210">
      <c r="A210" s="8"/>
      <c r="B210" s="8"/>
      <c r="C210" s="18"/>
      <c r="D210" s="18"/>
      <c r="E210" s="8"/>
      <c r="F210" s="8"/>
      <c r="G210" s="8"/>
      <c r="H210" s="8"/>
      <c r="I210" s="76"/>
    </row>
    <row r="211">
      <c r="A211" s="8"/>
      <c r="B211" s="8"/>
      <c r="C211" s="18"/>
      <c r="D211" s="18"/>
      <c r="E211" s="8"/>
      <c r="F211" s="8"/>
      <c r="G211" s="8"/>
      <c r="H211" s="8"/>
      <c r="I211" s="76"/>
    </row>
    <row r="212">
      <c r="A212" s="8"/>
      <c r="B212" s="8"/>
      <c r="C212" s="18"/>
      <c r="D212" s="18"/>
      <c r="E212" s="8"/>
      <c r="F212" s="8"/>
      <c r="G212" s="8"/>
      <c r="H212" s="8"/>
      <c r="I212" s="76"/>
    </row>
    <row r="213">
      <c r="A213" s="8"/>
      <c r="B213" s="8"/>
      <c r="C213" s="18"/>
      <c r="D213" s="18"/>
      <c r="E213" s="8"/>
      <c r="F213" s="8"/>
      <c r="G213" s="8"/>
      <c r="H213" s="8"/>
      <c r="I213" s="76"/>
    </row>
    <row r="214">
      <c r="A214" s="8"/>
      <c r="B214" s="8"/>
      <c r="C214" s="18"/>
      <c r="D214" s="18"/>
      <c r="E214" s="8"/>
      <c r="F214" s="8"/>
      <c r="G214" s="8"/>
      <c r="H214" s="8"/>
      <c r="I214" s="76"/>
    </row>
    <row r="215">
      <c r="A215" s="8"/>
      <c r="B215" s="8"/>
      <c r="C215" s="18"/>
      <c r="D215" s="18"/>
      <c r="E215" s="8"/>
      <c r="F215" s="8"/>
      <c r="G215" s="8"/>
      <c r="H215" s="8"/>
      <c r="I215" s="76"/>
    </row>
    <row r="216">
      <c r="A216" s="8"/>
      <c r="B216" s="8"/>
      <c r="C216" s="18"/>
      <c r="D216" s="18"/>
      <c r="E216" s="8"/>
      <c r="F216" s="8"/>
      <c r="G216" s="8"/>
      <c r="H216" s="8"/>
      <c r="I216" s="76"/>
    </row>
    <row r="217">
      <c r="A217" s="8"/>
      <c r="B217" s="8"/>
      <c r="C217" s="18"/>
      <c r="D217" s="18"/>
      <c r="E217" s="8"/>
      <c r="F217" s="8"/>
      <c r="G217" s="8"/>
      <c r="H217" s="8"/>
      <c r="I217" s="76"/>
    </row>
    <row r="218">
      <c r="A218" s="8"/>
      <c r="B218" s="8"/>
      <c r="C218" s="18"/>
      <c r="D218" s="18"/>
      <c r="E218" s="8"/>
      <c r="F218" s="8"/>
      <c r="G218" s="8"/>
      <c r="H218" s="8"/>
      <c r="I218" s="76"/>
    </row>
    <row r="219">
      <c r="A219" s="8"/>
      <c r="B219" s="8"/>
      <c r="C219" s="18"/>
      <c r="D219" s="18"/>
      <c r="E219" s="8"/>
      <c r="F219" s="8"/>
      <c r="G219" s="8"/>
      <c r="H219" s="8"/>
      <c r="I219" s="76"/>
    </row>
    <row r="220">
      <c r="A220" s="8"/>
      <c r="B220" s="8"/>
      <c r="C220" s="18"/>
      <c r="D220" s="18"/>
      <c r="E220" s="8"/>
      <c r="F220" s="8"/>
      <c r="G220" s="8"/>
      <c r="H220" s="8"/>
      <c r="I220" s="76"/>
    </row>
    <row r="221">
      <c r="A221" s="8"/>
      <c r="B221" s="8"/>
      <c r="C221" s="18"/>
      <c r="D221" s="18"/>
      <c r="E221" s="8"/>
      <c r="F221" s="8"/>
      <c r="G221" s="8"/>
      <c r="H221" s="8"/>
      <c r="I221" s="76"/>
    </row>
    <row r="222">
      <c r="A222" s="8"/>
      <c r="B222" s="8"/>
      <c r="C222" s="18"/>
      <c r="D222" s="18"/>
      <c r="E222" s="8"/>
      <c r="F222" s="8"/>
      <c r="G222" s="8"/>
      <c r="H222" s="8"/>
      <c r="I222" s="76"/>
    </row>
    <row r="223">
      <c r="A223" s="8"/>
      <c r="B223" s="8"/>
      <c r="C223" s="18"/>
      <c r="D223" s="18"/>
      <c r="E223" s="8"/>
      <c r="F223" s="8"/>
      <c r="G223" s="8"/>
      <c r="H223" s="8"/>
      <c r="I223" s="76"/>
    </row>
    <row r="224">
      <c r="A224" s="8"/>
      <c r="B224" s="8"/>
      <c r="C224" s="18"/>
      <c r="D224" s="18"/>
      <c r="E224" s="8"/>
      <c r="F224" s="8"/>
      <c r="G224" s="8"/>
      <c r="H224" s="8"/>
      <c r="I224" s="76"/>
    </row>
    <row r="225">
      <c r="A225" s="8"/>
      <c r="B225" s="8"/>
      <c r="C225" s="18"/>
      <c r="D225" s="18"/>
      <c r="E225" s="8"/>
      <c r="F225" s="8"/>
      <c r="G225" s="8"/>
      <c r="H225" s="8"/>
      <c r="I225" s="76"/>
    </row>
    <row r="226">
      <c r="A226" s="8"/>
      <c r="B226" s="8"/>
      <c r="C226" s="18"/>
      <c r="D226" s="18"/>
      <c r="E226" s="8"/>
      <c r="F226" s="8"/>
      <c r="G226" s="8"/>
      <c r="H226" s="8"/>
      <c r="I226" s="76"/>
    </row>
    <row r="227">
      <c r="A227" s="8"/>
      <c r="B227" s="8"/>
      <c r="C227" s="18"/>
      <c r="D227" s="18"/>
      <c r="E227" s="8"/>
      <c r="F227" s="8"/>
      <c r="G227" s="8"/>
      <c r="H227" s="8"/>
      <c r="I227" s="76"/>
    </row>
    <row r="228">
      <c r="A228" s="8"/>
      <c r="B228" s="8"/>
      <c r="C228" s="18"/>
      <c r="D228" s="18"/>
      <c r="E228" s="8"/>
      <c r="F228" s="8"/>
      <c r="G228" s="8"/>
      <c r="H228" s="8"/>
      <c r="I228" s="76"/>
    </row>
    <row r="229">
      <c r="A229" s="8"/>
      <c r="B229" s="8"/>
      <c r="C229" s="18"/>
      <c r="D229" s="18"/>
      <c r="E229" s="8"/>
      <c r="F229" s="8"/>
      <c r="G229" s="8"/>
      <c r="H229" s="8"/>
      <c r="I229" s="76"/>
    </row>
    <row r="230">
      <c r="A230" s="8"/>
      <c r="B230" s="8"/>
      <c r="C230" s="18"/>
      <c r="D230" s="18"/>
      <c r="E230" s="8"/>
      <c r="F230" s="8"/>
      <c r="G230" s="8"/>
      <c r="H230" s="8"/>
      <c r="I230" s="76"/>
    </row>
    <row r="231">
      <c r="A231" s="8"/>
      <c r="B231" s="8"/>
      <c r="C231" s="18"/>
      <c r="D231" s="18"/>
      <c r="E231" s="8"/>
      <c r="F231" s="8"/>
      <c r="G231" s="8"/>
      <c r="H231" s="8"/>
      <c r="I231" s="76"/>
    </row>
    <row r="232">
      <c r="A232" s="8"/>
      <c r="B232" s="8"/>
      <c r="C232" s="18"/>
      <c r="D232" s="18"/>
      <c r="E232" s="8"/>
      <c r="F232" s="8"/>
      <c r="G232" s="8"/>
      <c r="H232" s="8"/>
      <c r="I232" s="76"/>
    </row>
    <row r="233">
      <c r="A233" s="8"/>
      <c r="B233" s="8"/>
      <c r="C233" s="18"/>
      <c r="D233" s="18"/>
      <c r="E233" s="8"/>
      <c r="F233" s="8"/>
      <c r="G233" s="8"/>
      <c r="H233" s="8"/>
      <c r="I233" s="76"/>
    </row>
    <row r="234">
      <c r="A234" s="8"/>
      <c r="B234" s="8"/>
      <c r="C234" s="18"/>
      <c r="D234" s="18"/>
      <c r="E234" s="8"/>
      <c r="F234" s="8"/>
      <c r="G234" s="8"/>
      <c r="H234" s="8"/>
      <c r="I234" s="76"/>
    </row>
    <row r="235">
      <c r="A235" s="8"/>
      <c r="B235" s="8"/>
      <c r="C235" s="18"/>
      <c r="D235" s="18"/>
      <c r="E235" s="8"/>
      <c r="F235" s="8"/>
      <c r="G235" s="8"/>
      <c r="H235" s="8"/>
      <c r="I235" s="76"/>
    </row>
    <row r="236">
      <c r="A236" s="8"/>
      <c r="B236" s="8"/>
      <c r="C236" s="18"/>
      <c r="D236" s="18"/>
      <c r="E236" s="8"/>
      <c r="F236" s="8"/>
      <c r="G236" s="8"/>
      <c r="H236" s="8"/>
      <c r="I236" s="76"/>
    </row>
    <row r="237">
      <c r="A237" s="8"/>
      <c r="B237" s="8"/>
      <c r="C237" s="18"/>
      <c r="D237" s="18"/>
      <c r="E237" s="8"/>
      <c r="F237" s="8"/>
      <c r="G237" s="8"/>
      <c r="H237" s="8"/>
      <c r="I237" s="76"/>
    </row>
    <row r="238">
      <c r="A238" s="8"/>
      <c r="B238" s="8"/>
      <c r="C238" s="18"/>
      <c r="D238" s="18"/>
      <c r="E238" s="8"/>
      <c r="F238" s="8"/>
      <c r="G238" s="8"/>
      <c r="H238" s="8"/>
      <c r="I238" s="76"/>
    </row>
    <row r="239">
      <c r="A239" s="8"/>
      <c r="B239" s="8"/>
      <c r="C239" s="18"/>
      <c r="D239" s="18"/>
      <c r="E239" s="8"/>
      <c r="F239" s="8"/>
      <c r="G239" s="8"/>
      <c r="H239" s="8"/>
      <c r="I239" s="76"/>
    </row>
    <row r="240">
      <c r="A240" s="8"/>
      <c r="B240" s="8"/>
      <c r="C240" s="18"/>
      <c r="D240" s="18"/>
      <c r="E240" s="8"/>
      <c r="F240" s="8"/>
      <c r="G240" s="8"/>
      <c r="H240" s="8"/>
      <c r="I240" s="76"/>
    </row>
    <row r="241">
      <c r="A241" s="8"/>
      <c r="B241" s="8"/>
      <c r="C241" s="18"/>
      <c r="D241" s="18"/>
      <c r="E241" s="8"/>
      <c r="F241" s="8"/>
      <c r="G241" s="8"/>
      <c r="H241" s="8"/>
      <c r="I241" s="76"/>
    </row>
    <row r="242">
      <c r="A242" s="8"/>
      <c r="B242" s="8"/>
      <c r="C242" s="18"/>
      <c r="D242" s="18"/>
      <c r="E242" s="8"/>
      <c r="F242" s="8"/>
      <c r="G242" s="8"/>
      <c r="H242" s="8"/>
      <c r="I242" s="76"/>
    </row>
    <row r="243">
      <c r="A243" s="8"/>
      <c r="B243" s="8"/>
      <c r="C243" s="18"/>
      <c r="D243" s="18"/>
      <c r="E243" s="8"/>
      <c r="F243" s="8"/>
      <c r="G243" s="8"/>
      <c r="H243" s="8"/>
      <c r="I243" s="76"/>
    </row>
    <row r="244">
      <c r="A244" s="8"/>
      <c r="B244" s="8"/>
      <c r="C244" s="18"/>
      <c r="D244" s="18"/>
      <c r="E244" s="8"/>
      <c r="F244" s="8"/>
      <c r="G244" s="8"/>
      <c r="H244" s="8"/>
      <c r="I244" s="76"/>
    </row>
    <row r="245">
      <c r="A245" s="8"/>
      <c r="B245" s="8"/>
      <c r="C245" s="18"/>
      <c r="D245" s="18"/>
      <c r="E245" s="8"/>
      <c r="F245" s="8"/>
      <c r="G245" s="8"/>
      <c r="H245" s="8"/>
      <c r="I245" s="76"/>
    </row>
    <row r="246">
      <c r="A246" s="8"/>
      <c r="B246" s="8"/>
      <c r="C246" s="18"/>
      <c r="D246" s="18"/>
      <c r="E246" s="8"/>
      <c r="F246" s="8"/>
      <c r="G246" s="8"/>
      <c r="H246" s="8"/>
      <c r="I246" s="76"/>
    </row>
    <row r="247">
      <c r="A247" s="8"/>
      <c r="B247" s="8"/>
      <c r="C247" s="18"/>
      <c r="D247" s="18"/>
      <c r="E247" s="8"/>
      <c r="F247" s="8"/>
      <c r="G247" s="8"/>
      <c r="H247" s="8"/>
      <c r="I247" s="76"/>
    </row>
    <row r="248">
      <c r="A248" s="8"/>
      <c r="B248" s="8"/>
      <c r="C248" s="18"/>
      <c r="D248" s="18"/>
      <c r="E248" s="8"/>
      <c r="F248" s="8"/>
      <c r="G248" s="8"/>
      <c r="H248" s="8"/>
      <c r="I248" s="76"/>
    </row>
    <row r="249">
      <c r="A249" s="8"/>
      <c r="B249" s="8"/>
      <c r="C249" s="18"/>
      <c r="D249" s="18"/>
      <c r="E249" s="8"/>
      <c r="F249" s="8"/>
      <c r="G249" s="8"/>
      <c r="H249" s="8"/>
      <c r="I249" s="76"/>
    </row>
    <row r="250">
      <c r="A250" s="8"/>
      <c r="B250" s="8"/>
      <c r="C250" s="18"/>
      <c r="D250" s="18"/>
      <c r="E250" s="8"/>
      <c r="F250" s="8"/>
      <c r="G250" s="8"/>
      <c r="H250" s="8"/>
      <c r="I250" s="76"/>
    </row>
    <row r="251">
      <c r="A251" s="8"/>
      <c r="B251" s="8"/>
      <c r="C251" s="18"/>
      <c r="D251" s="18"/>
      <c r="E251" s="8"/>
      <c r="F251" s="8"/>
      <c r="G251" s="8"/>
      <c r="H251" s="8"/>
      <c r="I251" s="76"/>
    </row>
    <row r="252">
      <c r="A252" s="8"/>
      <c r="B252" s="8"/>
      <c r="C252" s="18"/>
      <c r="D252" s="18"/>
      <c r="E252" s="8"/>
      <c r="F252" s="8"/>
      <c r="G252" s="8"/>
      <c r="H252" s="8"/>
      <c r="I252" s="76"/>
    </row>
    <row r="253">
      <c r="A253" s="8"/>
      <c r="B253" s="8"/>
      <c r="C253" s="18"/>
      <c r="D253" s="18"/>
      <c r="E253" s="8"/>
      <c r="F253" s="8"/>
      <c r="G253" s="8"/>
      <c r="H253" s="8"/>
      <c r="I253" s="76"/>
    </row>
    <row r="254">
      <c r="A254" s="8"/>
      <c r="B254" s="8"/>
      <c r="C254" s="18"/>
      <c r="D254" s="18"/>
      <c r="E254" s="8"/>
      <c r="F254" s="8"/>
      <c r="G254" s="8"/>
      <c r="H254" s="8"/>
      <c r="I254" s="76"/>
    </row>
    <row r="255">
      <c r="A255" s="8"/>
      <c r="B255" s="8"/>
      <c r="C255" s="18"/>
      <c r="D255" s="18"/>
      <c r="E255" s="8"/>
      <c r="F255" s="8"/>
      <c r="G255" s="8"/>
      <c r="H255" s="8"/>
      <c r="I255" s="76"/>
    </row>
    <row r="256">
      <c r="A256" s="8"/>
      <c r="B256" s="8"/>
      <c r="C256" s="18"/>
      <c r="D256" s="18"/>
      <c r="E256" s="8"/>
      <c r="F256" s="8"/>
      <c r="G256" s="8"/>
      <c r="H256" s="8"/>
      <c r="I256" s="76"/>
    </row>
    <row r="257">
      <c r="A257" s="8"/>
      <c r="B257" s="8"/>
      <c r="C257" s="18"/>
      <c r="D257" s="18"/>
      <c r="E257" s="8"/>
      <c r="F257" s="8"/>
      <c r="G257" s="8"/>
      <c r="H257" s="8"/>
      <c r="I257" s="76"/>
    </row>
    <row r="258">
      <c r="A258" s="8"/>
      <c r="B258" s="8"/>
      <c r="C258" s="18"/>
      <c r="D258" s="18"/>
      <c r="E258" s="8"/>
      <c r="F258" s="8"/>
      <c r="G258" s="8"/>
      <c r="H258" s="8"/>
      <c r="I258" s="76"/>
    </row>
    <row r="259">
      <c r="A259" s="8"/>
      <c r="B259" s="8"/>
      <c r="C259" s="18"/>
      <c r="D259" s="18"/>
      <c r="E259" s="8"/>
      <c r="F259" s="8"/>
      <c r="G259" s="8"/>
      <c r="H259" s="8"/>
      <c r="I259" s="76"/>
    </row>
    <row r="260">
      <c r="A260" s="8"/>
      <c r="B260" s="8"/>
      <c r="C260" s="18"/>
      <c r="D260" s="18"/>
      <c r="E260" s="8"/>
      <c r="F260" s="8"/>
      <c r="G260" s="8"/>
      <c r="H260" s="8"/>
      <c r="I260" s="76"/>
    </row>
    <row r="261">
      <c r="A261" s="8"/>
      <c r="B261" s="8"/>
      <c r="C261" s="18"/>
      <c r="D261" s="18"/>
      <c r="E261" s="8"/>
      <c r="F261" s="8"/>
      <c r="G261" s="8"/>
      <c r="H261" s="8"/>
      <c r="I261" s="76"/>
    </row>
    <row r="262">
      <c r="A262" s="8"/>
      <c r="B262" s="8"/>
      <c r="C262" s="18"/>
      <c r="D262" s="18"/>
      <c r="E262" s="8"/>
      <c r="F262" s="8"/>
      <c r="G262" s="8"/>
      <c r="H262" s="8"/>
      <c r="I262" s="76"/>
    </row>
    <row r="263">
      <c r="A263" s="8"/>
      <c r="B263" s="8"/>
      <c r="C263" s="18"/>
      <c r="D263" s="18"/>
      <c r="E263" s="8"/>
      <c r="F263" s="8"/>
      <c r="G263" s="8"/>
      <c r="H263" s="8"/>
      <c r="I263" s="76"/>
    </row>
    <row r="264">
      <c r="A264" s="8"/>
      <c r="B264" s="8"/>
      <c r="C264" s="18"/>
      <c r="D264" s="18"/>
      <c r="E264" s="8"/>
      <c r="F264" s="8"/>
      <c r="G264" s="8"/>
      <c r="H264" s="8"/>
      <c r="I264" s="76"/>
    </row>
    <row r="265">
      <c r="A265" s="8"/>
      <c r="B265" s="8"/>
      <c r="C265" s="18"/>
      <c r="D265" s="18"/>
      <c r="E265" s="8"/>
      <c r="F265" s="8"/>
      <c r="G265" s="8"/>
      <c r="H265" s="8"/>
      <c r="I265" s="76"/>
    </row>
    <row r="266">
      <c r="A266" s="8"/>
      <c r="B266" s="8"/>
      <c r="C266" s="18"/>
      <c r="D266" s="18"/>
      <c r="E266" s="8"/>
      <c r="F266" s="8"/>
      <c r="G266" s="8"/>
      <c r="H266" s="8"/>
      <c r="I266" s="76"/>
    </row>
    <row r="267">
      <c r="A267" s="8"/>
      <c r="B267" s="8"/>
      <c r="C267" s="18"/>
      <c r="D267" s="18"/>
      <c r="E267" s="8"/>
      <c r="F267" s="8"/>
      <c r="G267" s="8"/>
      <c r="H267" s="8"/>
      <c r="I267" s="76"/>
    </row>
    <row r="268">
      <c r="A268" s="8"/>
      <c r="B268" s="8"/>
      <c r="C268" s="18"/>
      <c r="D268" s="18"/>
      <c r="E268" s="8"/>
      <c r="F268" s="8"/>
      <c r="G268" s="8"/>
      <c r="H268" s="8"/>
      <c r="I268" s="76"/>
    </row>
    <row r="269">
      <c r="A269" s="8"/>
      <c r="B269" s="8"/>
      <c r="C269" s="18"/>
      <c r="D269" s="18"/>
      <c r="E269" s="8"/>
      <c r="F269" s="8"/>
      <c r="G269" s="8"/>
      <c r="H269" s="8"/>
      <c r="I269" s="76"/>
    </row>
    <row r="270">
      <c r="A270" s="8"/>
      <c r="B270" s="8"/>
      <c r="C270" s="18"/>
      <c r="D270" s="18"/>
      <c r="E270" s="8"/>
      <c r="F270" s="8"/>
      <c r="G270" s="8"/>
      <c r="H270" s="8"/>
      <c r="I270" s="76"/>
    </row>
    <row r="271">
      <c r="A271" s="8"/>
      <c r="B271" s="8"/>
      <c r="C271" s="18"/>
      <c r="D271" s="18"/>
      <c r="E271" s="8"/>
      <c r="F271" s="8"/>
      <c r="G271" s="8"/>
      <c r="H271" s="8"/>
      <c r="I271" s="76"/>
    </row>
    <row r="272">
      <c r="A272" s="8"/>
      <c r="B272" s="8"/>
      <c r="C272" s="18"/>
      <c r="D272" s="18"/>
      <c r="E272" s="8"/>
      <c r="F272" s="8"/>
      <c r="G272" s="8"/>
      <c r="H272" s="8"/>
      <c r="I272" s="76"/>
    </row>
    <row r="273">
      <c r="A273" s="8"/>
      <c r="B273" s="8"/>
      <c r="C273" s="18"/>
      <c r="D273" s="18"/>
      <c r="E273" s="8"/>
      <c r="F273" s="8"/>
      <c r="G273" s="8"/>
      <c r="H273" s="8"/>
      <c r="I273" s="76"/>
    </row>
    <row r="274">
      <c r="A274" s="8"/>
      <c r="B274" s="8"/>
      <c r="C274" s="18"/>
      <c r="D274" s="18"/>
      <c r="E274" s="8"/>
      <c r="F274" s="8"/>
      <c r="G274" s="8"/>
      <c r="H274" s="8"/>
      <c r="I274" s="76"/>
    </row>
    <row r="275">
      <c r="A275" s="8"/>
      <c r="B275" s="8"/>
      <c r="C275" s="18"/>
      <c r="D275" s="18"/>
      <c r="E275" s="8"/>
      <c r="F275" s="8"/>
      <c r="G275" s="8"/>
      <c r="H275" s="8"/>
      <c r="I275" s="76"/>
    </row>
    <row r="276">
      <c r="A276" s="8"/>
      <c r="B276" s="8"/>
      <c r="C276" s="18"/>
      <c r="D276" s="18"/>
      <c r="E276" s="8"/>
      <c r="F276" s="8"/>
      <c r="G276" s="8"/>
      <c r="H276" s="8"/>
      <c r="I276" s="76"/>
    </row>
    <row r="277">
      <c r="A277" s="8"/>
      <c r="B277" s="8"/>
      <c r="C277" s="18"/>
      <c r="D277" s="18"/>
      <c r="E277" s="8"/>
      <c r="F277" s="8"/>
      <c r="G277" s="8"/>
      <c r="H277" s="8"/>
      <c r="I277" s="76"/>
    </row>
    <row r="278">
      <c r="A278" s="8"/>
      <c r="B278" s="8"/>
      <c r="C278" s="18"/>
      <c r="D278" s="18"/>
      <c r="E278" s="8"/>
      <c r="F278" s="8"/>
      <c r="G278" s="8"/>
      <c r="H278" s="8"/>
      <c r="I278" s="76"/>
    </row>
    <row r="279">
      <c r="A279" s="8"/>
      <c r="B279" s="8"/>
      <c r="C279" s="18"/>
      <c r="D279" s="18"/>
      <c r="E279" s="8"/>
      <c r="F279" s="8"/>
      <c r="G279" s="8"/>
      <c r="H279" s="8"/>
      <c r="I279" s="76"/>
    </row>
    <row r="280">
      <c r="A280" s="8"/>
      <c r="B280" s="8"/>
      <c r="C280" s="18"/>
      <c r="D280" s="18"/>
      <c r="E280" s="8"/>
      <c r="F280" s="8"/>
      <c r="G280" s="8"/>
      <c r="H280" s="8"/>
      <c r="I280" s="76"/>
    </row>
    <row r="281">
      <c r="A281" s="8"/>
      <c r="B281" s="8"/>
      <c r="C281" s="18"/>
      <c r="D281" s="18"/>
      <c r="E281" s="8"/>
      <c r="F281" s="8"/>
      <c r="G281" s="8"/>
      <c r="H281" s="8"/>
      <c r="I281" s="76"/>
    </row>
    <row r="282">
      <c r="A282" s="8"/>
      <c r="B282" s="8"/>
      <c r="C282" s="18"/>
      <c r="D282" s="18"/>
      <c r="E282" s="8"/>
      <c r="F282" s="8"/>
      <c r="G282" s="8"/>
      <c r="H282" s="8"/>
      <c r="I282" s="76"/>
    </row>
    <row r="283">
      <c r="A283" s="8"/>
      <c r="B283" s="8"/>
      <c r="C283" s="18"/>
      <c r="D283" s="18"/>
      <c r="E283" s="8"/>
      <c r="F283" s="8"/>
      <c r="G283" s="8"/>
      <c r="H283" s="8"/>
      <c r="I283" s="76"/>
    </row>
    <row r="284">
      <c r="A284" s="8"/>
      <c r="B284" s="8"/>
      <c r="C284" s="18"/>
      <c r="D284" s="18"/>
      <c r="E284" s="8"/>
      <c r="F284" s="8"/>
      <c r="G284" s="8"/>
      <c r="H284" s="8"/>
      <c r="I284" s="76"/>
    </row>
    <row r="285">
      <c r="A285" s="8"/>
      <c r="B285" s="8"/>
      <c r="C285" s="18"/>
      <c r="D285" s="18"/>
      <c r="E285" s="8"/>
      <c r="F285" s="8"/>
      <c r="G285" s="8"/>
      <c r="H285" s="8"/>
      <c r="I285" s="76"/>
    </row>
    <row r="286">
      <c r="A286" s="8"/>
      <c r="B286" s="8"/>
      <c r="C286" s="18"/>
      <c r="D286" s="18"/>
      <c r="E286" s="8"/>
      <c r="F286" s="8"/>
      <c r="G286" s="8"/>
      <c r="H286" s="8"/>
      <c r="I286" s="76"/>
    </row>
    <row r="287">
      <c r="A287" s="8"/>
      <c r="B287" s="8"/>
      <c r="C287" s="18"/>
      <c r="D287" s="18"/>
      <c r="E287" s="8"/>
      <c r="F287" s="8"/>
      <c r="G287" s="8"/>
      <c r="H287" s="8"/>
      <c r="I287" s="76"/>
    </row>
    <row r="288">
      <c r="A288" s="8"/>
      <c r="B288" s="8"/>
      <c r="C288" s="18"/>
      <c r="D288" s="18"/>
      <c r="E288" s="8"/>
      <c r="F288" s="8"/>
      <c r="G288" s="8"/>
      <c r="H288" s="8"/>
      <c r="I288" s="76"/>
    </row>
    <row r="289">
      <c r="A289" s="8"/>
      <c r="B289" s="8"/>
      <c r="C289" s="18"/>
      <c r="D289" s="18"/>
      <c r="E289" s="8"/>
      <c r="F289" s="8"/>
      <c r="G289" s="8"/>
      <c r="H289" s="8"/>
      <c r="I289" s="76"/>
    </row>
    <row r="290">
      <c r="A290" s="8"/>
      <c r="B290" s="8"/>
      <c r="C290" s="18"/>
      <c r="D290" s="18"/>
      <c r="E290" s="8"/>
      <c r="F290" s="8"/>
      <c r="G290" s="8"/>
      <c r="H290" s="8"/>
      <c r="I290" s="76"/>
    </row>
    <row r="291">
      <c r="A291" s="8"/>
      <c r="B291" s="8"/>
      <c r="C291" s="18"/>
      <c r="D291" s="18"/>
      <c r="E291" s="8"/>
      <c r="F291" s="8"/>
      <c r="G291" s="8"/>
      <c r="H291" s="8"/>
      <c r="I291" s="76"/>
    </row>
    <row r="292">
      <c r="A292" s="8"/>
      <c r="B292" s="8"/>
      <c r="C292" s="18"/>
      <c r="D292" s="18"/>
      <c r="E292" s="8"/>
      <c r="F292" s="8"/>
      <c r="G292" s="8"/>
      <c r="H292" s="8"/>
      <c r="I292" s="76"/>
    </row>
    <row r="293">
      <c r="A293" s="8"/>
      <c r="B293" s="8"/>
      <c r="C293" s="18"/>
      <c r="D293" s="18"/>
      <c r="E293" s="8"/>
      <c r="F293" s="8"/>
      <c r="G293" s="8"/>
      <c r="H293" s="8"/>
      <c r="I293" s="76"/>
    </row>
    <row r="294">
      <c r="A294" s="8"/>
      <c r="B294" s="8"/>
      <c r="C294" s="18"/>
      <c r="D294" s="18"/>
      <c r="E294" s="8"/>
      <c r="F294" s="8"/>
      <c r="G294" s="8"/>
      <c r="H294" s="8"/>
      <c r="I294" s="76"/>
    </row>
    <row r="295">
      <c r="A295" s="8"/>
      <c r="B295" s="8"/>
      <c r="C295" s="18"/>
      <c r="D295" s="18"/>
      <c r="E295" s="8"/>
      <c r="F295" s="8"/>
      <c r="G295" s="8"/>
      <c r="H295" s="8"/>
      <c r="I295" s="76"/>
    </row>
    <row r="296">
      <c r="A296" s="8"/>
      <c r="B296" s="8"/>
      <c r="C296" s="18"/>
      <c r="D296" s="18"/>
      <c r="E296" s="8"/>
      <c r="F296" s="8"/>
      <c r="G296" s="8"/>
      <c r="H296" s="8"/>
      <c r="I296" s="76"/>
    </row>
    <row r="297">
      <c r="A297" s="8"/>
      <c r="B297" s="8"/>
      <c r="C297" s="18"/>
      <c r="D297" s="18"/>
      <c r="E297" s="8"/>
      <c r="F297" s="8"/>
      <c r="G297" s="8"/>
      <c r="H297" s="8"/>
      <c r="I297" s="76"/>
    </row>
    <row r="298">
      <c r="A298" s="8"/>
      <c r="B298" s="8"/>
      <c r="C298" s="18"/>
      <c r="D298" s="18"/>
      <c r="E298" s="8"/>
      <c r="F298" s="8"/>
      <c r="G298" s="8"/>
      <c r="H298" s="8"/>
      <c r="I298" s="76"/>
    </row>
    <row r="299">
      <c r="A299" s="8"/>
      <c r="B299" s="8"/>
      <c r="C299" s="18"/>
      <c r="D299" s="18"/>
      <c r="E299" s="8"/>
      <c r="F299" s="8"/>
      <c r="G299" s="8"/>
      <c r="H299" s="8"/>
      <c r="I299" s="76"/>
    </row>
    <row r="300">
      <c r="A300" s="8"/>
      <c r="B300" s="8"/>
      <c r="C300" s="18"/>
      <c r="D300" s="18"/>
      <c r="E300" s="8"/>
      <c r="F300" s="8"/>
      <c r="G300" s="8"/>
      <c r="H300" s="8"/>
      <c r="I300" s="76"/>
    </row>
    <row r="301">
      <c r="A301" s="8"/>
      <c r="B301" s="8"/>
      <c r="C301" s="18"/>
      <c r="D301" s="18"/>
      <c r="E301" s="8"/>
      <c r="F301" s="8"/>
      <c r="G301" s="8"/>
      <c r="H301" s="8"/>
      <c r="I301" s="76"/>
    </row>
    <row r="302">
      <c r="A302" s="8"/>
      <c r="B302" s="8"/>
      <c r="C302" s="18"/>
      <c r="D302" s="18"/>
      <c r="E302" s="8"/>
      <c r="F302" s="8"/>
      <c r="G302" s="8"/>
      <c r="H302" s="8"/>
      <c r="I302" s="76"/>
    </row>
    <row r="303">
      <c r="A303" s="8"/>
      <c r="B303" s="8"/>
      <c r="C303" s="18"/>
      <c r="D303" s="18"/>
      <c r="E303" s="8"/>
      <c r="F303" s="8"/>
      <c r="G303" s="8"/>
      <c r="H303" s="8"/>
      <c r="I303" s="76"/>
    </row>
    <row r="304">
      <c r="A304" s="8"/>
      <c r="B304" s="8"/>
      <c r="C304" s="18"/>
      <c r="D304" s="18"/>
      <c r="E304" s="8"/>
      <c r="F304" s="8"/>
      <c r="G304" s="8"/>
      <c r="H304" s="8"/>
      <c r="I304" s="76"/>
    </row>
    <row r="305">
      <c r="A305" s="8"/>
      <c r="B305" s="8"/>
      <c r="C305" s="18"/>
      <c r="D305" s="18"/>
      <c r="E305" s="8"/>
      <c r="F305" s="8"/>
      <c r="G305" s="8"/>
      <c r="H305" s="8"/>
      <c r="I305" s="76"/>
    </row>
    <row r="306">
      <c r="A306" s="8"/>
      <c r="B306" s="8"/>
      <c r="C306" s="18"/>
      <c r="D306" s="18"/>
      <c r="E306" s="8"/>
      <c r="F306" s="8"/>
      <c r="G306" s="8"/>
      <c r="H306" s="8"/>
      <c r="I306" s="76"/>
    </row>
    <row r="307">
      <c r="A307" s="8"/>
      <c r="B307" s="8"/>
      <c r="C307" s="18"/>
      <c r="D307" s="18"/>
      <c r="E307" s="8"/>
      <c r="F307" s="8"/>
      <c r="G307" s="8"/>
      <c r="H307" s="8"/>
      <c r="I307" s="76"/>
    </row>
    <row r="308">
      <c r="A308" s="8"/>
      <c r="B308" s="8"/>
      <c r="C308" s="18"/>
      <c r="D308" s="18"/>
      <c r="E308" s="8"/>
      <c r="F308" s="8"/>
      <c r="G308" s="8"/>
      <c r="H308" s="8"/>
      <c r="I308" s="76"/>
    </row>
    <row r="309">
      <c r="A309" s="8"/>
      <c r="B309" s="8"/>
      <c r="C309" s="18"/>
      <c r="D309" s="18"/>
      <c r="E309" s="8"/>
      <c r="F309" s="8"/>
      <c r="G309" s="8"/>
      <c r="H309" s="8"/>
      <c r="I309" s="76"/>
    </row>
    <row r="310">
      <c r="A310" s="8"/>
      <c r="B310" s="8"/>
      <c r="C310" s="18"/>
      <c r="D310" s="18"/>
      <c r="E310" s="8"/>
      <c r="F310" s="8"/>
      <c r="G310" s="8"/>
      <c r="H310" s="8"/>
      <c r="I310" s="76"/>
    </row>
    <row r="311">
      <c r="A311" s="8"/>
      <c r="B311" s="8"/>
      <c r="C311" s="18"/>
      <c r="D311" s="18"/>
      <c r="E311" s="8"/>
      <c r="F311" s="8"/>
      <c r="G311" s="8"/>
      <c r="H311" s="8"/>
      <c r="I311" s="76"/>
    </row>
    <row r="312">
      <c r="A312" s="8"/>
      <c r="B312" s="8"/>
      <c r="C312" s="18"/>
      <c r="D312" s="18"/>
      <c r="E312" s="8"/>
      <c r="F312" s="8"/>
      <c r="G312" s="8"/>
      <c r="H312" s="8"/>
      <c r="I312" s="76"/>
    </row>
    <row r="313">
      <c r="A313" s="8"/>
      <c r="B313" s="8"/>
      <c r="C313" s="18"/>
      <c r="D313" s="18"/>
      <c r="E313" s="8"/>
      <c r="F313" s="8"/>
      <c r="G313" s="8"/>
      <c r="H313" s="8"/>
      <c r="I313" s="76"/>
    </row>
    <row r="314">
      <c r="A314" s="8"/>
      <c r="B314" s="8"/>
      <c r="C314" s="18"/>
      <c r="D314" s="18"/>
      <c r="E314" s="8"/>
      <c r="F314" s="8"/>
      <c r="G314" s="8"/>
      <c r="H314" s="8"/>
      <c r="I314" s="76"/>
    </row>
    <row r="315">
      <c r="A315" s="8"/>
      <c r="B315" s="8"/>
      <c r="C315" s="18"/>
      <c r="D315" s="18"/>
      <c r="E315" s="8"/>
      <c r="F315" s="8"/>
      <c r="G315" s="8"/>
      <c r="H315" s="8"/>
      <c r="I315" s="76"/>
    </row>
    <row r="316">
      <c r="A316" s="8"/>
      <c r="B316" s="8"/>
      <c r="C316" s="18"/>
      <c r="D316" s="18"/>
      <c r="E316" s="8"/>
      <c r="F316" s="8"/>
      <c r="G316" s="8"/>
      <c r="H316" s="8"/>
      <c r="I316" s="76"/>
    </row>
    <row r="317">
      <c r="A317" s="8"/>
      <c r="B317" s="8"/>
      <c r="C317" s="18"/>
      <c r="D317" s="18"/>
      <c r="E317" s="8"/>
      <c r="F317" s="8"/>
      <c r="G317" s="8"/>
      <c r="H317" s="8"/>
      <c r="I317" s="76"/>
    </row>
    <row r="318">
      <c r="A318" s="8"/>
      <c r="B318" s="8"/>
      <c r="C318" s="18"/>
      <c r="D318" s="18"/>
      <c r="E318" s="8"/>
      <c r="F318" s="8"/>
      <c r="G318" s="8"/>
      <c r="H318" s="8"/>
      <c r="I318" s="76"/>
    </row>
    <row r="319">
      <c r="A319" s="8"/>
      <c r="B319" s="8"/>
      <c r="C319" s="18"/>
      <c r="D319" s="18"/>
      <c r="E319" s="8"/>
      <c r="F319" s="8"/>
      <c r="G319" s="8"/>
      <c r="H319" s="8"/>
      <c r="I319" s="76"/>
    </row>
    <row r="320">
      <c r="A320" s="8"/>
      <c r="B320" s="8"/>
      <c r="C320" s="18"/>
      <c r="D320" s="18"/>
      <c r="E320" s="8"/>
      <c r="F320" s="8"/>
      <c r="G320" s="8"/>
      <c r="H320" s="8"/>
      <c r="I320" s="76"/>
    </row>
    <row r="321">
      <c r="A321" s="8"/>
      <c r="B321" s="8"/>
      <c r="C321" s="18"/>
      <c r="D321" s="18"/>
      <c r="E321" s="8"/>
      <c r="F321" s="8"/>
      <c r="G321" s="8"/>
      <c r="H321" s="8"/>
      <c r="I321" s="76"/>
    </row>
    <row r="322">
      <c r="A322" s="8"/>
      <c r="B322" s="8"/>
      <c r="C322" s="18"/>
      <c r="D322" s="18"/>
      <c r="E322" s="8"/>
      <c r="F322" s="8"/>
      <c r="G322" s="8"/>
      <c r="H322" s="8"/>
      <c r="I322" s="76"/>
    </row>
    <row r="323">
      <c r="A323" s="8"/>
      <c r="B323" s="8"/>
      <c r="C323" s="18"/>
      <c r="D323" s="18"/>
      <c r="E323" s="8"/>
      <c r="F323" s="8"/>
      <c r="G323" s="8"/>
      <c r="H323" s="8"/>
      <c r="I323" s="76"/>
    </row>
    <row r="324">
      <c r="A324" s="8"/>
      <c r="B324" s="8"/>
      <c r="C324" s="18"/>
      <c r="D324" s="18"/>
      <c r="E324" s="8"/>
      <c r="F324" s="8"/>
      <c r="G324" s="8"/>
      <c r="H324" s="8"/>
      <c r="I324" s="76"/>
    </row>
    <row r="325">
      <c r="A325" s="8"/>
      <c r="B325" s="8"/>
      <c r="C325" s="18"/>
      <c r="D325" s="18"/>
      <c r="E325" s="8"/>
      <c r="F325" s="8"/>
      <c r="G325" s="8"/>
      <c r="H325" s="8"/>
      <c r="I325" s="76"/>
    </row>
    <row r="326">
      <c r="A326" s="8"/>
      <c r="B326" s="8"/>
      <c r="C326" s="18"/>
      <c r="D326" s="18"/>
      <c r="E326" s="8"/>
      <c r="F326" s="8"/>
      <c r="G326" s="8"/>
      <c r="H326" s="8"/>
      <c r="I326" s="76"/>
    </row>
    <row r="327">
      <c r="A327" s="8"/>
      <c r="B327" s="8"/>
      <c r="C327" s="18"/>
      <c r="D327" s="18"/>
      <c r="E327" s="8"/>
      <c r="F327" s="8"/>
      <c r="G327" s="8"/>
      <c r="H327" s="8"/>
      <c r="I327" s="76"/>
    </row>
    <row r="328">
      <c r="A328" s="8"/>
      <c r="B328" s="8"/>
      <c r="C328" s="18"/>
      <c r="D328" s="18"/>
      <c r="E328" s="8"/>
      <c r="F328" s="8"/>
      <c r="G328" s="8"/>
      <c r="H328" s="8"/>
      <c r="I328" s="76"/>
    </row>
    <row r="329">
      <c r="A329" s="8"/>
      <c r="B329" s="8"/>
      <c r="C329" s="18"/>
      <c r="D329" s="18"/>
      <c r="E329" s="8"/>
      <c r="F329" s="8"/>
      <c r="G329" s="8"/>
      <c r="H329" s="8"/>
      <c r="I329" s="76"/>
    </row>
    <row r="330">
      <c r="A330" s="8"/>
      <c r="B330" s="8"/>
      <c r="C330" s="18"/>
      <c r="D330" s="18"/>
      <c r="E330" s="8"/>
      <c r="F330" s="8"/>
      <c r="G330" s="8"/>
      <c r="H330" s="8"/>
      <c r="I330" s="76"/>
    </row>
    <row r="331">
      <c r="A331" s="8"/>
      <c r="B331" s="8"/>
      <c r="C331" s="18"/>
      <c r="D331" s="18"/>
      <c r="E331" s="8"/>
      <c r="F331" s="8"/>
      <c r="G331" s="8"/>
      <c r="H331" s="8"/>
      <c r="I331" s="76"/>
    </row>
    <row r="332">
      <c r="A332" s="8"/>
      <c r="B332" s="8"/>
      <c r="C332" s="18"/>
      <c r="D332" s="18"/>
      <c r="E332" s="8"/>
      <c r="F332" s="8"/>
      <c r="G332" s="8"/>
      <c r="H332" s="8"/>
      <c r="I332" s="76"/>
    </row>
    <row r="333">
      <c r="A333" s="8"/>
      <c r="B333" s="8"/>
      <c r="C333" s="18"/>
      <c r="D333" s="18"/>
      <c r="E333" s="8"/>
      <c r="F333" s="8"/>
      <c r="G333" s="8"/>
      <c r="H333" s="8"/>
      <c r="I333" s="76"/>
    </row>
    <row r="334">
      <c r="A334" s="8"/>
      <c r="B334" s="8"/>
      <c r="C334" s="18"/>
      <c r="D334" s="18"/>
      <c r="E334" s="8"/>
      <c r="F334" s="8"/>
      <c r="G334" s="8"/>
      <c r="H334" s="8"/>
      <c r="I334" s="76"/>
    </row>
    <row r="335">
      <c r="A335" s="8"/>
      <c r="B335" s="8"/>
      <c r="C335" s="18"/>
      <c r="D335" s="18"/>
      <c r="E335" s="8"/>
      <c r="F335" s="8"/>
      <c r="G335" s="8"/>
      <c r="H335" s="8"/>
      <c r="I335" s="76"/>
    </row>
    <row r="336">
      <c r="A336" s="8"/>
      <c r="B336" s="8"/>
      <c r="C336" s="18"/>
      <c r="D336" s="18"/>
      <c r="E336" s="8"/>
      <c r="F336" s="8"/>
      <c r="G336" s="8"/>
      <c r="H336" s="8"/>
      <c r="I336" s="76"/>
    </row>
    <row r="337">
      <c r="A337" s="8"/>
      <c r="B337" s="8"/>
      <c r="C337" s="18"/>
      <c r="D337" s="18"/>
      <c r="E337" s="8"/>
      <c r="F337" s="8"/>
      <c r="G337" s="8"/>
      <c r="H337" s="8"/>
      <c r="I337" s="76"/>
    </row>
    <row r="338">
      <c r="A338" s="8"/>
      <c r="B338" s="8"/>
      <c r="C338" s="18"/>
      <c r="D338" s="18"/>
      <c r="E338" s="8"/>
      <c r="F338" s="8"/>
      <c r="G338" s="8"/>
      <c r="H338" s="8"/>
      <c r="I338" s="76"/>
    </row>
    <row r="339">
      <c r="A339" s="8"/>
      <c r="B339" s="8"/>
      <c r="C339" s="18"/>
      <c r="D339" s="18"/>
      <c r="E339" s="8"/>
      <c r="F339" s="8"/>
      <c r="G339" s="8"/>
      <c r="H339" s="8"/>
      <c r="I339" s="76"/>
    </row>
    <row r="340">
      <c r="A340" s="8"/>
      <c r="B340" s="8"/>
      <c r="C340" s="18"/>
      <c r="D340" s="18"/>
      <c r="E340" s="8"/>
      <c r="F340" s="8"/>
      <c r="G340" s="8"/>
      <c r="H340" s="8"/>
      <c r="I340" s="76"/>
    </row>
    <row r="341">
      <c r="A341" s="8"/>
      <c r="B341" s="8"/>
      <c r="C341" s="18"/>
      <c r="D341" s="18"/>
      <c r="E341" s="8"/>
      <c r="F341" s="8"/>
      <c r="G341" s="8"/>
      <c r="H341" s="8"/>
      <c r="I341" s="76"/>
    </row>
    <row r="342">
      <c r="A342" s="8"/>
      <c r="B342" s="8"/>
      <c r="C342" s="18"/>
      <c r="D342" s="18"/>
      <c r="E342" s="8"/>
      <c r="F342" s="8"/>
      <c r="G342" s="8"/>
      <c r="H342" s="8"/>
      <c r="I342" s="76"/>
    </row>
    <row r="343">
      <c r="A343" s="8"/>
      <c r="B343" s="8"/>
      <c r="C343" s="18"/>
      <c r="D343" s="18"/>
      <c r="E343" s="8"/>
      <c r="F343" s="8"/>
      <c r="G343" s="8"/>
      <c r="H343" s="8"/>
      <c r="I343" s="76"/>
    </row>
    <row r="344">
      <c r="A344" s="8"/>
      <c r="B344" s="8"/>
      <c r="C344" s="18"/>
      <c r="D344" s="18"/>
      <c r="E344" s="8"/>
      <c r="F344" s="8"/>
      <c r="G344" s="8"/>
      <c r="H344" s="8"/>
      <c r="I344" s="76"/>
    </row>
    <row r="345">
      <c r="A345" s="8"/>
      <c r="B345" s="8"/>
      <c r="C345" s="18"/>
      <c r="D345" s="18"/>
      <c r="E345" s="8"/>
      <c r="F345" s="8"/>
      <c r="G345" s="8"/>
      <c r="H345" s="8"/>
      <c r="I345" s="76"/>
    </row>
    <row r="346">
      <c r="A346" s="8"/>
      <c r="B346" s="8"/>
      <c r="C346" s="18"/>
      <c r="D346" s="18"/>
      <c r="E346" s="8"/>
      <c r="F346" s="8"/>
      <c r="G346" s="8"/>
      <c r="H346" s="8"/>
      <c r="I346" s="76"/>
    </row>
    <row r="347">
      <c r="A347" s="8"/>
      <c r="B347" s="8"/>
      <c r="C347" s="18"/>
      <c r="D347" s="18"/>
      <c r="E347" s="8"/>
      <c r="F347" s="8"/>
      <c r="G347" s="8"/>
      <c r="H347" s="8"/>
      <c r="I347" s="76"/>
    </row>
    <row r="348">
      <c r="A348" s="8"/>
      <c r="B348" s="8"/>
      <c r="C348" s="18"/>
      <c r="D348" s="18"/>
      <c r="E348" s="8"/>
      <c r="F348" s="8"/>
      <c r="G348" s="8"/>
      <c r="H348" s="8"/>
      <c r="I348" s="76"/>
    </row>
    <row r="349">
      <c r="A349" s="8"/>
      <c r="B349" s="8"/>
      <c r="C349" s="18"/>
      <c r="D349" s="18"/>
      <c r="E349" s="8"/>
      <c r="F349" s="8"/>
      <c r="G349" s="8"/>
      <c r="H349" s="8"/>
      <c r="I349" s="76"/>
    </row>
    <row r="350">
      <c r="A350" s="8"/>
      <c r="B350" s="8"/>
      <c r="C350" s="18"/>
      <c r="D350" s="18"/>
      <c r="E350" s="8"/>
      <c r="F350" s="8"/>
      <c r="G350" s="8"/>
      <c r="H350" s="8"/>
      <c r="I350" s="76"/>
    </row>
    <row r="351">
      <c r="A351" s="8"/>
      <c r="B351" s="8"/>
      <c r="C351" s="18"/>
      <c r="D351" s="18"/>
      <c r="E351" s="8"/>
      <c r="F351" s="8"/>
      <c r="G351" s="8"/>
      <c r="H351" s="8"/>
      <c r="I351" s="76"/>
    </row>
    <row r="352">
      <c r="A352" s="8"/>
      <c r="B352" s="8"/>
      <c r="C352" s="18"/>
      <c r="D352" s="18"/>
      <c r="E352" s="8"/>
      <c r="F352" s="8"/>
      <c r="G352" s="8"/>
      <c r="H352" s="8"/>
      <c r="I352" s="76"/>
    </row>
    <row r="353">
      <c r="A353" s="8"/>
      <c r="B353" s="8"/>
      <c r="C353" s="18"/>
      <c r="D353" s="18"/>
      <c r="E353" s="8"/>
      <c r="F353" s="8"/>
      <c r="G353" s="8"/>
      <c r="H353" s="8"/>
      <c r="I353" s="76"/>
    </row>
    <row r="354">
      <c r="A354" s="8"/>
      <c r="B354" s="8"/>
      <c r="C354" s="18"/>
      <c r="D354" s="18"/>
      <c r="E354" s="8"/>
      <c r="F354" s="8"/>
      <c r="G354" s="8"/>
      <c r="H354" s="8"/>
      <c r="I354" s="76"/>
    </row>
    <row r="355">
      <c r="A355" s="8"/>
      <c r="B355" s="8"/>
      <c r="C355" s="18"/>
      <c r="D355" s="18"/>
      <c r="E355" s="8"/>
      <c r="F355" s="8"/>
      <c r="G355" s="8"/>
      <c r="H355" s="8"/>
      <c r="I355" s="76"/>
    </row>
    <row r="356">
      <c r="A356" s="8"/>
      <c r="B356" s="8"/>
      <c r="C356" s="18"/>
      <c r="D356" s="18"/>
      <c r="E356" s="8"/>
      <c r="F356" s="8"/>
      <c r="G356" s="8"/>
      <c r="H356" s="8"/>
      <c r="I356" s="76"/>
    </row>
    <row r="357">
      <c r="A357" s="8"/>
      <c r="B357" s="8"/>
      <c r="C357" s="18"/>
      <c r="D357" s="18"/>
      <c r="E357" s="8"/>
      <c r="F357" s="8"/>
      <c r="G357" s="8"/>
      <c r="H357" s="8"/>
      <c r="I357" s="76"/>
    </row>
    <row r="358">
      <c r="A358" s="8"/>
      <c r="B358" s="8"/>
      <c r="C358" s="18"/>
      <c r="D358" s="18"/>
      <c r="E358" s="8"/>
      <c r="F358" s="8"/>
      <c r="G358" s="8"/>
      <c r="H358" s="8"/>
      <c r="I358" s="76"/>
    </row>
    <row r="359">
      <c r="A359" s="8"/>
      <c r="B359" s="8"/>
      <c r="C359" s="18"/>
      <c r="D359" s="18"/>
      <c r="E359" s="8"/>
      <c r="F359" s="8"/>
      <c r="G359" s="8"/>
      <c r="H359" s="8"/>
      <c r="I359" s="76"/>
    </row>
    <row r="360">
      <c r="A360" s="8"/>
      <c r="B360" s="8"/>
      <c r="C360" s="18"/>
      <c r="D360" s="18"/>
      <c r="E360" s="8"/>
      <c r="F360" s="8"/>
      <c r="G360" s="8"/>
      <c r="H360" s="8"/>
      <c r="I360" s="76"/>
    </row>
    <row r="361">
      <c r="A361" s="8"/>
      <c r="B361" s="8"/>
      <c r="C361" s="18"/>
      <c r="D361" s="18"/>
      <c r="E361" s="8"/>
      <c r="F361" s="8"/>
      <c r="G361" s="8"/>
      <c r="H361" s="8"/>
      <c r="I361" s="76"/>
    </row>
    <row r="362">
      <c r="A362" s="8"/>
      <c r="B362" s="8"/>
      <c r="C362" s="18"/>
      <c r="D362" s="18"/>
      <c r="E362" s="8"/>
      <c r="F362" s="8"/>
      <c r="G362" s="8"/>
      <c r="H362" s="8"/>
      <c r="I362" s="76"/>
    </row>
    <row r="363">
      <c r="A363" s="8"/>
      <c r="B363" s="8"/>
      <c r="C363" s="18"/>
      <c r="D363" s="18"/>
      <c r="E363" s="8"/>
      <c r="F363" s="8"/>
      <c r="G363" s="8"/>
      <c r="H363" s="8"/>
      <c r="I363" s="76"/>
    </row>
    <row r="364">
      <c r="A364" s="8"/>
      <c r="B364" s="8"/>
      <c r="C364" s="18"/>
      <c r="D364" s="18"/>
      <c r="E364" s="8"/>
      <c r="F364" s="8"/>
      <c r="G364" s="8"/>
      <c r="H364" s="8"/>
      <c r="I364" s="76"/>
    </row>
    <row r="365">
      <c r="A365" s="8"/>
      <c r="B365" s="8"/>
      <c r="C365" s="18"/>
      <c r="D365" s="18"/>
      <c r="E365" s="8"/>
      <c r="F365" s="8"/>
      <c r="G365" s="8"/>
      <c r="H365" s="8"/>
      <c r="I365" s="76"/>
    </row>
    <row r="366">
      <c r="A366" s="8"/>
      <c r="B366" s="8"/>
      <c r="C366" s="18"/>
      <c r="D366" s="18"/>
      <c r="E366" s="8"/>
      <c r="F366" s="8"/>
      <c r="G366" s="8"/>
      <c r="H366" s="8"/>
      <c r="I366" s="76"/>
    </row>
    <row r="367">
      <c r="A367" s="8"/>
      <c r="B367" s="8"/>
      <c r="C367" s="18"/>
      <c r="D367" s="18"/>
      <c r="E367" s="8"/>
      <c r="F367" s="8"/>
      <c r="G367" s="8"/>
      <c r="H367" s="8"/>
      <c r="I367" s="76"/>
    </row>
    <row r="368">
      <c r="A368" s="8"/>
      <c r="B368" s="8"/>
      <c r="C368" s="18"/>
      <c r="D368" s="18"/>
      <c r="E368" s="8"/>
      <c r="F368" s="8"/>
      <c r="G368" s="8"/>
      <c r="H368" s="8"/>
      <c r="I368" s="76"/>
    </row>
    <row r="369">
      <c r="A369" s="8"/>
      <c r="B369" s="8"/>
      <c r="C369" s="18"/>
      <c r="D369" s="18"/>
      <c r="E369" s="8"/>
      <c r="F369" s="8"/>
      <c r="G369" s="8"/>
      <c r="H369" s="8"/>
      <c r="I369" s="76"/>
    </row>
    <row r="370">
      <c r="A370" s="8"/>
      <c r="B370" s="8"/>
      <c r="C370" s="18"/>
      <c r="D370" s="18"/>
      <c r="E370" s="8"/>
      <c r="F370" s="8"/>
      <c r="G370" s="8"/>
      <c r="H370" s="8"/>
      <c r="I370" s="76"/>
    </row>
    <row r="371">
      <c r="A371" s="8"/>
      <c r="B371" s="8"/>
      <c r="C371" s="18"/>
      <c r="D371" s="18"/>
      <c r="E371" s="8"/>
      <c r="F371" s="8"/>
      <c r="G371" s="8"/>
      <c r="H371" s="8"/>
      <c r="I371" s="76"/>
    </row>
    <row r="372">
      <c r="A372" s="8"/>
      <c r="B372" s="8"/>
      <c r="C372" s="18"/>
      <c r="D372" s="18"/>
      <c r="E372" s="8"/>
      <c r="F372" s="8"/>
      <c r="G372" s="8"/>
      <c r="H372" s="8"/>
      <c r="I372" s="76"/>
    </row>
    <row r="373">
      <c r="A373" s="8"/>
      <c r="B373" s="8"/>
      <c r="C373" s="18"/>
      <c r="D373" s="18"/>
      <c r="E373" s="8"/>
      <c r="F373" s="8"/>
      <c r="G373" s="8"/>
      <c r="H373" s="8"/>
      <c r="I373" s="76"/>
    </row>
    <row r="374">
      <c r="A374" s="8"/>
      <c r="B374" s="8"/>
      <c r="C374" s="18"/>
      <c r="D374" s="18"/>
      <c r="E374" s="8"/>
      <c r="F374" s="8"/>
      <c r="G374" s="8"/>
      <c r="H374" s="8"/>
      <c r="I374" s="76"/>
    </row>
    <row r="375">
      <c r="A375" s="8"/>
      <c r="B375" s="8"/>
      <c r="C375" s="18"/>
      <c r="D375" s="18"/>
      <c r="E375" s="8"/>
      <c r="F375" s="8"/>
      <c r="G375" s="8"/>
      <c r="H375" s="8"/>
      <c r="I375" s="76"/>
    </row>
    <row r="376">
      <c r="A376" s="8"/>
      <c r="B376" s="8"/>
      <c r="C376" s="18"/>
      <c r="D376" s="18"/>
      <c r="E376" s="8"/>
      <c r="F376" s="8"/>
      <c r="G376" s="8"/>
      <c r="H376" s="8"/>
      <c r="I376" s="76"/>
    </row>
    <row r="377">
      <c r="A377" s="8"/>
      <c r="B377" s="8"/>
      <c r="C377" s="18"/>
      <c r="D377" s="18"/>
      <c r="E377" s="8"/>
      <c r="F377" s="8"/>
      <c r="G377" s="8"/>
      <c r="H377" s="8"/>
      <c r="I377" s="76"/>
    </row>
    <row r="378">
      <c r="A378" s="8"/>
      <c r="B378" s="8"/>
      <c r="C378" s="18"/>
      <c r="D378" s="18"/>
      <c r="E378" s="8"/>
      <c r="F378" s="8"/>
      <c r="G378" s="8"/>
      <c r="H378" s="8"/>
      <c r="I378" s="76"/>
    </row>
    <row r="379">
      <c r="A379" s="8"/>
      <c r="B379" s="8"/>
      <c r="C379" s="18"/>
      <c r="D379" s="18"/>
      <c r="E379" s="8"/>
      <c r="F379" s="8"/>
      <c r="G379" s="8"/>
      <c r="H379" s="8"/>
      <c r="I379" s="76"/>
    </row>
    <row r="380">
      <c r="A380" s="8"/>
      <c r="B380" s="8"/>
      <c r="C380" s="18"/>
      <c r="D380" s="18"/>
      <c r="E380" s="8"/>
      <c r="F380" s="8"/>
      <c r="G380" s="8"/>
      <c r="H380" s="8"/>
      <c r="I380" s="76"/>
    </row>
    <row r="381">
      <c r="A381" s="8"/>
      <c r="B381" s="8"/>
      <c r="C381" s="18"/>
      <c r="D381" s="18"/>
      <c r="E381" s="8"/>
      <c r="F381" s="8"/>
      <c r="G381" s="8"/>
      <c r="H381" s="8"/>
      <c r="I381" s="76"/>
    </row>
    <row r="382">
      <c r="A382" s="8"/>
      <c r="B382" s="8"/>
      <c r="C382" s="18"/>
      <c r="D382" s="18"/>
      <c r="E382" s="8"/>
      <c r="F382" s="8"/>
      <c r="G382" s="8"/>
      <c r="H382" s="8"/>
      <c r="I382" s="76"/>
    </row>
    <row r="383">
      <c r="A383" s="8"/>
      <c r="B383" s="8"/>
      <c r="C383" s="18"/>
      <c r="D383" s="18"/>
      <c r="E383" s="8"/>
      <c r="F383" s="8"/>
      <c r="G383" s="8"/>
      <c r="H383" s="8"/>
      <c r="I383" s="76"/>
    </row>
    <row r="384">
      <c r="A384" s="8"/>
      <c r="B384" s="8"/>
      <c r="C384" s="18"/>
      <c r="D384" s="18"/>
      <c r="E384" s="8"/>
      <c r="F384" s="8"/>
      <c r="G384" s="8"/>
      <c r="H384" s="8"/>
      <c r="I384" s="76"/>
    </row>
    <row r="385">
      <c r="A385" s="8"/>
      <c r="B385" s="8"/>
      <c r="C385" s="18"/>
      <c r="D385" s="18"/>
      <c r="E385" s="8"/>
      <c r="F385" s="8"/>
      <c r="G385" s="8"/>
      <c r="H385" s="8"/>
      <c r="I385" s="76"/>
    </row>
    <row r="386">
      <c r="A386" s="8"/>
      <c r="B386" s="8"/>
      <c r="C386" s="18"/>
      <c r="D386" s="18"/>
      <c r="E386" s="8"/>
      <c r="F386" s="8"/>
      <c r="G386" s="8"/>
      <c r="H386" s="8"/>
      <c r="I386" s="76"/>
    </row>
    <row r="387">
      <c r="A387" s="8"/>
      <c r="B387" s="8"/>
      <c r="C387" s="18"/>
      <c r="D387" s="18"/>
      <c r="E387" s="8"/>
      <c r="F387" s="8"/>
      <c r="G387" s="8"/>
      <c r="H387" s="8"/>
      <c r="I387" s="76"/>
    </row>
    <row r="388">
      <c r="A388" s="8"/>
      <c r="B388" s="8"/>
      <c r="C388" s="18"/>
      <c r="D388" s="18"/>
      <c r="E388" s="8"/>
      <c r="F388" s="8"/>
      <c r="G388" s="8"/>
      <c r="H388" s="8"/>
      <c r="I388" s="76"/>
    </row>
    <row r="389">
      <c r="A389" s="8"/>
      <c r="B389" s="8"/>
      <c r="C389" s="18"/>
      <c r="D389" s="18"/>
      <c r="E389" s="8"/>
      <c r="F389" s="8"/>
      <c r="G389" s="8"/>
      <c r="H389" s="8"/>
      <c r="I389" s="76"/>
    </row>
    <row r="390">
      <c r="A390" s="8"/>
      <c r="B390" s="8"/>
      <c r="C390" s="18"/>
      <c r="D390" s="18"/>
      <c r="E390" s="8"/>
      <c r="F390" s="8"/>
      <c r="G390" s="8"/>
      <c r="H390" s="8"/>
      <c r="I390" s="76"/>
    </row>
    <row r="391">
      <c r="A391" s="8"/>
      <c r="B391" s="8"/>
      <c r="C391" s="18"/>
      <c r="D391" s="18"/>
      <c r="E391" s="8"/>
      <c r="F391" s="8"/>
      <c r="G391" s="8"/>
      <c r="H391" s="8"/>
      <c r="I391" s="76"/>
    </row>
    <row r="392">
      <c r="A392" s="8"/>
      <c r="B392" s="8"/>
      <c r="C392" s="18"/>
      <c r="D392" s="18"/>
      <c r="E392" s="8"/>
      <c r="F392" s="8"/>
      <c r="G392" s="8"/>
      <c r="H392" s="8"/>
      <c r="I392" s="76"/>
    </row>
    <row r="393">
      <c r="A393" s="8"/>
      <c r="B393" s="8"/>
      <c r="C393" s="18"/>
      <c r="D393" s="18"/>
      <c r="E393" s="8"/>
      <c r="F393" s="8"/>
      <c r="G393" s="8"/>
      <c r="H393" s="8"/>
      <c r="I393" s="76"/>
    </row>
    <row r="394">
      <c r="A394" s="8"/>
      <c r="B394" s="8"/>
      <c r="C394" s="18"/>
      <c r="D394" s="18"/>
      <c r="E394" s="8"/>
      <c r="F394" s="8"/>
      <c r="G394" s="8"/>
      <c r="H394" s="8"/>
      <c r="I394" s="76"/>
    </row>
    <row r="395">
      <c r="A395" s="8"/>
      <c r="B395" s="8"/>
      <c r="C395" s="18"/>
      <c r="D395" s="18"/>
      <c r="E395" s="8"/>
      <c r="F395" s="8"/>
      <c r="G395" s="8"/>
      <c r="H395" s="8"/>
      <c r="I395" s="76"/>
    </row>
    <row r="396">
      <c r="A396" s="8"/>
      <c r="B396" s="8"/>
      <c r="C396" s="18"/>
      <c r="D396" s="18"/>
      <c r="E396" s="8"/>
      <c r="F396" s="8"/>
      <c r="G396" s="8"/>
      <c r="H396" s="8"/>
      <c r="I396" s="76"/>
    </row>
    <row r="397">
      <c r="A397" s="8"/>
      <c r="B397" s="8"/>
      <c r="C397" s="18"/>
      <c r="D397" s="18"/>
      <c r="E397" s="8"/>
      <c r="F397" s="8"/>
      <c r="G397" s="8"/>
      <c r="H397" s="8"/>
      <c r="I397" s="76"/>
    </row>
    <row r="398">
      <c r="A398" s="8"/>
      <c r="B398" s="8"/>
      <c r="C398" s="18"/>
      <c r="D398" s="18"/>
      <c r="E398" s="8"/>
      <c r="F398" s="8"/>
      <c r="G398" s="8"/>
      <c r="H398" s="8"/>
      <c r="I398" s="76"/>
    </row>
    <row r="399">
      <c r="A399" s="8"/>
      <c r="B399" s="8"/>
      <c r="C399" s="18"/>
      <c r="D399" s="18"/>
      <c r="E399" s="8"/>
      <c r="F399" s="8"/>
      <c r="G399" s="8"/>
      <c r="H399" s="8"/>
      <c r="I399" s="76"/>
    </row>
    <row r="400">
      <c r="A400" s="8"/>
      <c r="B400" s="8"/>
      <c r="C400" s="18"/>
      <c r="D400" s="18"/>
      <c r="E400" s="8"/>
      <c r="F400" s="8"/>
      <c r="G400" s="8"/>
      <c r="H400" s="8"/>
      <c r="I400" s="76"/>
    </row>
    <row r="401">
      <c r="A401" s="8"/>
      <c r="B401" s="8"/>
      <c r="C401" s="18"/>
      <c r="D401" s="18"/>
      <c r="E401" s="8"/>
      <c r="F401" s="8"/>
      <c r="G401" s="8"/>
      <c r="H401" s="8"/>
      <c r="I401" s="76"/>
    </row>
    <row r="402">
      <c r="A402" s="8"/>
      <c r="B402" s="8"/>
      <c r="C402" s="18"/>
      <c r="D402" s="18"/>
      <c r="E402" s="8"/>
      <c r="F402" s="8"/>
      <c r="G402" s="8"/>
      <c r="H402" s="8"/>
      <c r="I402" s="76"/>
    </row>
    <row r="403">
      <c r="A403" s="8"/>
      <c r="B403" s="8"/>
      <c r="C403" s="18"/>
      <c r="D403" s="18"/>
      <c r="E403" s="8"/>
      <c r="F403" s="8"/>
      <c r="G403" s="8"/>
      <c r="H403" s="8"/>
      <c r="I403" s="76"/>
    </row>
    <row r="404">
      <c r="A404" s="8"/>
      <c r="B404" s="8"/>
      <c r="C404" s="18"/>
      <c r="D404" s="18"/>
      <c r="E404" s="8"/>
      <c r="F404" s="8"/>
      <c r="G404" s="8"/>
      <c r="H404" s="8"/>
      <c r="I404" s="76"/>
    </row>
    <row r="405">
      <c r="A405" s="8"/>
      <c r="B405" s="8"/>
      <c r="C405" s="18"/>
      <c r="D405" s="18"/>
      <c r="E405" s="8"/>
      <c r="F405" s="8"/>
      <c r="G405" s="8"/>
      <c r="H405" s="8"/>
      <c r="I405" s="76"/>
    </row>
    <row r="406">
      <c r="A406" s="8"/>
      <c r="B406" s="8"/>
      <c r="C406" s="18"/>
      <c r="D406" s="18"/>
      <c r="E406" s="8"/>
      <c r="F406" s="8"/>
      <c r="G406" s="8"/>
      <c r="H406" s="8"/>
      <c r="I406" s="76"/>
    </row>
    <row r="407">
      <c r="A407" s="8"/>
      <c r="B407" s="8"/>
      <c r="C407" s="18"/>
      <c r="D407" s="18"/>
      <c r="E407" s="8"/>
      <c r="F407" s="8"/>
      <c r="G407" s="8"/>
      <c r="H407" s="8"/>
      <c r="I407" s="76"/>
    </row>
    <row r="408">
      <c r="A408" s="8"/>
      <c r="B408" s="8"/>
      <c r="C408" s="18"/>
      <c r="D408" s="18"/>
      <c r="E408" s="8"/>
      <c r="F408" s="8"/>
      <c r="G408" s="8"/>
      <c r="H408" s="8"/>
      <c r="I408" s="76"/>
    </row>
    <row r="409">
      <c r="A409" s="8"/>
      <c r="B409" s="8"/>
      <c r="C409" s="18"/>
      <c r="D409" s="18"/>
      <c r="E409" s="8"/>
      <c r="F409" s="8"/>
      <c r="G409" s="8"/>
      <c r="H409" s="8"/>
      <c r="I409" s="76"/>
    </row>
    <row r="410">
      <c r="A410" s="8"/>
      <c r="B410" s="8"/>
      <c r="C410" s="18"/>
      <c r="D410" s="18"/>
      <c r="E410" s="8"/>
      <c r="F410" s="8"/>
      <c r="G410" s="8"/>
      <c r="H410" s="8"/>
      <c r="I410" s="76"/>
    </row>
    <row r="411">
      <c r="A411" s="8"/>
      <c r="B411" s="8"/>
      <c r="C411" s="18"/>
      <c r="D411" s="18"/>
      <c r="E411" s="8"/>
      <c r="F411" s="8"/>
      <c r="G411" s="8"/>
      <c r="H411" s="8"/>
      <c r="I411" s="76"/>
    </row>
    <row r="412">
      <c r="A412" s="8"/>
      <c r="B412" s="8"/>
      <c r="C412" s="18"/>
      <c r="D412" s="18"/>
      <c r="E412" s="8"/>
      <c r="F412" s="8"/>
      <c r="G412" s="8"/>
      <c r="H412" s="8"/>
      <c r="I412" s="76"/>
    </row>
    <row r="413">
      <c r="A413" s="8"/>
      <c r="B413" s="8"/>
      <c r="C413" s="18"/>
      <c r="D413" s="18"/>
      <c r="E413" s="8"/>
      <c r="F413" s="8"/>
      <c r="G413" s="8"/>
      <c r="H413" s="8"/>
      <c r="I413" s="76"/>
    </row>
    <row r="414">
      <c r="A414" s="8"/>
      <c r="B414" s="8"/>
      <c r="C414" s="18"/>
      <c r="D414" s="18"/>
      <c r="E414" s="8"/>
      <c r="F414" s="8"/>
      <c r="G414" s="8"/>
      <c r="H414" s="8"/>
      <c r="I414" s="76"/>
    </row>
    <row r="415">
      <c r="A415" s="8"/>
      <c r="B415" s="8"/>
      <c r="C415" s="18"/>
      <c r="D415" s="18"/>
      <c r="E415" s="8"/>
      <c r="F415" s="8"/>
      <c r="G415" s="8"/>
      <c r="H415" s="8"/>
      <c r="I415" s="76"/>
    </row>
    <row r="416">
      <c r="A416" s="8"/>
      <c r="B416" s="8"/>
      <c r="C416" s="18"/>
      <c r="D416" s="18"/>
      <c r="E416" s="8"/>
      <c r="F416" s="8"/>
      <c r="G416" s="8"/>
      <c r="H416" s="8"/>
      <c r="I416" s="76"/>
    </row>
    <row r="417">
      <c r="A417" s="8"/>
      <c r="B417" s="8"/>
      <c r="C417" s="18"/>
      <c r="D417" s="18"/>
      <c r="E417" s="8"/>
      <c r="F417" s="8"/>
      <c r="G417" s="8"/>
      <c r="H417" s="8"/>
      <c r="I417" s="76"/>
    </row>
    <row r="418">
      <c r="A418" s="8"/>
      <c r="B418" s="8"/>
      <c r="C418" s="18"/>
      <c r="D418" s="18"/>
      <c r="E418" s="8"/>
      <c r="F418" s="8"/>
      <c r="G418" s="8"/>
      <c r="H418" s="8"/>
      <c r="I418" s="76"/>
    </row>
    <row r="419">
      <c r="A419" s="8"/>
      <c r="B419" s="8"/>
      <c r="C419" s="18"/>
      <c r="D419" s="18"/>
      <c r="E419" s="8"/>
      <c r="F419" s="8"/>
      <c r="G419" s="8"/>
      <c r="H419" s="8"/>
      <c r="I419" s="76"/>
    </row>
    <row r="420">
      <c r="A420" s="8"/>
      <c r="B420" s="8"/>
      <c r="C420" s="18"/>
      <c r="D420" s="18"/>
      <c r="E420" s="8"/>
      <c r="F420" s="8"/>
      <c r="G420" s="8"/>
      <c r="H420" s="8"/>
      <c r="I420" s="76"/>
    </row>
    <row r="421">
      <c r="A421" s="8"/>
      <c r="B421" s="8"/>
      <c r="C421" s="18"/>
      <c r="D421" s="18"/>
      <c r="E421" s="8"/>
      <c r="F421" s="8"/>
      <c r="G421" s="8"/>
      <c r="H421" s="8"/>
      <c r="I421" s="76"/>
    </row>
    <row r="422">
      <c r="A422" s="8"/>
      <c r="B422" s="8"/>
      <c r="C422" s="18"/>
      <c r="D422" s="18"/>
      <c r="E422" s="8"/>
      <c r="F422" s="8"/>
      <c r="G422" s="8"/>
      <c r="H422" s="8"/>
      <c r="I422" s="76"/>
    </row>
    <row r="423">
      <c r="A423" s="8"/>
      <c r="B423" s="8"/>
      <c r="C423" s="18"/>
      <c r="D423" s="18"/>
      <c r="E423" s="8"/>
      <c r="F423" s="8"/>
      <c r="G423" s="8"/>
      <c r="H423" s="8"/>
      <c r="I423" s="76"/>
    </row>
    <row r="424">
      <c r="A424" s="8"/>
      <c r="B424" s="8"/>
      <c r="C424" s="18"/>
      <c r="D424" s="18"/>
      <c r="E424" s="8"/>
      <c r="F424" s="8"/>
      <c r="G424" s="8"/>
      <c r="H424" s="8"/>
      <c r="I424" s="76"/>
    </row>
    <row r="425">
      <c r="A425" s="8"/>
      <c r="B425" s="8"/>
      <c r="C425" s="18"/>
      <c r="D425" s="18"/>
      <c r="E425" s="8"/>
      <c r="F425" s="8"/>
      <c r="G425" s="8"/>
      <c r="H425" s="8"/>
      <c r="I425" s="76"/>
    </row>
    <row r="426">
      <c r="A426" s="8"/>
      <c r="B426" s="8"/>
      <c r="C426" s="18"/>
      <c r="D426" s="18"/>
      <c r="E426" s="8"/>
      <c r="F426" s="8"/>
      <c r="G426" s="8"/>
      <c r="H426" s="8"/>
      <c r="I426" s="76"/>
    </row>
    <row r="427">
      <c r="A427" s="8"/>
      <c r="B427" s="8"/>
      <c r="C427" s="18"/>
      <c r="D427" s="18"/>
      <c r="E427" s="8"/>
      <c r="F427" s="8"/>
      <c r="G427" s="8"/>
      <c r="H427" s="8"/>
      <c r="I427" s="76"/>
    </row>
    <row r="428">
      <c r="A428" s="8"/>
      <c r="B428" s="8"/>
      <c r="C428" s="18"/>
      <c r="D428" s="18"/>
      <c r="E428" s="8"/>
      <c r="F428" s="8"/>
      <c r="G428" s="8"/>
      <c r="H428" s="8"/>
      <c r="I428" s="76"/>
    </row>
    <row r="429">
      <c r="A429" s="8"/>
      <c r="B429" s="8"/>
      <c r="C429" s="18"/>
      <c r="D429" s="18"/>
      <c r="E429" s="8"/>
      <c r="F429" s="8"/>
      <c r="G429" s="8"/>
      <c r="H429" s="8"/>
      <c r="I429" s="76"/>
    </row>
    <row r="430">
      <c r="A430" s="8"/>
      <c r="B430" s="8"/>
      <c r="C430" s="18"/>
      <c r="D430" s="18"/>
      <c r="E430" s="8"/>
      <c r="F430" s="8"/>
      <c r="G430" s="8"/>
      <c r="H430" s="8"/>
      <c r="I430" s="76"/>
    </row>
    <row r="431">
      <c r="A431" s="8"/>
      <c r="B431" s="8"/>
      <c r="C431" s="18"/>
      <c r="D431" s="18"/>
      <c r="E431" s="8"/>
      <c r="F431" s="8"/>
      <c r="G431" s="8"/>
      <c r="H431" s="8"/>
      <c r="I431" s="76"/>
    </row>
    <row r="432">
      <c r="A432" s="8"/>
      <c r="B432" s="8"/>
      <c r="C432" s="18"/>
      <c r="D432" s="18"/>
      <c r="E432" s="8"/>
      <c r="F432" s="8"/>
      <c r="G432" s="8"/>
      <c r="H432" s="8"/>
      <c r="I432" s="76"/>
    </row>
    <row r="433">
      <c r="A433" s="8"/>
      <c r="B433" s="8"/>
      <c r="C433" s="18"/>
      <c r="D433" s="18"/>
      <c r="E433" s="8"/>
      <c r="F433" s="8"/>
      <c r="G433" s="8"/>
      <c r="H433" s="8"/>
      <c r="I433" s="76"/>
    </row>
    <row r="434">
      <c r="A434" s="8"/>
      <c r="B434" s="8"/>
      <c r="C434" s="18"/>
      <c r="D434" s="18"/>
      <c r="E434" s="8"/>
      <c r="F434" s="8"/>
      <c r="G434" s="8"/>
      <c r="H434" s="8"/>
      <c r="I434" s="76"/>
    </row>
    <row r="435">
      <c r="A435" s="8"/>
      <c r="B435" s="8"/>
      <c r="C435" s="18"/>
      <c r="D435" s="18"/>
      <c r="E435" s="8"/>
      <c r="F435" s="8"/>
      <c r="G435" s="8"/>
      <c r="H435" s="8"/>
      <c r="I435" s="76"/>
    </row>
    <row r="436">
      <c r="A436" s="8"/>
      <c r="B436" s="8"/>
      <c r="C436" s="18"/>
      <c r="D436" s="18"/>
      <c r="E436" s="8"/>
      <c r="F436" s="8"/>
      <c r="G436" s="8"/>
      <c r="H436" s="8"/>
      <c r="I436" s="76"/>
    </row>
    <row r="437">
      <c r="A437" s="8"/>
      <c r="B437" s="8"/>
      <c r="C437" s="18"/>
      <c r="D437" s="18"/>
      <c r="E437" s="8"/>
      <c r="F437" s="8"/>
      <c r="G437" s="8"/>
      <c r="H437" s="8"/>
      <c r="I437" s="76"/>
    </row>
    <row r="438">
      <c r="A438" s="8"/>
      <c r="B438" s="8"/>
      <c r="C438" s="18"/>
      <c r="D438" s="18"/>
      <c r="E438" s="8"/>
      <c r="F438" s="8"/>
      <c r="G438" s="8"/>
      <c r="H438" s="8"/>
      <c r="I438" s="76"/>
    </row>
    <row r="439">
      <c r="A439" s="8"/>
      <c r="B439" s="8"/>
      <c r="C439" s="18"/>
      <c r="D439" s="18"/>
      <c r="E439" s="8"/>
      <c r="F439" s="8"/>
      <c r="G439" s="8"/>
      <c r="H439" s="8"/>
      <c r="I439" s="76"/>
    </row>
    <row r="440">
      <c r="A440" s="8"/>
      <c r="B440" s="8"/>
      <c r="C440" s="18"/>
      <c r="D440" s="18"/>
      <c r="E440" s="8"/>
      <c r="F440" s="8"/>
      <c r="G440" s="8"/>
      <c r="H440" s="8"/>
      <c r="I440" s="76"/>
    </row>
    <row r="441">
      <c r="A441" s="8"/>
      <c r="B441" s="8"/>
      <c r="C441" s="18"/>
      <c r="D441" s="18"/>
      <c r="E441" s="8"/>
      <c r="F441" s="8"/>
      <c r="G441" s="8"/>
      <c r="H441" s="8"/>
      <c r="I441" s="76"/>
    </row>
    <row r="442">
      <c r="A442" s="8"/>
      <c r="B442" s="8"/>
      <c r="C442" s="18"/>
      <c r="D442" s="18"/>
      <c r="E442" s="8"/>
      <c r="F442" s="8"/>
      <c r="G442" s="8"/>
      <c r="H442" s="8"/>
      <c r="I442" s="76"/>
    </row>
    <row r="443">
      <c r="A443" s="8"/>
      <c r="B443" s="8"/>
      <c r="C443" s="18"/>
      <c r="D443" s="18"/>
      <c r="E443" s="8"/>
      <c r="F443" s="8"/>
      <c r="G443" s="8"/>
      <c r="H443" s="8"/>
      <c r="I443" s="76"/>
    </row>
    <row r="444">
      <c r="A444" s="8"/>
      <c r="B444" s="8"/>
      <c r="C444" s="18"/>
      <c r="D444" s="18"/>
      <c r="E444" s="8"/>
      <c r="F444" s="8"/>
      <c r="G444" s="8"/>
      <c r="H444" s="8"/>
      <c r="I444" s="76"/>
    </row>
    <row r="445">
      <c r="A445" s="8"/>
      <c r="B445" s="8"/>
      <c r="C445" s="18"/>
      <c r="D445" s="18"/>
      <c r="E445" s="8"/>
      <c r="F445" s="8"/>
      <c r="G445" s="8"/>
      <c r="H445" s="8"/>
      <c r="I445" s="76"/>
    </row>
    <row r="446">
      <c r="A446" s="8"/>
      <c r="B446" s="8"/>
      <c r="C446" s="18"/>
      <c r="D446" s="18"/>
      <c r="E446" s="8"/>
      <c r="F446" s="8"/>
      <c r="G446" s="8"/>
      <c r="H446" s="8"/>
      <c r="I446" s="76"/>
    </row>
    <row r="447">
      <c r="A447" s="8"/>
      <c r="B447" s="8"/>
      <c r="C447" s="18"/>
      <c r="D447" s="18"/>
      <c r="E447" s="8"/>
      <c r="F447" s="8"/>
      <c r="G447" s="8"/>
      <c r="H447" s="8"/>
      <c r="I447" s="76"/>
    </row>
    <row r="448">
      <c r="A448" s="8"/>
      <c r="B448" s="8"/>
      <c r="C448" s="18"/>
      <c r="D448" s="18"/>
      <c r="E448" s="8"/>
      <c r="F448" s="8"/>
      <c r="G448" s="8"/>
      <c r="H448" s="8"/>
      <c r="I448" s="76"/>
    </row>
    <row r="449">
      <c r="A449" s="8"/>
      <c r="B449" s="8"/>
      <c r="C449" s="18"/>
      <c r="D449" s="18"/>
      <c r="E449" s="8"/>
      <c r="F449" s="8"/>
      <c r="G449" s="8"/>
      <c r="H449" s="8"/>
      <c r="I449" s="76"/>
    </row>
    <row r="450">
      <c r="A450" s="8"/>
      <c r="B450" s="8"/>
      <c r="C450" s="18"/>
      <c r="D450" s="18"/>
      <c r="E450" s="8"/>
      <c r="F450" s="8"/>
      <c r="G450" s="8"/>
      <c r="H450" s="8"/>
      <c r="I450" s="76"/>
    </row>
    <row r="451">
      <c r="A451" s="8"/>
      <c r="B451" s="8"/>
      <c r="C451" s="18"/>
      <c r="D451" s="18"/>
      <c r="E451" s="8"/>
      <c r="F451" s="8"/>
      <c r="G451" s="8"/>
      <c r="H451" s="8"/>
      <c r="I451" s="76"/>
    </row>
    <row r="452">
      <c r="A452" s="8"/>
      <c r="B452" s="8"/>
      <c r="C452" s="18"/>
      <c r="D452" s="18"/>
      <c r="E452" s="8"/>
      <c r="F452" s="8"/>
      <c r="G452" s="8"/>
      <c r="H452" s="8"/>
      <c r="I452" s="76"/>
    </row>
    <row r="453">
      <c r="A453" s="8"/>
      <c r="B453" s="8"/>
      <c r="C453" s="18"/>
      <c r="D453" s="18"/>
      <c r="E453" s="8"/>
      <c r="F453" s="8"/>
      <c r="G453" s="8"/>
      <c r="H453" s="8"/>
      <c r="I453" s="76"/>
    </row>
    <row r="454">
      <c r="A454" s="8"/>
      <c r="B454" s="8"/>
      <c r="C454" s="18"/>
      <c r="D454" s="18"/>
      <c r="E454" s="8"/>
      <c r="F454" s="8"/>
      <c r="G454" s="8"/>
      <c r="H454" s="8"/>
      <c r="I454" s="76"/>
    </row>
    <row r="455">
      <c r="A455" s="8"/>
      <c r="B455" s="8"/>
      <c r="C455" s="18"/>
      <c r="D455" s="18"/>
      <c r="E455" s="8"/>
      <c r="F455" s="8"/>
      <c r="G455" s="8"/>
      <c r="H455" s="8"/>
      <c r="I455" s="76"/>
    </row>
    <row r="456">
      <c r="A456" s="8"/>
      <c r="B456" s="8"/>
      <c r="C456" s="18"/>
      <c r="D456" s="18"/>
      <c r="E456" s="8"/>
      <c r="F456" s="8"/>
      <c r="G456" s="8"/>
      <c r="H456" s="8"/>
      <c r="I456" s="76"/>
    </row>
    <row r="457">
      <c r="A457" s="8"/>
      <c r="B457" s="8"/>
      <c r="C457" s="18"/>
      <c r="D457" s="18"/>
      <c r="E457" s="8"/>
      <c r="F457" s="8"/>
      <c r="G457" s="8"/>
      <c r="H457" s="8"/>
      <c r="I457" s="76"/>
    </row>
    <row r="458">
      <c r="A458" s="8"/>
      <c r="B458" s="8"/>
      <c r="C458" s="18"/>
      <c r="D458" s="18"/>
      <c r="E458" s="8"/>
      <c r="F458" s="8"/>
      <c r="G458" s="8"/>
      <c r="H458" s="8"/>
      <c r="I458" s="76"/>
    </row>
    <row r="459">
      <c r="A459" s="8"/>
      <c r="B459" s="8"/>
      <c r="C459" s="18"/>
      <c r="D459" s="18"/>
      <c r="E459" s="8"/>
      <c r="F459" s="8"/>
      <c r="G459" s="8"/>
      <c r="H459" s="8"/>
      <c r="I459" s="76"/>
    </row>
    <row r="460">
      <c r="A460" s="8"/>
      <c r="B460" s="8"/>
      <c r="C460" s="18"/>
      <c r="D460" s="18"/>
      <c r="E460" s="8"/>
      <c r="F460" s="8"/>
      <c r="G460" s="8"/>
      <c r="H460" s="8"/>
      <c r="I460" s="76"/>
    </row>
    <row r="461">
      <c r="A461" s="8"/>
      <c r="B461" s="8"/>
      <c r="C461" s="18"/>
      <c r="D461" s="18"/>
      <c r="E461" s="8"/>
      <c r="F461" s="8"/>
      <c r="G461" s="8"/>
      <c r="H461" s="8"/>
      <c r="I461" s="76"/>
    </row>
    <row r="462">
      <c r="A462" s="8"/>
      <c r="B462" s="8"/>
      <c r="C462" s="18"/>
      <c r="D462" s="18"/>
      <c r="E462" s="8"/>
      <c r="F462" s="8"/>
      <c r="G462" s="8"/>
      <c r="H462" s="8"/>
      <c r="I462" s="76"/>
    </row>
    <row r="463">
      <c r="A463" s="8"/>
      <c r="B463" s="8"/>
      <c r="C463" s="18"/>
      <c r="D463" s="18"/>
      <c r="E463" s="8"/>
      <c r="F463" s="8"/>
      <c r="G463" s="8"/>
      <c r="H463" s="8"/>
      <c r="I463" s="76"/>
    </row>
    <row r="464">
      <c r="A464" s="8"/>
      <c r="B464" s="8"/>
      <c r="C464" s="18"/>
      <c r="D464" s="18"/>
      <c r="E464" s="8"/>
      <c r="F464" s="8"/>
      <c r="G464" s="8"/>
      <c r="H464" s="8"/>
      <c r="I464" s="76"/>
    </row>
    <row r="465">
      <c r="A465" s="8"/>
      <c r="B465" s="8"/>
      <c r="C465" s="18"/>
      <c r="D465" s="18"/>
      <c r="E465" s="8"/>
      <c r="F465" s="8"/>
      <c r="G465" s="8"/>
      <c r="H465" s="8"/>
      <c r="I465" s="76"/>
    </row>
    <row r="466">
      <c r="A466" s="8"/>
      <c r="B466" s="8"/>
      <c r="C466" s="18"/>
      <c r="D466" s="18"/>
      <c r="E466" s="8"/>
      <c r="F466" s="8"/>
      <c r="G466" s="8"/>
      <c r="H466" s="8"/>
      <c r="I466" s="76"/>
    </row>
    <row r="467">
      <c r="A467" s="8"/>
      <c r="B467" s="8"/>
      <c r="C467" s="18"/>
      <c r="D467" s="18"/>
      <c r="E467" s="8"/>
      <c r="F467" s="8"/>
      <c r="G467" s="8"/>
      <c r="H467" s="8"/>
      <c r="I467" s="76"/>
    </row>
    <row r="468">
      <c r="A468" s="8"/>
      <c r="B468" s="8"/>
      <c r="C468" s="18"/>
      <c r="D468" s="18"/>
      <c r="E468" s="8"/>
      <c r="F468" s="8"/>
      <c r="G468" s="8"/>
      <c r="H468" s="8"/>
      <c r="I468" s="76"/>
    </row>
    <row r="469">
      <c r="A469" s="8"/>
      <c r="B469" s="8"/>
      <c r="C469" s="18"/>
      <c r="D469" s="18"/>
      <c r="E469" s="8"/>
      <c r="F469" s="8"/>
      <c r="G469" s="8"/>
      <c r="H469" s="8"/>
      <c r="I469" s="76"/>
    </row>
    <row r="470">
      <c r="A470" s="8"/>
      <c r="B470" s="8"/>
      <c r="C470" s="18"/>
      <c r="D470" s="18"/>
      <c r="E470" s="8"/>
      <c r="F470" s="8"/>
      <c r="G470" s="8"/>
      <c r="H470" s="8"/>
      <c r="I470" s="76"/>
    </row>
    <row r="471">
      <c r="A471" s="8"/>
      <c r="B471" s="8"/>
      <c r="C471" s="18"/>
      <c r="D471" s="18"/>
      <c r="E471" s="8"/>
      <c r="F471" s="8"/>
      <c r="G471" s="8"/>
      <c r="H471" s="8"/>
      <c r="I471" s="76"/>
    </row>
    <row r="472">
      <c r="A472" s="8"/>
      <c r="B472" s="8"/>
      <c r="C472" s="18"/>
      <c r="D472" s="18"/>
      <c r="E472" s="8"/>
      <c r="F472" s="8"/>
      <c r="G472" s="8"/>
      <c r="H472" s="8"/>
      <c r="I472" s="76"/>
    </row>
    <row r="473">
      <c r="A473" s="8"/>
      <c r="B473" s="8"/>
      <c r="C473" s="18"/>
      <c r="D473" s="18"/>
      <c r="E473" s="8"/>
      <c r="F473" s="8"/>
      <c r="G473" s="8"/>
      <c r="H473" s="8"/>
      <c r="I473" s="76"/>
    </row>
    <row r="474">
      <c r="A474" s="8"/>
      <c r="B474" s="8"/>
      <c r="C474" s="18"/>
      <c r="D474" s="18"/>
      <c r="E474" s="8"/>
      <c r="F474" s="8"/>
      <c r="G474" s="8"/>
      <c r="H474" s="8"/>
      <c r="I474" s="76"/>
    </row>
    <row r="475">
      <c r="A475" s="8"/>
      <c r="B475" s="8"/>
      <c r="C475" s="18"/>
      <c r="D475" s="18"/>
      <c r="E475" s="8"/>
      <c r="F475" s="8"/>
      <c r="G475" s="8"/>
      <c r="H475" s="8"/>
      <c r="I475" s="76"/>
    </row>
    <row r="476">
      <c r="A476" s="8"/>
      <c r="B476" s="8"/>
      <c r="C476" s="18"/>
      <c r="D476" s="18"/>
      <c r="E476" s="8"/>
      <c r="F476" s="8"/>
      <c r="G476" s="8"/>
      <c r="H476" s="8"/>
      <c r="I476" s="76"/>
    </row>
    <row r="477">
      <c r="A477" s="8"/>
      <c r="B477" s="8"/>
      <c r="C477" s="18"/>
      <c r="D477" s="18"/>
      <c r="E477" s="8"/>
      <c r="F477" s="8"/>
      <c r="G477" s="8"/>
      <c r="H477" s="8"/>
      <c r="I477" s="76"/>
    </row>
    <row r="478">
      <c r="A478" s="8"/>
      <c r="B478" s="8"/>
      <c r="C478" s="18"/>
      <c r="D478" s="18"/>
      <c r="E478" s="8"/>
      <c r="F478" s="8"/>
      <c r="G478" s="8"/>
      <c r="H478" s="8"/>
      <c r="I478" s="76"/>
    </row>
    <row r="479">
      <c r="A479" s="8"/>
      <c r="B479" s="8"/>
      <c r="C479" s="18"/>
      <c r="D479" s="18"/>
      <c r="E479" s="8"/>
      <c r="F479" s="8"/>
      <c r="G479" s="8"/>
      <c r="H479" s="8"/>
      <c r="I479" s="76"/>
    </row>
    <row r="480">
      <c r="A480" s="8"/>
      <c r="B480" s="8"/>
      <c r="C480" s="18"/>
      <c r="D480" s="18"/>
      <c r="E480" s="8"/>
      <c r="F480" s="8"/>
      <c r="G480" s="8"/>
      <c r="H480" s="8"/>
      <c r="I480" s="76"/>
    </row>
    <row r="481">
      <c r="A481" s="8"/>
      <c r="B481" s="8"/>
      <c r="C481" s="18"/>
      <c r="D481" s="18"/>
      <c r="E481" s="8"/>
      <c r="F481" s="8"/>
      <c r="G481" s="8"/>
      <c r="H481" s="8"/>
      <c r="I481" s="76"/>
    </row>
    <row r="482">
      <c r="A482" s="8"/>
      <c r="B482" s="8"/>
      <c r="C482" s="18"/>
      <c r="D482" s="18"/>
      <c r="E482" s="8"/>
      <c r="F482" s="8"/>
      <c r="G482" s="8"/>
      <c r="H482" s="8"/>
      <c r="I482" s="76"/>
    </row>
    <row r="483">
      <c r="A483" s="8"/>
      <c r="B483" s="8"/>
      <c r="C483" s="18"/>
      <c r="D483" s="18"/>
      <c r="E483" s="8"/>
      <c r="F483" s="8"/>
      <c r="G483" s="8"/>
      <c r="H483" s="8"/>
      <c r="I483" s="76"/>
    </row>
    <row r="484">
      <c r="A484" s="8"/>
      <c r="B484" s="8"/>
      <c r="C484" s="18"/>
      <c r="D484" s="18"/>
      <c r="E484" s="8"/>
      <c r="F484" s="8"/>
      <c r="G484" s="8"/>
      <c r="H484" s="8"/>
      <c r="I484" s="76"/>
    </row>
    <row r="485">
      <c r="A485" s="8"/>
      <c r="B485" s="8"/>
      <c r="C485" s="18"/>
      <c r="D485" s="18"/>
      <c r="E485" s="8"/>
      <c r="F485" s="8"/>
      <c r="G485" s="8"/>
      <c r="H485" s="8"/>
      <c r="I485" s="76"/>
    </row>
    <row r="486">
      <c r="A486" s="8"/>
      <c r="B486" s="8"/>
      <c r="C486" s="18"/>
      <c r="D486" s="18"/>
      <c r="E486" s="8"/>
      <c r="F486" s="8"/>
      <c r="G486" s="8"/>
      <c r="H486" s="8"/>
      <c r="I486" s="76"/>
    </row>
    <row r="487">
      <c r="A487" s="8"/>
      <c r="B487" s="8"/>
      <c r="C487" s="18"/>
      <c r="D487" s="18"/>
      <c r="E487" s="8"/>
      <c r="F487" s="8"/>
      <c r="G487" s="8"/>
      <c r="H487" s="8"/>
      <c r="I487" s="76"/>
    </row>
    <row r="488">
      <c r="A488" s="8"/>
      <c r="B488" s="8"/>
      <c r="C488" s="18"/>
      <c r="D488" s="18"/>
      <c r="E488" s="8"/>
      <c r="F488" s="8"/>
      <c r="G488" s="8"/>
      <c r="H488" s="8"/>
      <c r="I488" s="76"/>
    </row>
    <row r="489">
      <c r="A489" s="8"/>
      <c r="B489" s="8"/>
      <c r="C489" s="18"/>
      <c r="D489" s="18"/>
      <c r="E489" s="8"/>
      <c r="F489" s="8"/>
      <c r="G489" s="8"/>
      <c r="H489" s="8"/>
      <c r="I489" s="76"/>
    </row>
    <row r="490">
      <c r="A490" s="8"/>
      <c r="B490" s="8"/>
      <c r="C490" s="18"/>
      <c r="D490" s="18"/>
      <c r="E490" s="8"/>
      <c r="F490" s="8"/>
      <c r="G490" s="8"/>
      <c r="H490" s="8"/>
      <c r="I490" s="76"/>
    </row>
    <row r="491">
      <c r="A491" s="8"/>
      <c r="B491" s="8"/>
      <c r="C491" s="18"/>
      <c r="D491" s="18"/>
      <c r="E491" s="8"/>
      <c r="F491" s="8"/>
      <c r="G491" s="8"/>
      <c r="H491" s="8"/>
      <c r="I491" s="76"/>
    </row>
    <row r="492">
      <c r="A492" s="8"/>
      <c r="B492" s="8"/>
      <c r="C492" s="18"/>
      <c r="D492" s="18"/>
      <c r="E492" s="8"/>
      <c r="F492" s="8"/>
      <c r="G492" s="8"/>
      <c r="H492" s="8"/>
      <c r="I492" s="76"/>
    </row>
    <row r="493">
      <c r="A493" s="8"/>
      <c r="B493" s="8"/>
      <c r="C493" s="18"/>
      <c r="D493" s="18"/>
      <c r="E493" s="8"/>
      <c r="F493" s="8"/>
      <c r="G493" s="8"/>
      <c r="H493" s="8"/>
      <c r="I493" s="76"/>
    </row>
    <row r="494">
      <c r="A494" s="8"/>
      <c r="B494" s="8"/>
      <c r="C494" s="18"/>
      <c r="D494" s="18"/>
      <c r="E494" s="8"/>
      <c r="F494" s="8"/>
      <c r="G494" s="8"/>
      <c r="H494" s="8"/>
      <c r="I494" s="76"/>
    </row>
    <row r="495">
      <c r="A495" s="8"/>
      <c r="B495" s="8"/>
      <c r="C495" s="18"/>
      <c r="D495" s="18"/>
      <c r="E495" s="8"/>
      <c r="F495" s="8"/>
      <c r="G495" s="8"/>
      <c r="H495" s="8"/>
      <c r="I495" s="76"/>
    </row>
    <row r="496">
      <c r="A496" s="8"/>
      <c r="B496" s="8"/>
      <c r="C496" s="18"/>
      <c r="D496" s="18"/>
      <c r="E496" s="8"/>
      <c r="F496" s="8"/>
      <c r="G496" s="8"/>
      <c r="H496" s="8"/>
      <c r="I496" s="76"/>
    </row>
    <row r="497">
      <c r="A497" s="8"/>
      <c r="B497" s="8"/>
      <c r="C497" s="18"/>
      <c r="D497" s="18"/>
      <c r="E497" s="8"/>
      <c r="F497" s="8"/>
      <c r="G497" s="8"/>
      <c r="H497" s="8"/>
      <c r="I497" s="76"/>
    </row>
    <row r="498">
      <c r="A498" s="8"/>
      <c r="B498" s="8"/>
      <c r="C498" s="18"/>
      <c r="D498" s="18"/>
      <c r="E498" s="8"/>
      <c r="F498" s="8"/>
      <c r="G498" s="8"/>
      <c r="H498" s="8"/>
      <c r="I498" s="76"/>
    </row>
    <row r="499">
      <c r="A499" s="8"/>
      <c r="B499" s="8"/>
      <c r="C499" s="18"/>
      <c r="D499" s="18"/>
      <c r="E499" s="8"/>
      <c r="F499" s="8"/>
      <c r="G499" s="8"/>
      <c r="H499" s="8"/>
      <c r="I499" s="76"/>
    </row>
    <row r="500">
      <c r="A500" s="8"/>
      <c r="B500" s="8"/>
      <c r="C500" s="18"/>
      <c r="D500" s="18"/>
      <c r="E500" s="8"/>
      <c r="F500" s="8"/>
      <c r="G500" s="8"/>
      <c r="H500" s="8"/>
      <c r="I500" s="76"/>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1" t="str">
        <f>IFERROR(__xludf.DUMMYFUNCTION("QUERY(Effectifs!A:Z, ""SELECT * WHERE E CONTAINS 'Granite' ORDER BY Z ASC"", 1)"),"Assermenté")</f>
        <v>Assermenté</v>
      </c>
      <c r="B1" s="1" t="str">
        <f>IFERROR(__xludf.DUMMYFUNCTION("""COMPUTED_VALUE"""),"Grade")</f>
        <v>Grade</v>
      </c>
      <c r="C1" s="1" t="str">
        <f>IFERROR(__xludf.DUMMYFUNCTION("""COMPUTED_VALUE"""),"Prénom")</f>
        <v>Prénom</v>
      </c>
      <c r="D1" s="1" t="str">
        <f>IFERROR(__xludf.DUMMYFUNCTION("""COMPUTED_VALUE"""),"Nom")</f>
        <v>Nom</v>
      </c>
      <c r="E1" s="1" t="str">
        <f>IFERROR(__xludf.DUMMYFUNCTION("""COMPUTED_VALUE"""),"Corps")</f>
        <v>Corps</v>
      </c>
      <c r="F1" s="1" t="str">
        <f>IFERROR(__xludf.DUMMYFUNCTION("""COMPUTED_VALUE"""),"Spécialité")</f>
        <v>Spécialité</v>
      </c>
      <c r="G1" s="1" t="str">
        <f>IFERROR(__xludf.DUMMYFUNCTION("""COMPUTED_VALUE"""),"Status")</f>
        <v>Status</v>
      </c>
      <c r="H1" s="1" t="str">
        <f>IFERROR(__xludf.DUMMYFUNCTION("""COMPUTED_VALUE"""),"Métier")</f>
        <v>Métier</v>
      </c>
      <c r="I1" s="73" t="str">
        <f>IFERROR(__xludf.DUMMYFUNCTION("""COMPUTED_VALUE"""),"Recrutement")</f>
        <v>Recrutement</v>
      </c>
      <c r="J1" s="3" t="str">
        <f>IFERROR(__xludf.DUMMYFUNCTION("""COMPUTED_VALUE"""),"Jours travaillés")</f>
        <v>Jours travaillés</v>
      </c>
      <c r="K1" s="3" t="str">
        <f>IFERROR(__xludf.DUMMYFUNCTION("""COMPUTED_VALUE"""),"")</f>
        <v/>
      </c>
      <c r="L1" s="3" t="str">
        <f>IFERROR(__xludf.DUMMYFUNCTION("""COMPUTED_VALUE"""),"")</f>
        <v/>
      </c>
      <c r="M1" s="3" t="str">
        <f>IFERROR(__xludf.DUMMYFUNCTION("""COMPUTED_VALUE"""),"")</f>
        <v/>
      </c>
      <c r="N1" s="3" t="str">
        <f>IFERROR(__xludf.DUMMYFUNCTION("""COMPUTED_VALUE"""),"")</f>
        <v/>
      </c>
      <c r="O1" s="3" t="str">
        <f>IFERROR(__xludf.DUMMYFUNCTION("""COMPUTED_VALUE"""),"")</f>
        <v/>
      </c>
      <c r="P1" s="3" t="str">
        <f>IFERROR(__xludf.DUMMYFUNCTION("""COMPUTED_VALUE"""),"")</f>
        <v/>
      </c>
      <c r="Q1" s="3" t="str">
        <f>IFERROR(__xludf.DUMMYFUNCTION("""COMPUTED_VALUE"""),"")</f>
        <v/>
      </c>
      <c r="R1" s="3" t="str">
        <f>IFERROR(__xludf.DUMMYFUNCTION("""COMPUTED_VALUE"""),"")</f>
        <v/>
      </c>
      <c r="S1" s="3" t="str">
        <f>IFERROR(__xludf.DUMMYFUNCTION("""COMPUTED_VALUE"""),"")</f>
        <v/>
      </c>
      <c r="T1" s="3" t="str">
        <f>IFERROR(__xludf.DUMMYFUNCTION("""COMPUTED_VALUE"""),"")</f>
        <v/>
      </c>
      <c r="U1" s="3" t="str">
        <f>IFERROR(__xludf.DUMMYFUNCTION("""COMPUTED_VALUE"""),"")</f>
        <v/>
      </c>
      <c r="V1" s="3" t="str">
        <f>IFERROR(__xludf.DUMMYFUNCTION("""COMPUTED_VALUE"""),"")</f>
        <v/>
      </c>
      <c r="W1" s="3" t="str">
        <f>IFERROR(__xludf.DUMMYFUNCTION("""COMPUTED_VALUE"""),"")</f>
        <v/>
      </c>
      <c r="X1" s="3" t="str">
        <f>IFERROR(__xludf.DUMMYFUNCTION("""COMPUTED_VALUE"""),"")</f>
        <v/>
      </c>
      <c r="Y1" s="3" t="str">
        <f>IFERROR(__xludf.DUMMYFUNCTION("""COMPUTED_VALUE"""),"")</f>
        <v/>
      </c>
      <c r="Z1" s="4" t="str">
        <f>IFERROR(__xludf.DUMMYFUNCTION("""COMPUTED_VALUE"""),"Grade Order")</f>
        <v>Grade Order</v>
      </c>
    </row>
    <row r="2">
      <c r="A2" s="5" t="b">
        <f>IFERROR(__xludf.DUMMYFUNCTION("""COMPUTED_VALUE"""),FALSE)</f>
        <v>0</v>
      </c>
      <c r="B2" s="5" t="str">
        <f>IFERROR(__xludf.DUMMYFUNCTION("""COMPUTED_VALUE"""),"Capitaine")</f>
        <v>Capitaine</v>
      </c>
      <c r="C2" s="15" t="str">
        <f>IFERROR(__xludf.DUMMYFUNCTION("""COMPUTED_VALUE"""),"Hastelvin")</f>
        <v>Hastelvin</v>
      </c>
      <c r="D2" s="15"/>
      <c r="E2" s="5" t="str">
        <f>IFERROR(__xludf.DUMMYFUNCTION("""COMPUTED_VALUE"""),"Cap Granite")</f>
        <v>Cap Granite</v>
      </c>
      <c r="F2" s="12" t="str">
        <f>IFERROR(__xludf.DUMMYFUNCTION("""COMPUTED_VALUE"""),"Garde, Collecteur de la garde")</f>
        <v>Garde, Collecteur de la garde</v>
      </c>
      <c r="G2" s="5" t="str">
        <f>IFERROR(__xludf.DUMMYFUNCTION("""COMPUTED_VALUE"""),"En service actif")</f>
        <v>En service actif</v>
      </c>
      <c r="H2" s="5"/>
      <c r="I2" s="74"/>
      <c r="J2" s="8">
        <f>IFERROR(__xludf.DUMMYFUNCTION("""COMPUTED_VALUE"""),0.0)</f>
        <v>0</v>
      </c>
      <c r="K2" s="8"/>
      <c r="L2" s="8"/>
      <c r="M2" s="8"/>
      <c r="N2" s="8"/>
      <c r="O2" s="8"/>
      <c r="P2" s="8"/>
      <c r="Q2" s="8"/>
      <c r="R2" s="8"/>
      <c r="S2" s="8"/>
      <c r="T2" s="8"/>
      <c r="U2" s="8"/>
      <c r="V2" s="8"/>
      <c r="W2" s="8"/>
      <c r="X2" s="8"/>
      <c r="Y2" s="8"/>
      <c r="Z2" s="8">
        <f>IFERROR(__xludf.DUMMYFUNCTION("""COMPUTED_VALUE"""),4.0)</f>
        <v>4</v>
      </c>
    </row>
    <row r="3">
      <c r="A3" s="5" t="b">
        <f>IFERROR(__xludf.DUMMYFUNCTION("""COMPUTED_VALUE"""),FALSE)</f>
        <v>0</v>
      </c>
      <c r="B3" s="5" t="str">
        <f>IFERROR(__xludf.DUMMYFUNCTION("""COMPUTED_VALUE"""),"Lieutenant-Chef")</f>
        <v>Lieutenant-Chef</v>
      </c>
      <c r="C3" s="15" t="str">
        <f>IFERROR(__xludf.DUMMYFUNCTION("""COMPUTED_VALUE"""),"Pavis")</f>
        <v>Pavis</v>
      </c>
      <c r="D3" s="18" t="str">
        <f>IFERROR(__xludf.DUMMYFUNCTION("""COMPUTED_VALUE"""),"Gurdalval")</f>
        <v>Gurdalval</v>
      </c>
      <c r="E3" s="5" t="str">
        <f>IFERROR(__xludf.DUMMYFUNCTION("""COMPUTED_VALUE"""),"Cap Granite")</f>
        <v>Cap Granite</v>
      </c>
      <c r="F3" s="12" t="str">
        <f>IFERROR(__xludf.DUMMYFUNCTION("""COMPUTED_VALUE"""),"Garde")</f>
        <v>Garde</v>
      </c>
      <c r="G3" s="5" t="str">
        <f>IFERROR(__xludf.DUMMYFUNCTION("""COMPUTED_VALUE"""),"En service actif")</f>
        <v>En service actif</v>
      </c>
      <c r="H3" s="5"/>
      <c r="I3" s="74"/>
      <c r="J3" s="8">
        <f>IFERROR(__xludf.DUMMYFUNCTION("""COMPUTED_VALUE"""),1.0)</f>
        <v>1</v>
      </c>
      <c r="K3" s="8"/>
      <c r="L3" s="8"/>
      <c r="M3" s="8"/>
      <c r="N3" s="8"/>
      <c r="O3" s="8"/>
      <c r="P3" s="8"/>
      <c r="Q3" s="8"/>
      <c r="R3" s="8"/>
      <c r="S3" s="8"/>
      <c r="T3" s="8"/>
      <c r="U3" s="8"/>
      <c r="V3" s="8"/>
      <c r="W3" s="8"/>
      <c r="X3" s="8"/>
      <c r="Y3" s="8"/>
      <c r="Z3" s="8">
        <f>IFERROR(__xludf.DUMMYFUNCTION("""COMPUTED_VALUE"""),5.0)</f>
        <v>5</v>
      </c>
    </row>
    <row r="4">
      <c r="A4" s="5" t="b">
        <f>IFERROR(__xludf.DUMMYFUNCTION("""COMPUTED_VALUE"""),FALSE)</f>
        <v>0</v>
      </c>
      <c r="B4" s="5" t="str">
        <f>IFERROR(__xludf.DUMMYFUNCTION("""COMPUTED_VALUE"""),"Sergent-Chef")</f>
        <v>Sergent-Chef</v>
      </c>
      <c r="C4" s="15" t="str">
        <f>IFERROR(__xludf.DUMMYFUNCTION("""COMPUTED_VALUE"""),"Starkos")</f>
        <v>Starkos</v>
      </c>
      <c r="D4" s="18" t="str">
        <f>IFERROR(__xludf.DUMMYFUNCTION("""COMPUTED_VALUE"""),"Coeurebene")</f>
        <v>Coeurebene</v>
      </c>
      <c r="E4" s="5" t="str">
        <f>IFERROR(__xludf.DUMMYFUNCTION("""COMPUTED_VALUE"""),"Cap Granite")</f>
        <v>Cap Granite</v>
      </c>
      <c r="F4" s="12" t="str">
        <f>IFERROR(__xludf.DUMMYFUNCTION("""COMPUTED_VALUE"""),"Garde")</f>
        <v>Garde</v>
      </c>
      <c r="G4" s="5" t="str">
        <f>IFERROR(__xludf.DUMMYFUNCTION("""COMPUTED_VALUE"""),"En service actif")</f>
        <v>En service actif</v>
      </c>
      <c r="H4" s="5"/>
      <c r="I4" s="74"/>
      <c r="J4" s="8">
        <f>IFERROR(__xludf.DUMMYFUNCTION("""COMPUTED_VALUE"""),4.0)</f>
        <v>4</v>
      </c>
      <c r="K4" s="8"/>
      <c r="L4" s="8"/>
      <c r="M4" s="8"/>
      <c r="N4" s="8"/>
      <c r="O4" s="8"/>
      <c r="P4" s="8"/>
      <c r="Q4" s="8"/>
      <c r="R4" s="8"/>
      <c r="S4" s="8"/>
      <c r="T4" s="8"/>
      <c r="U4" s="8"/>
      <c r="V4" s="8"/>
      <c r="W4" s="8"/>
      <c r="X4" s="8"/>
      <c r="Y4" s="8"/>
      <c r="Z4" s="8">
        <f>IFERROR(__xludf.DUMMYFUNCTION("""COMPUTED_VALUE"""),7.0)</f>
        <v>7</v>
      </c>
    </row>
    <row r="5">
      <c r="A5" s="5" t="b">
        <f>IFERROR(__xludf.DUMMYFUNCTION("""COMPUTED_VALUE"""),FALSE)</f>
        <v>0</v>
      </c>
      <c r="B5" s="5" t="str">
        <f>IFERROR(__xludf.DUMMYFUNCTION("""COMPUTED_VALUE"""),"Sergent-Chef")</f>
        <v>Sergent-Chef</v>
      </c>
      <c r="C5" s="15" t="str">
        <f>IFERROR(__xludf.DUMMYFUNCTION("""COMPUTED_VALUE"""),"Barnabas")</f>
        <v>Barnabas</v>
      </c>
      <c r="D5" s="15" t="str">
        <f>IFERROR(__xludf.DUMMYFUNCTION("""COMPUTED_VALUE"""),"Tharmr")</f>
        <v>Tharmr</v>
      </c>
      <c r="E5" s="5" t="str">
        <f>IFERROR(__xludf.DUMMYFUNCTION("""COMPUTED_VALUE"""),"Cap Granite")</f>
        <v>Cap Granite</v>
      </c>
      <c r="F5" s="12" t="str">
        <f>IFERROR(__xludf.DUMMYFUNCTION("""COMPUTED_VALUE"""),"Garde")</f>
        <v>Garde</v>
      </c>
      <c r="G5" s="5" t="str">
        <f>IFERROR(__xludf.DUMMYFUNCTION("""COMPUTED_VALUE"""),"En service actif")</f>
        <v>En service actif</v>
      </c>
      <c r="H5" s="5"/>
      <c r="I5" s="74"/>
      <c r="J5" s="8">
        <f>IFERROR(__xludf.DUMMYFUNCTION("""COMPUTED_VALUE"""),3.0)</f>
        <v>3</v>
      </c>
      <c r="K5" s="8"/>
      <c r="L5" s="8"/>
      <c r="M5" s="8"/>
      <c r="N5" s="8"/>
      <c r="O5" s="8"/>
      <c r="P5" s="8"/>
      <c r="Q5" s="8"/>
      <c r="R5" s="8"/>
      <c r="S5" s="8"/>
      <c r="T5" s="8"/>
      <c r="U5" s="8"/>
      <c r="V5" s="8"/>
      <c r="W5" s="8"/>
      <c r="X5" s="8"/>
      <c r="Y5" s="8"/>
      <c r="Z5" s="8">
        <f>IFERROR(__xludf.DUMMYFUNCTION("""COMPUTED_VALUE"""),7.0)</f>
        <v>7</v>
      </c>
    </row>
    <row r="6">
      <c r="A6" s="5" t="b">
        <f>IFERROR(__xludf.DUMMYFUNCTION("""COMPUTED_VALUE"""),FALSE)</f>
        <v>0</v>
      </c>
      <c r="B6" s="5" t="str">
        <f>IFERROR(__xludf.DUMMYFUNCTION("""COMPUTED_VALUE"""),"Garde")</f>
        <v>Garde</v>
      </c>
      <c r="C6" s="15" t="str">
        <f>IFERROR(__xludf.DUMMYFUNCTION("""COMPUTED_VALUE"""),"Malivor")</f>
        <v>Malivor</v>
      </c>
      <c r="D6" s="15" t="str">
        <f>IFERROR(__xludf.DUMMYFUNCTION("""COMPUTED_VALUE"""),"Xernes")</f>
        <v>Xernes</v>
      </c>
      <c r="E6" s="5" t="str">
        <f>IFERROR(__xludf.DUMMYFUNCTION("""COMPUTED_VALUE"""),"Cap Granite")</f>
        <v>Cap Granite</v>
      </c>
      <c r="F6" s="12" t="str">
        <f>IFERROR(__xludf.DUMMYFUNCTION("""COMPUTED_VALUE"""),"Garde")</f>
        <v>Garde</v>
      </c>
      <c r="G6" s="5" t="str">
        <f>IFERROR(__xludf.DUMMYFUNCTION("""COMPUTED_VALUE"""),"En service actif")</f>
        <v>En service actif</v>
      </c>
      <c r="H6" s="5"/>
      <c r="I6" s="74"/>
      <c r="J6" s="8">
        <f>IFERROR(__xludf.DUMMYFUNCTION("""COMPUTED_VALUE"""),4.0)</f>
        <v>4</v>
      </c>
      <c r="K6" s="8"/>
      <c r="L6" s="8"/>
      <c r="M6" s="8"/>
      <c r="N6" s="8"/>
      <c r="O6" s="8"/>
      <c r="P6" s="8"/>
      <c r="Q6" s="8"/>
      <c r="R6" s="8"/>
      <c r="S6" s="8"/>
      <c r="T6" s="8"/>
      <c r="U6" s="8"/>
      <c r="V6" s="8"/>
      <c r="W6" s="8"/>
      <c r="X6" s="8"/>
      <c r="Y6" s="8"/>
      <c r="Z6" s="8">
        <f>IFERROR(__xludf.DUMMYFUNCTION("""COMPUTED_VALUE"""),11.0)</f>
        <v>11</v>
      </c>
    </row>
    <row r="7">
      <c r="A7" s="5" t="b">
        <f>IFERROR(__xludf.DUMMYFUNCTION("""COMPUTED_VALUE"""),FALSE)</f>
        <v>0</v>
      </c>
      <c r="B7" s="5" t="str">
        <f>IFERROR(__xludf.DUMMYFUNCTION("""COMPUTED_VALUE"""),"Garde")</f>
        <v>Garde</v>
      </c>
      <c r="C7" s="15" t="str">
        <f>IFERROR(__xludf.DUMMYFUNCTION("""COMPUTED_VALUE"""),"Bakhir")</f>
        <v>Bakhir</v>
      </c>
      <c r="D7" s="15"/>
      <c r="E7" s="5" t="str">
        <f>IFERROR(__xludf.DUMMYFUNCTION("""COMPUTED_VALUE"""),"Cap Granite")</f>
        <v>Cap Granite</v>
      </c>
      <c r="F7" s="12" t="str">
        <f>IFERROR(__xludf.DUMMYFUNCTION("""COMPUTED_VALUE"""),"Garde")</f>
        <v>Garde</v>
      </c>
      <c r="G7" s="5" t="str">
        <f>IFERROR(__xludf.DUMMYFUNCTION("""COMPUTED_VALUE"""),"En service actif")</f>
        <v>En service actif</v>
      </c>
      <c r="H7" s="8"/>
      <c r="I7" s="74"/>
      <c r="J7" s="8">
        <f>IFERROR(__xludf.DUMMYFUNCTION("""COMPUTED_VALUE"""),0.0)</f>
        <v>0</v>
      </c>
      <c r="K7" s="8"/>
      <c r="L7" s="8"/>
      <c r="M7" s="8"/>
      <c r="N7" s="8"/>
      <c r="O7" s="8"/>
      <c r="P7" s="8"/>
      <c r="Q7" s="8"/>
      <c r="R7" s="8"/>
      <c r="S7" s="8"/>
      <c r="T7" s="8"/>
      <c r="U7" s="8"/>
      <c r="V7" s="8"/>
      <c r="W7" s="8"/>
      <c r="X7" s="8"/>
      <c r="Y7" s="8"/>
      <c r="Z7" s="8">
        <f>IFERROR(__xludf.DUMMYFUNCTION("""COMPUTED_VALUE"""),11.0)</f>
        <v>11</v>
      </c>
    </row>
    <row r="8">
      <c r="A8" s="5" t="b">
        <f>IFERROR(__xludf.DUMMYFUNCTION("""COMPUTED_VALUE"""),FALSE)</f>
        <v>0</v>
      </c>
      <c r="B8" s="5" t="str">
        <f>IFERROR(__xludf.DUMMYFUNCTION("""COMPUTED_VALUE"""),"Garde")</f>
        <v>Garde</v>
      </c>
      <c r="C8" s="15" t="str">
        <f>IFERROR(__xludf.DUMMYFUNCTION("""COMPUTED_VALUE"""),"Drakgor")</f>
        <v>Drakgor</v>
      </c>
      <c r="D8" s="15" t="str">
        <f>IFERROR(__xludf.DUMMYFUNCTION("""COMPUTED_VALUE"""),"gro-Drakar")</f>
        <v>gro-Drakar</v>
      </c>
      <c r="E8" s="5" t="str">
        <f>IFERROR(__xludf.DUMMYFUNCTION("""COMPUTED_VALUE"""),"Cap Granite")</f>
        <v>Cap Granite</v>
      </c>
      <c r="F8" s="12" t="str">
        <f>IFERROR(__xludf.DUMMYFUNCTION("""COMPUTED_VALUE"""),"Garde")</f>
        <v>Garde</v>
      </c>
      <c r="G8" s="5" t="str">
        <f>IFERROR(__xludf.DUMMYFUNCTION("""COMPUTED_VALUE"""),"En service actif")</f>
        <v>En service actif</v>
      </c>
      <c r="H8" s="8"/>
      <c r="I8" s="74"/>
      <c r="J8" s="8">
        <f>IFERROR(__xludf.DUMMYFUNCTION("""COMPUTED_VALUE"""),0.0)</f>
        <v>0</v>
      </c>
      <c r="K8" s="8"/>
      <c r="L8" s="8"/>
      <c r="M8" s="8"/>
      <c r="N8" s="8"/>
      <c r="O8" s="8"/>
      <c r="P8" s="8"/>
      <c r="Q8" s="8"/>
      <c r="R8" s="8"/>
      <c r="S8" s="8"/>
      <c r="T8" s="8"/>
      <c r="U8" s="8"/>
      <c r="V8" s="8"/>
      <c r="W8" s="8"/>
      <c r="X8" s="8"/>
      <c r="Y8" s="8"/>
      <c r="Z8" s="8">
        <f>IFERROR(__xludf.DUMMYFUNCTION("""COMPUTED_VALUE"""),11.0)</f>
        <v>11</v>
      </c>
    </row>
    <row r="9">
      <c r="A9" s="5" t="b">
        <f>IFERROR(__xludf.DUMMYFUNCTION("""COMPUTED_VALUE"""),FALSE)</f>
        <v>0</v>
      </c>
      <c r="B9" s="5" t="str">
        <f>IFERROR(__xludf.DUMMYFUNCTION("""COMPUTED_VALUE"""),"Recrue")</f>
        <v>Recrue</v>
      </c>
      <c r="C9" s="15" t="str">
        <f>IFERROR(__xludf.DUMMYFUNCTION("""COMPUTED_VALUE"""),"Vranx")</f>
        <v>Vranx</v>
      </c>
      <c r="D9" s="75" t="str">
        <f>IFERROR(__xludf.DUMMYFUNCTION("""COMPUTED_VALUE"""),"Thorgar")</f>
        <v>Thorgar</v>
      </c>
      <c r="E9" s="5" t="str">
        <f>IFERROR(__xludf.DUMMYFUNCTION("""COMPUTED_VALUE"""),"Cap Granite")</f>
        <v>Cap Granite</v>
      </c>
      <c r="F9" s="12" t="str">
        <f>IFERROR(__xludf.DUMMYFUNCTION("""COMPUTED_VALUE"""),"Garde")</f>
        <v>Garde</v>
      </c>
      <c r="G9" s="5" t="str">
        <f>IFERROR(__xludf.DUMMYFUNCTION("""COMPUTED_VALUE"""),"En service actif")</f>
        <v>En service actif</v>
      </c>
      <c r="H9" s="5"/>
      <c r="I9" s="74"/>
      <c r="J9" s="8"/>
      <c r="K9" s="8"/>
      <c r="L9" s="8"/>
      <c r="M9" s="8"/>
      <c r="N9" s="8"/>
      <c r="O9" s="8"/>
      <c r="P9" s="8"/>
      <c r="Q9" s="8"/>
      <c r="R9" s="8"/>
      <c r="S9" s="8"/>
      <c r="T9" s="8"/>
      <c r="U9" s="8"/>
      <c r="V9" s="8"/>
      <c r="W9" s="8"/>
      <c r="X9" s="8"/>
      <c r="Y9" s="8"/>
      <c r="Z9" s="8">
        <f>IFERROR(__xludf.DUMMYFUNCTION("""COMPUTED_VALUE"""),13.0)</f>
        <v>13</v>
      </c>
    </row>
    <row r="10">
      <c r="A10" s="8"/>
      <c r="B10" s="5"/>
      <c r="C10" s="15"/>
      <c r="D10" s="15"/>
      <c r="E10" s="5"/>
      <c r="F10" s="12"/>
      <c r="G10" s="5"/>
      <c r="H10" s="8"/>
      <c r="I10" s="74"/>
    </row>
    <row r="11">
      <c r="A11" s="8"/>
      <c r="B11" s="5"/>
      <c r="C11" s="15"/>
      <c r="D11" s="18"/>
      <c r="E11" s="5"/>
      <c r="F11" s="12"/>
      <c r="G11" s="5"/>
      <c r="H11" s="8"/>
      <c r="I11" s="74"/>
    </row>
    <row r="12">
      <c r="A12" s="5"/>
      <c r="B12" s="5"/>
      <c r="C12" s="15"/>
      <c r="D12" s="18"/>
      <c r="E12" s="5"/>
      <c r="F12" s="12"/>
      <c r="G12" s="5"/>
      <c r="H12" s="5"/>
      <c r="I12" s="74"/>
    </row>
    <row r="13">
      <c r="A13" s="5"/>
      <c r="B13" s="5"/>
      <c r="C13" s="15"/>
      <c r="D13" s="18"/>
      <c r="E13" s="5"/>
      <c r="F13" s="12"/>
      <c r="G13" s="5"/>
      <c r="H13" s="5"/>
      <c r="I13" s="74"/>
    </row>
    <row r="14">
      <c r="A14" s="5"/>
      <c r="B14" s="5"/>
      <c r="C14" s="15"/>
      <c r="D14" s="15"/>
      <c r="E14" s="5"/>
      <c r="F14" s="12"/>
      <c r="G14" s="5"/>
      <c r="H14" s="8"/>
      <c r="I14" s="74"/>
    </row>
    <row r="15">
      <c r="A15" s="5"/>
      <c r="B15" s="5"/>
      <c r="C15" s="15"/>
      <c r="D15" s="15"/>
      <c r="E15" s="5"/>
      <c r="F15" s="12"/>
      <c r="G15" s="5"/>
      <c r="H15" s="8"/>
      <c r="I15" s="74"/>
    </row>
    <row r="16">
      <c r="A16" s="5"/>
      <c r="B16" s="5"/>
      <c r="C16" s="15"/>
      <c r="D16" s="15"/>
      <c r="E16" s="5"/>
      <c r="F16" s="12"/>
      <c r="G16" s="5"/>
      <c r="H16" s="8"/>
      <c r="I16" s="74"/>
    </row>
    <row r="17">
      <c r="A17" s="5"/>
      <c r="B17" s="5"/>
      <c r="C17" s="15"/>
      <c r="D17" s="15"/>
      <c r="E17" s="5"/>
      <c r="F17" s="12"/>
      <c r="G17" s="5"/>
      <c r="H17" s="8"/>
      <c r="I17" s="74"/>
    </row>
    <row r="18">
      <c r="A18" s="5"/>
      <c r="B18" s="5"/>
      <c r="C18" s="15"/>
      <c r="D18" s="18"/>
      <c r="E18" s="5"/>
      <c r="F18" s="12"/>
      <c r="G18" s="5"/>
      <c r="H18" s="8"/>
      <c r="I18" s="74"/>
    </row>
    <row r="19">
      <c r="A19" s="5"/>
      <c r="B19" s="5"/>
      <c r="C19" s="15"/>
      <c r="D19" s="18"/>
      <c r="E19" s="5"/>
      <c r="F19" s="12"/>
      <c r="G19" s="5"/>
      <c r="H19" s="8"/>
      <c r="I19" s="74"/>
    </row>
    <row r="20">
      <c r="A20" s="5"/>
      <c r="B20" s="5"/>
      <c r="C20" s="15"/>
      <c r="D20" s="18"/>
      <c r="E20" s="5"/>
      <c r="F20" s="12"/>
      <c r="G20" s="5"/>
      <c r="H20" s="8"/>
      <c r="I20" s="74"/>
    </row>
    <row r="21">
      <c r="A21" s="5"/>
      <c r="B21" s="5"/>
      <c r="C21" s="15"/>
      <c r="D21" s="15"/>
      <c r="E21" s="5"/>
      <c r="F21" s="12"/>
      <c r="G21" s="5"/>
      <c r="H21" s="5"/>
      <c r="I21" s="74"/>
    </row>
    <row r="22">
      <c r="A22" s="5"/>
      <c r="B22" s="5"/>
      <c r="C22" s="15"/>
      <c r="D22" s="15"/>
      <c r="E22" s="5"/>
      <c r="F22" s="12"/>
      <c r="G22" s="5"/>
      <c r="H22" s="5"/>
      <c r="I22" s="74"/>
    </row>
    <row r="23">
      <c r="A23" s="5"/>
      <c r="B23" s="5"/>
      <c r="C23" s="15"/>
      <c r="D23" s="15"/>
      <c r="E23" s="5"/>
      <c r="F23" s="12"/>
      <c r="G23" s="5"/>
      <c r="H23" s="5"/>
      <c r="I23" s="74"/>
    </row>
    <row r="24">
      <c r="A24" s="5"/>
      <c r="B24" s="5"/>
      <c r="C24" s="15"/>
      <c r="D24" s="18"/>
      <c r="E24" s="5"/>
      <c r="F24" s="12"/>
      <c r="G24" s="5"/>
      <c r="H24" s="5"/>
      <c r="I24" s="74"/>
    </row>
    <row r="25">
      <c r="A25" s="5"/>
      <c r="B25" s="5"/>
      <c r="C25" s="15"/>
      <c r="D25" s="15"/>
      <c r="E25" s="5"/>
      <c r="F25" s="12"/>
      <c r="G25" s="5"/>
      <c r="H25" s="8"/>
      <c r="I25" s="74"/>
    </row>
    <row r="26">
      <c r="A26" s="5"/>
      <c r="B26" s="5"/>
      <c r="C26" s="15"/>
      <c r="D26" s="18"/>
      <c r="E26" s="5"/>
      <c r="F26" s="12"/>
      <c r="G26" s="5"/>
      <c r="H26" s="8"/>
      <c r="I26" s="74"/>
    </row>
    <row r="27">
      <c r="A27" s="5"/>
      <c r="B27" s="5"/>
      <c r="C27" s="15"/>
      <c r="D27" s="18"/>
      <c r="E27" s="5"/>
      <c r="F27" s="12"/>
      <c r="G27" s="5"/>
      <c r="H27" s="8"/>
      <c r="I27" s="74"/>
    </row>
    <row r="28">
      <c r="A28" s="5"/>
      <c r="B28" s="5"/>
      <c r="C28" s="15"/>
      <c r="D28" s="15"/>
      <c r="E28" s="5"/>
      <c r="F28" s="12"/>
      <c r="G28" s="5"/>
      <c r="H28" s="8"/>
      <c r="I28" s="74"/>
    </row>
    <row r="29">
      <c r="A29" s="5"/>
      <c r="B29" s="5"/>
      <c r="C29" s="15"/>
      <c r="D29" s="15"/>
      <c r="E29" s="5"/>
      <c r="F29" s="12"/>
      <c r="G29" s="5"/>
      <c r="H29" s="8"/>
      <c r="I29" s="74"/>
    </row>
    <row r="30">
      <c r="A30" s="5"/>
      <c r="B30" s="5"/>
      <c r="C30" s="15"/>
      <c r="D30" s="18"/>
      <c r="E30" s="5"/>
      <c r="F30" s="12"/>
      <c r="G30" s="5"/>
      <c r="H30" s="8"/>
      <c r="I30" s="74"/>
    </row>
    <row r="31">
      <c r="A31" s="5"/>
      <c r="B31" s="5"/>
      <c r="C31" s="15"/>
      <c r="D31" s="18"/>
      <c r="E31" s="5"/>
      <c r="F31" s="12"/>
      <c r="G31" s="5"/>
      <c r="H31" s="8"/>
      <c r="I31" s="74"/>
    </row>
    <row r="32">
      <c r="A32" s="5"/>
      <c r="B32" s="5"/>
      <c r="C32" s="15"/>
      <c r="D32" s="15"/>
      <c r="E32" s="5"/>
      <c r="F32" s="12"/>
      <c r="G32" s="5"/>
      <c r="H32" s="8"/>
      <c r="I32" s="74"/>
    </row>
    <row r="33">
      <c r="A33" s="5"/>
      <c r="B33" s="5"/>
      <c r="C33" s="15"/>
      <c r="D33" s="15"/>
      <c r="E33" s="5"/>
      <c r="F33" s="12"/>
      <c r="G33" s="5"/>
      <c r="H33" s="8"/>
      <c r="I33" s="74"/>
    </row>
    <row r="34">
      <c r="A34" s="8"/>
      <c r="B34" s="5"/>
      <c r="C34" s="15"/>
      <c r="D34" s="18"/>
      <c r="E34" s="5"/>
      <c r="F34" s="12"/>
      <c r="G34" s="5"/>
      <c r="H34" s="8"/>
      <c r="I34" s="74"/>
    </row>
    <row r="35">
      <c r="A35" s="5"/>
      <c r="B35" s="5"/>
      <c r="C35" s="15"/>
      <c r="D35" s="18"/>
      <c r="E35" s="5"/>
      <c r="F35" s="12"/>
      <c r="G35" s="5"/>
      <c r="H35" s="8"/>
      <c r="I35" s="74"/>
    </row>
    <row r="36">
      <c r="A36" s="5"/>
      <c r="B36" s="5"/>
      <c r="C36" s="15"/>
      <c r="D36" s="15"/>
      <c r="E36" s="5"/>
      <c r="F36" s="12"/>
      <c r="G36" s="5"/>
      <c r="H36" s="8"/>
      <c r="I36" s="74"/>
    </row>
    <row r="37">
      <c r="A37" s="8"/>
      <c r="B37" s="5"/>
      <c r="C37" s="15"/>
      <c r="D37" s="15"/>
      <c r="E37" s="5"/>
      <c r="F37" s="12"/>
      <c r="G37" s="5"/>
      <c r="H37" s="8"/>
      <c r="I37" s="74"/>
    </row>
    <row r="38">
      <c r="A38" s="8"/>
      <c r="B38" s="5"/>
      <c r="C38" s="15"/>
      <c r="D38" s="15"/>
      <c r="E38" s="5"/>
      <c r="F38" s="12"/>
      <c r="G38" s="5"/>
      <c r="H38" s="8"/>
      <c r="I38" s="74"/>
    </row>
    <row r="39">
      <c r="A39" s="8"/>
      <c r="B39" s="5"/>
      <c r="C39" s="15"/>
      <c r="D39" s="18"/>
      <c r="E39" s="5"/>
      <c r="F39" s="12"/>
      <c r="G39" s="5"/>
      <c r="H39" s="8"/>
      <c r="I39" s="74"/>
    </row>
    <row r="40">
      <c r="A40" s="8"/>
      <c r="B40" s="5"/>
      <c r="C40" s="15"/>
      <c r="D40" s="18"/>
      <c r="E40" s="5"/>
      <c r="F40" s="12"/>
      <c r="G40" s="5"/>
      <c r="H40" s="5"/>
      <c r="I40" s="74"/>
    </row>
    <row r="41">
      <c r="A41" s="8"/>
      <c r="B41" s="8"/>
      <c r="C41" s="18"/>
      <c r="D41" s="18"/>
      <c r="E41" s="8"/>
      <c r="F41" s="8"/>
      <c r="G41" s="8"/>
      <c r="H41" s="8"/>
      <c r="I41" s="74"/>
    </row>
    <row r="42">
      <c r="A42" s="8"/>
      <c r="B42" s="8"/>
      <c r="C42" s="18"/>
      <c r="D42" s="18"/>
      <c r="E42" s="8"/>
      <c r="F42" s="8"/>
      <c r="G42" s="8"/>
      <c r="H42" s="8"/>
      <c r="I42" s="74"/>
    </row>
    <row r="43">
      <c r="A43" s="8"/>
      <c r="B43" s="8"/>
      <c r="C43" s="18"/>
      <c r="D43" s="18"/>
      <c r="E43" s="8"/>
      <c r="F43" s="8"/>
      <c r="G43" s="8"/>
      <c r="H43" s="8"/>
      <c r="I43" s="74"/>
    </row>
    <row r="44">
      <c r="A44" s="8"/>
      <c r="B44" s="8"/>
      <c r="C44" s="18"/>
      <c r="D44" s="18"/>
      <c r="E44" s="8"/>
      <c r="F44" s="8"/>
      <c r="G44" s="8"/>
      <c r="H44" s="8"/>
      <c r="I44" s="74"/>
    </row>
    <row r="45">
      <c r="A45" s="8"/>
      <c r="B45" s="8"/>
      <c r="C45" s="18"/>
      <c r="D45" s="18"/>
      <c r="E45" s="8"/>
      <c r="F45" s="8"/>
      <c r="G45" s="8"/>
      <c r="H45" s="8"/>
      <c r="I45" s="74"/>
    </row>
    <row r="46">
      <c r="A46" s="8"/>
      <c r="B46" s="8"/>
      <c r="C46" s="18"/>
      <c r="D46" s="18"/>
      <c r="E46" s="8"/>
      <c r="F46" s="8"/>
      <c r="G46" s="8"/>
      <c r="H46" s="8"/>
      <c r="I46" s="76"/>
    </row>
    <row r="47">
      <c r="A47" s="8"/>
      <c r="B47" s="8"/>
      <c r="C47" s="18"/>
      <c r="D47" s="18"/>
      <c r="E47" s="8"/>
      <c r="F47" s="8"/>
      <c r="G47" s="8"/>
      <c r="H47" s="8"/>
      <c r="I47" s="76"/>
    </row>
    <row r="48">
      <c r="A48" s="8"/>
      <c r="B48" s="8"/>
      <c r="C48" s="18"/>
      <c r="D48" s="18"/>
      <c r="E48" s="8"/>
      <c r="F48" s="8"/>
      <c r="G48" s="8"/>
      <c r="H48" s="8"/>
      <c r="I48" s="76"/>
    </row>
    <row r="49">
      <c r="A49" s="8"/>
      <c r="B49" s="8"/>
      <c r="C49" s="18"/>
      <c r="D49" s="18"/>
      <c r="E49" s="8"/>
      <c r="F49" s="8"/>
      <c r="G49" s="8"/>
      <c r="H49" s="8"/>
      <c r="I49" s="76"/>
    </row>
    <row r="50">
      <c r="A50" s="8"/>
      <c r="B50" s="8"/>
      <c r="C50" s="18"/>
      <c r="D50" s="18"/>
      <c r="E50" s="8"/>
      <c r="F50" s="8"/>
      <c r="G50" s="8"/>
      <c r="H50" s="8"/>
      <c r="I50" s="76"/>
    </row>
    <row r="51">
      <c r="A51" s="8"/>
      <c r="B51" s="8"/>
      <c r="C51" s="18"/>
      <c r="D51" s="18"/>
      <c r="E51" s="8"/>
      <c r="F51" s="8"/>
      <c r="G51" s="8"/>
      <c r="H51" s="8"/>
      <c r="I51" s="76"/>
    </row>
    <row r="52">
      <c r="A52" s="8"/>
      <c r="B52" s="8"/>
      <c r="C52" s="18"/>
      <c r="D52" s="18"/>
      <c r="E52" s="8"/>
      <c r="F52" s="8"/>
      <c r="G52" s="8"/>
      <c r="H52" s="8"/>
      <c r="I52" s="76"/>
    </row>
    <row r="53">
      <c r="A53" s="8"/>
      <c r="B53" s="8"/>
      <c r="C53" s="18"/>
      <c r="D53" s="18"/>
      <c r="E53" s="8"/>
      <c r="F53" s="8"/>
      <c r="G53" s="8"/>
      <c r="H53" s="8"/>
      <c r="I53" s="76"/>
    </row>
    <row r="54">
      <c r="A54" s="8"/>
      <c r="B54" s="8"/>
      <c r="C54" s="18"/>
      <c r="D54" s="18"/>
      <c r="E54" s="8"/>
      <c r="F54" s="8"/>
      <c r="G54" s="8"/>
      <c r="H54" s="8"/>
      <c r="I54" s="76"/>
    </row>
    <row r="55">
      <c r="A55" s="8"/>
      <c r="B55" s="8"/>
      <c r="C55" s="18"/>
      <c r="D55" s="18"/>
      <c r="E55" s="8"/>
      <c r="F55" s="8"/>
      <c r="G55" s="8"/>
      <c r="H55" s="8"/>
      <c r="I55" s="76"/>
    </row>
    <row r="56">
      <c r="A56" s="8"/>
      <c r="B56" s="8"/>
      <c r="C56" s="18"/>
      <c r="D56" s="18"/>
      <c r="E56" s="8"/>
      <c r="F56" s="8"/>
      <c r="G56" s="8"/>
      <c r="H56" s="8"/>
      <c r="I56" s="76"/>
    </row>
    <row r="57">
      <c r="A57" s="8"/>
      <c r="B57" s="8"/>
      <c r="C57" s="18"/>
      <c r="D57" s="18"/>
      <c r="E57" s="8"/>
      <c r="F57" s="8"/>
      <c r="G57" s="8"/>
      <c r="H57" s="8"/>
      <c r="I57" s="76"/>
    </row>
    <row r="58">
      <c r="A58" s="8"/>
      <c r="B58" s="8"/>
      <c r="C58" s="18"/>
      <c r="D58" s="18"/>
      <c r="E58" s="8"/>
      <c r="F58" s="8"/>
      <c r="G58" s="8"/>
      <c r="H58" s="8"/>
      <c r="I58" s="76"/>
    </row>
    <row r="59">
      <c r="A59" s="8"/>
      <c r="B59" s="8"/>
      <c r="C59" s="18"/>
      <c r="D59" s="18"/>
      <c r="E59" s="8"/>
      <c r="F59" s="8"/>
      <c r="G59" s="8"/>
      <c r="H59" s="8"/>
      <c r="I59" s="76"/>
    </row>
    <row r="60">
      <c r="A60" s="8"/>
      <c r="B60" s="8"/>
      <c r="C60" s="18"/>
      <c r="D60" s="18"/>
      <c r="E60" s="8"/>
      <c r="F60" s="8"/>
      <c r="G60" s="8"/>
      <c r="H60" s="8"/>
      <c r="I60" s="76"/>
    </row>
    <row r="61">
      <c r="A61" s="8"/>
      <c r="B61" s="8"/>
      <c r="C61" s="18"/>
      <c r="D61" s="18"/>
      <c r="E61" s="8"/>
      <c r="F61" s="8"/>
      <c r="G61" s="8"/>
      <c r="H61" s="8"/>
      <c r="I61" s="76"/>
    </row>
    <row r="62">
      <c r="A62" s="8"/>
      <c r="B62" s="8"/>
      <c r="C62" s="18"/>
      <c r="D62" s="18"/>
      <c r="E62" s="8"/>
      <c r="F62" s="8"/>
      <c r="G62" s="8"/>
      <c r="H62" s="8"/>
      <c r="I62" s="76"/>
    </row>
    <row r="63">
      <c r="A63" s="8"/>
      <c r="B63" s="8"/>
      <c r="C63" s="18"/>
      <c r="D63" s="18"/>
      <c r="E63" s="8"/>
      <c r="F63" s="8"/>
      <c r="G63" s="8"/>
      <c r="H63" s="8"/>
      <c r="I63" s="76"/>
    </row>
    <row r="64">
      <c r="A64" s="8"/>
      <c r="B64" s="8"/>
      <c r="C64" s="18"/>
      <c r="D64" s="18"/>
      <c r="E64" s="8"/>
      <c r="F64" s="8"/>
      <c r="G64" s="8"/>
      <c r="H64" s="8"/>
      <c r="I64" s="76"/>
    </row>
    <row r="65">
      <c r="A65" s="8"/>
      <c r="B65" s="8"/>
      <c r="C65" s="18"/>
      <c r="D65" s="18"/>
      <c r="E65" s="8"/>
      <c r="F65" s="8"/>
      <c r="G65" s="8"/>
      <c r="H65" s="8"/>
      <c r="I65" s="76"/>
    </row>
    <row r="66">
      <c r="A66" s="8"/>
      <c r="B66" s="8"/>
      <c r="C66" s="18"/>
      <c r="D66" s="18"/>
      <c r="E66" s="8"/>
      <c r="F66" s="8"/>
      <c r="G66" s="8"/>
      <c r="H66" s="8"/>
      <c r="I66" s="76"/>
    </row>
    <row r="67">
      <c r="A67" s="8"/>
      <c r="B67" s="8"/>
      <c r="C67" s="18"/>
      <c r="D67" s="18"/>
      <c r="E67" s="8"/>
      <c r="F67" s="8"/>
      <c r="G67" s="8"/>
      <c r="H67" s="8"/>
      <c r="I67" s="76"/>
    </row>
    <row r="68">
      <c r="A68" s="8"/>
      <c r="B68" s="8"/>
      <c r="C68" s="18"/>
      <c r="D68" s="18"/>
      <c r="E68" s="8"/>
      <c r="F68" s="8"/>
      <c r="G68" s="8"/>
      <c r="H68" s="8"/>
      <c r="I68" s="76"/>
    </row>
    <row r="69">
      <c r="A69" s="8"/>
      <c r="B69" s="8"/>
      <c r="C69" s="18"/>
      <c r="D69" s="18"/>
      <c r="E69" s="8"/>
      <c r="F69" s="8"/>
      <c r="G69" s="8"/>
      <c r="H69" s="8"/>
      <c r="I69" s="76"/>
    </row>
    <row r="70">
      <c r="A70" s="8"/>
      <c r="B70" s="8"/>
      <c r="C70" s="18"/>
      <c r="D70" s="18"/>
      <c r="E70" s="8"/>
      <c r="F70" s="8"/>
      <c r="G70" s="8"/>
      <c r="H70" s="8"/>
      <c r="I70" s="76"/>
    </row>
    <row r="71">
      <c r="A71" s="8"/>
      <c r="B71" s="8"/>
      <c r="C71" s="18"/>
      <c r="D71" s="18"/>
      <c r="E71" s="8"/>
      <c r="F71" s="8"/>
      <c r="G71" s="8"/>
      <c r="H71" s="8"/>
      <c r="I71" s="76"/>
    </row>
    <row r="72">
      <c r="A72" s="8"/>
      <c r="B72" s="8"/>
      <c r="C72" s="18"/>
      <c r="D72" s="18"/>
      <c r="E72" s="8"/>
      <c r="F72" s="8"/>
      <c r="G72" s="8"/>
      <c r="H72" s="8"/>
      <c r="I72" s="76"/>
    </row>
    <row r="73">
      <c r="A73" s="8"/>
      <c r="B73" s="8"/>
      <c r="C73" s="18"/>
      <c r="D73" s="18"/>
      <c r="E73" s="8"/>
      <c r="F73" s="8"/>
      <c r="G73" s="8"/>
      <c r="H73" s="8"/>
      <c r="I73" s="76"/>
    </row>
    <row r="74">
      <c r="A74" s="8"/>
      <c r="B74" s="8"/>
      <c r="C74" s="18"/>
      <c r="D74" s="18"/>
      <c r="E74" s="8"/>
      <c r="F74" s="8"/>
      <c r="G74" s="8"/>
      <c r="H74" s="8"/>
      <c r="I74" s="76"/>
    </row>
    <row r="75">
      <c r="A75" s="8"/>
      <c r="B75" s="8"/>
      <c r="C75" s="18"/>
      <c r="D75" s="18"/>
      <c r="E75" s="8"/>
      <c r="F75" s="8"/>
      <c r="G75" s="8"/>
      <c r="H75" s="8"/>
      <c r="I75" s="76"/>
    </row>
    <row r="76">
      <c r="A76" s="8"/>
      <c r="B76" s="8"/>
      <c r="C76" s="18"/>
      <c r="D76" s="18"/>
      <c r="E76" s="8"/>
      <c r="F76" s="8"/>
      <c r="G76" s="8"/>
      <c r="H76" s="8"/>
      <c r="I76" s="76"/>
    </row>
    <row r="77">
      <c r="A77" s="8"/>
      <c r="B77" s="8"/>
      <c r="C77" s="18"/>
      <c r="D77" s="18"/>
      <c r="E77" s="8"/>
      <c r="F77" s="8"/>
      <c r="G77" s="8"/>
      <c r="H77" s="8"/>
      <c r="I77" s="76"/>
    </row>
    <row r="78">
      <c r="A78" s="8"/>
      <c r="B78" s="8"/>
      <c r="C78" s="18"/>
      <c r="D78" s="18"/>
      <c r="E78" s="8"/>
      <c r="F78" s="8"/>
      <c r="G78" s="8"/>
      <c r="H78" s="8"/>
      <c r="I78" s="76"/>
    </row>
    <row r="79">
      <c r="A79" s="8"/>
      <c r="B79" s="8"/>
      <c r="C79" s="18"/>
      <c r="D79" s="18"/>
      <c r="E79" s="8"/>
      <c r="F79" s="8"/>
      <c r="G79" s="8"/>
      <c r="H79" s="8"/>
      <c r="I79" s="76"/>
    </row>
    <row r="80">
      <c r="A80" s="8"/>
      <c r="B80" s="8"/>
      <c r="C80" s="18"/>
      <c r="D80" s="18"/>
      <c r="E80" s="8"/>
      <c r="F80" s="8"/>
      <c r="G80" s="8"/>
      <c r="H80" s="8"/>
      <c r="I80" s="76"/>
    </row>
    <row r="81">
      <c r="A81" s="8"/>
      <c r="B81" s="8"/>
      <c r="C81" s="18"/>
      <c r="D81" s="18"/>
      <c r="E81" s="8"/>
      <c r="F81" s="8"/>
      <c r="G81" s="8"/>
      <c r="H81" s="8"/>
      <c r="I81" s="76"/>
    </row>
    <row r="82">
      <c r="A82" s="8"/>
      <c r="B82" s="8"/>
      <c r="C82" s="18"/>
      <c r="D82" s="18"/>
      <c r="E82" s="8"/>
      <c r="F82" s="8"/>
      <c r="G82" s="8"/>
      <c r="H82" s="8"/>
      <c r="I82" s="76"/>
    </row>
    <row r="83">
      <c r="A83" s="8"/>
      <c r="B83" s="8"/>
      <c r="C83" s="18"/>
      <c r="D83" s="18"/>
      <c r="E83" s="8"/>
      <c r="F83" s="8"/>
      <c r="G83" s="8"/>
      <c r="H83" s="8"/>
      <c r="I83" s="76"/>
    </row>
    <row r="84">
      <c r="A84" s="8"/>
      <c r="B84" s="8"/>
      <c r="C84" s="18"/>
      <c r="D84" s="18"/>
      <c r="E84" s="8"/>
      <c r="F84" s="8"/>
      <c r="G84" s="8"/>
      <c r="H84" s="8"/>
      <c r="I84" s="76"/>
    </row>
    <row r="85">
      <c r="A85" s="8"/>
      <c r="B85" s="8"/>
      <c r="C85" s="18"/>
      <c r="D85" s="18"/>
      <c r="E85" s="8"/>
      <c r="F85" s="8"/>
      <c r="G85" s="8"/>
      <c r="H85" s="8"/>
      <c r="I85" s="76"/>
    </row>
    <row r="86">
      <c r="A86" s="8"/>
      <c r="B86" s="8"/>
      <c r="C86" s="18"/>
      <c r="D86" s="18"/>
      <c r="E86" s="8"/>
      <c r="F86" s="8"/>
      <c r="G86" s="8"/>
      <c r="H86" s="8"/>
      <c r="I86" s="76"/>
    </row>
    <row r="87">
      <c r="A87" s="8"/>
      <c r="B87" s="8"/>
      <c r="C87" s="18"/>
      <c r="D87" s="18"/>
      <c r="E87" s="8"/>
      <c r="F87" s="8"/>
      <c r="G87" s="8"/>
      <c r="H87" s="8"/>
      <c r="I87" s="76"/>
    </row>
    <row r="88">
      <c r="A88" s="8"/>
      <c r="B88" s="8"/>
      <c r="C88" s="18"/>
      <c r="D88" s="18"/>
      <c r="E88" s="8"/>
      <c r="F88" s="8"/>
      <c r="G88" s="8"/>
      <c r="H88" s="8"/>
      <c r="I88" s="76"/>
    </row>
    <row r="89">
      <c r="A89" s="8"/>
      <c r="B89" s="8"/>
      <c r="C89" s="18"/>
      <c r="D89" s="18"/>
      <c r="E89" s="8"/>
      <c r="F89" s="8"/>
      <c r="G89" s="8"/>
      <c r="H89" s="8"/>
      <c r="I89" s="76"/>
    </row>
    <row r="90">
      <c r="A90" s="8"/>
      <c r="B90" s="8"/>
      <c r="C90" s="18"/>
      <c r="D90" s="18"/>
      <c r="E90" s="8"/>
      <c r="F90" s="8"/>
      <c r="G90" s="8"/>
      <c r="H90" s="8"/>
      <c r="I90" s="76"/>
    </row>
    <row r="91">
      <c r="A91" s="8"/>
      <c r="B91" s="8"/>
      <c r="C91" s="18"/>
      <c r="D91" s="18"/>
      <c r="E91" s="8"/>
      <c r="F91" s="8"/>
      <c r="G91" s="8"/>
      <c r="H91" s="8"/>
      <c r="I91" s="76"/>
    </row>
    <row r="92">
      <c r="A92" s="8"/>
      <c r="B92" s="8"/>
      <c r="C92" s="18"/>
      <c r="D92" s="18"/>
      <c r="E92" s="8"/>
      <c r="F92" s="8"/>
      <c r="G92" s="8"/>
      <c r="H92" s="8"/>
      <c r="I92" s="76"/>
    </row>
    <row r="93">
      <c r="A93" s="8"/>
      <c r="B93" s="8"/>
      <c r="C93" s="18"/>
      <c r="D93" s="18"/>
      <c r="E93" s="8"/>
      <c r="F93" s="8"/>
      <c r="G93" s="8"/>
      <c r="H93" s="8"/>
      <c r="I93" s="76"/>
    </row>
    <row r="94">
      <c r="A94" s="8"/>
      <c r="B94" s="8"/>
      <c r="C94" s="18"/>
      <c r="D94" s="18"/>
      <c r="E94" s="8"/>
      <c r="F94" s="8"/>
      <c r="G94" s="8"/>
      <c r="H94" s="8"/>
      <c r="I94" s="76"/>
    </row>
    <row r="95">
      <c r="A95" s="8"/>
      <c r="B95" s="8"/>
      <c r="C95" s="18"/>
      <c r="D95" s="18"/>
      <c r="E95" s="8"/>
      <c r="F95" s="8"/>
      <c r="G95" s="8"/>
      <c r="H95" s="8"/>
      <c r="I95" s="76"/>
    </row>
    <row r="96">
      <c r="A96" s="8"/>
      <c r="B96" s="8"/>
      <c r="C96" s="18"/>
      <c r="D96" s="18"/>
      <c r="E96" s="8"/>
      <c r="F96" s="8"/>
      <c r="G96" s="8"/>
      <c r="H96" s="8"/>
      <c r="I96" s="76"/>
    </row>
    <row r="97">
      <c r="A97" s="8"/>
      <c r="B97" s="8"/>
      <c r="C97" s="18"/>
      <c r="D97" s="18"/>
      <c r="E97" s="8"/>
      <c r="F97" s="8"/>
      <c r="G97" s="8"/>
      <c r="H97" s="8"/>
      <c r="I97" s="76"/>
    </row>
    <row r="98">
      <c r="A98" s="8"/>
      <c r="B98" s="8"/>
      <c r="C98" s="18"/>
      <c r="D98" s="18"/>
      <c r="E98" s="8"/>
      <c r="F98" s="8"/>
      <c r="G98" s="8"/>
      <c r="H98" s="8"/>
      <c r="I98" s="76"/>
    </row>
    <row r="99">
      <c r="A99" s="8"/>
      <c r="B99" s="8"/>
      <c r="C99" s="18"/>
      <c r="D99" s="18"/>
      <c r="E99" s="8"/>
      <c r="F99" s="8"/>
      <c r="G99" s="8"/>
      <c r="H99" s="8"/>
      <c r="I99" s="76"/>
    </row>
    <row r="100">
      <c r="A100" s="8"/>
      <c r="B100" s="8"/>
      <c r="C100" s="18"/>
      <c r="D100" s="18"/>
      <c r="E100" s="8"/>
      <c r="F100" s="8"/>
      <c r="G100" s="8"/>
      <c r="H100" s="8"/>
      <c r="I100" s="76"/>
    </row>
    <row r="101">
      <c r="A101" s="8"/>
      <c r="B101" s="8"/>
      <c r="C101" s="18"/>
      <c r="D101" s="18"/>
      <c r="E101" s="8"/>
      <c r="F101" s="8"/>
      <c r="G101" s="8"/>
      <c r="H101" s="8"/>
      <c r="I101" s="76"/>
    </row>
    <row r="102">
      <c r="A102" s="8"/>
      <c r="B102" s="8"/>
      <c r="C102" s="18"/>
      <c r="D102" s="18"/>
      <c r="E102" s="8"/>
      <c r="F102" s="8"/>
      <c r="G102" s="8"/>
      <c r="H102" s="8"/>
      <c r="I102" s="76"/>
    </row>
    <row r="103">
      <c r="A103" s="8"/>
      <c r="B103" s="8"/>
      <c r="C103" s="18"/>
      <c r="D103" s="18"/>
      <c r="E103" s="8"/>
      <c r="F103" s="8"/>
      <c r="G103" s="8"/>
      <c r="H103" s="8"/>
      <c r="I103" s="76"/>
    </row>
    <row r="104">
      <c r="A104" s="8"/>
      <c r="B104" s="8"/>
      <c r="C104" s="18"/>
      <c r="D104" s="18"/>
      <c r="E104" s="8"/>
      <c r="F104" s="8"/>
      <c r="G104" s="8"/>
      <c r="H104" s="8"/>
      <c r="I104" s="76"/>
    </row>
    <row r="105">
      <c r="A105" s="8"/>
      <c r="B105" s="8"/>
      <c r="C105" s="18"/>
      <c r="D105" s="18"/>
      <c r="E105" s="8"/>
      <c r="F105" s="8"/>
      <c r="G105" s="8"/>
      <c r="H105" s="8"/>
      <c r="I105" s="76"/>
    </row>
    <row r="106">
      <c r="A106" s="8"/>
      <c r="B106" s="8"/>
      <c r="C106" s="18"/>
      <c r="D106" s="18"/>
      <c r="E106" s="8"/>
      <c r="F106" s="8"/>
      <c r="G106" s="8"/>
      <c r="H106" s="8"/>
      <c r="I106" s="76"/>
    </row>
    <row r="107">
      <c r="A107" s="8"/>
      <c r="B107" s="8"/>
      <c r="C107" s="18"/>
      <c r="D107" s="18"/>
      <c r="E107" s="8"/>
      <c r="F107" s="8"/>
      <c r="G107" s="8"/>
      <c r="H107" s="8"/>
      <c r="I107" s="76"/>
    </row>
    <row r="108">
      <c r="A108" s="8"/>
      <c r="B108" s="8"/>
      <c r="C108" s="18"/>
      <c r="D108" s="18"/>
      <c r="E108" s="8"/>
      <c r="F108" s="8"/>
      <c r="G108" s="8"/>
      <c r="H108" s="8"/>
      <c r="I108" s="76"/>
    </row>
    <row r="109">
      <c r="A109" s="8"/>
      <c r="B109" s="8"/>
      <c r="C109" s="18"/>
      <c r="D109" s="18"/>
      <c r="E109" s="8"/>
      <c r="F109" s="8"/>
      <c r="G109" s="8"/>
      <c r="H109" s="8"/>
      <c r="I109" s="76"/>
    </row>
    <row r="110">
      <c r="A110" s="8"/>
      <c r="B110" s="8"/>
      <c r="C110" s="18"/>
      <c r="D110" s="18"/>
      <c r="E110" s="8"/>
      <c r="F110" s="8"/>
      <c r="G110" s="8"/>
      <c r="H110" s="8"/>
      <c r="I110" s="76"/>
    </row>
    <row r="111">
      <c r="A111" s="8"/>
      <c r="B111" s="8"/>
      <c r="C111" s="18"/>
      <c r="D111" s="18"/>
      <c r="E111" s="8"/>
      <c r="F111" s="8"/>
      <c r="G111" s="8"/>
      <c r="H111" s="8"/>
      <c r="I111" s="76"/>
    </row>
    <row r="112">
      <c r="A112" s="8"/>
      <c r="B112" s="8"/>
      <c r="C112" s="18"/>
      <c r="D112" s="18"/>
      <c r="E112" s="8"/>
      <c r="F112" s="8"/>
      <c r="G112" s="8"/>
      <c r="H112" s="8"/>
      <c r="I112" s="76"/>
    </row>
    <row r="113">
      <c r="A113" s="8"/>
      <c r="B113" s="8"/>
      <c r="C113" s="18"/>
      <c r="D113" s="18"/>
      <c r="E113" s="8"/>
      <c r="F113" s="8"/>
      <c r="G113" s="8"/>
      <c r="H113" s="8"/>
      <c r="I113" s="76"/>
    </row>
    <row r="114">
      <c r="A114" s="8"/>
      <c r="B114" s="8"/>
      <c r="C114" s="18"/>
      <c r="D114" s="18"/>
      <c r="E114" s="8"/>
      <c r="F114" s="8"/>
      <c r="G114" s="8"/>
      <c r="H114" s="8"/>
      <c r="I114" s="76"/>
    </row>
    <row r="115">
      <c r="A115" s="8"/>
      <c r="B115" s="8"/>
      <c r="C115" s="18"/>
      <c r="D115" s="18"/>
      <c r="E115" s="8"/>
      <c r="F115" s="8"/>
      <c r="G115" s="8"/>
      <c r="H115" s="8"/>
      <c r="I115" s="76"/>
    </row>
    <row r="116">
      <c r="A116" s="8"/>
      <c r="B116" s="8"/>
      <c r="C116" s="18"/>
      <c r="D116" s="18"/>
      <c r="E116" s="8"/>
      <c r="F116" s="8"/>
      <c r="G116" s="8"/>
      <c r="H116" s="8"/>
      <c r="I116" s="76"/>
    </row>
    <row r="117">
      <c r="A117" s="8"/>
      <c r="B117" s="8"/>
      <c r="C117" s="18"/>
      <c r="D117" s="18"/>
      <c r="E117" s="8"/>
      <c r="F117" s="8"/>
      <c r="G117" s="8"/>
      <c r="H117" s="8"/>
      <c r="I117" s="76"/>
    </row>
    <row r="118">
      <c r="A118" s="8"/>
      <c r="B118" s="8"/>
      <c r="C118" s="18"/>
      <c r="D118" s="18"/>
      <c r="E118" s="8"/>
      <c r="F118" s="8"/>
      <c r="G118" s="8"/>
      <c r="H118" s="8"/>
      <c r="I118" s="76"/>
    </row>
    <row r="119">
      <c r="A119" s="8"/>
      <c r="B119" s="8"/>
      <c r="C119" s="18"/>
      <c r="D119" s="18"/>
      <c r="E119" s="8"/>
      <c r="F119" s="8"/>
      <c r="G119" s="8"/>
      <c r="H119" s="8"/>
      <c r="I119" s="76"/>
    </row>
    <row r="120">
      <c r="A120" s="8"/>
      <c r="B120" s="8"/>
      <c r="C120" s="18"/>
      <c r="D120" s="18"/>
      <c r="E120" s="8"/>
      <c r="F120" s="8"/>
      <c r="G120" s="8"/>
      <c r="H120" s="8"/>
      <c r="I120" s="76"/>
    </row>
    <row r="121">
      <c r="A121" s="8"/>
      <c r="B121" s="8"/>
      <c r="C121" s="18"/>
      <c r="D121" s="18"/>
      <c r="E121" s="8"/>
      <c r="F121" s="8"/>
      <c r="G121" s="8"/>
      <c r="H121" s="8"/>
      <c r="I121" s="76"/>
    </row>
    <row r="122">
      <c r="A122" s="8"/>
      <c r="B122" s="8"/>
      <c r="C122" s="18"/>
      <c r="D122" s="18"/>
      <c r="E122" s="8"/>
      <c r="F122" s="8"/>
      <c r="G122" s="8"/>
      <c r="H122" s="8"/>
      <c r="I122" s="76"/>
    </row>
    <row r="123">
      <c r="A123" s="8"/>
      <c r="B123" s="8"/>
      <c r="C123" s="18"/>
      <c r="D123" s="18"/>
      <c r="E123" s="8"/>
      <c r="F123" s="8"/>
      <c r="G123" s="8"/>
      <c r="H123" s="8"/>
      <c r="I123" s="76"/>
    </row>
    <row r="124">
      <c r="A124" s="8"/>
      <c r="B124" s="8"/>
      <c r="C124" s="18"/>
      <c r="D124" s="18"/>
      <c r="E124" s="8"/>
      <c r="F124" s="8"/>
      <c r="G124" s="8"/>
      <c r="H124" s="8"/>
      <c r="I124" s="76"/>
    </row>
    <row r="125">
      <c r="A125" s="8"/>
      <c r="B125" s="8"/>
      <c r="C125" s="18"/>
      <c r="D125" s="18"/>
      <c r="E125" s="8"/>
      <c r="F125" s="8"/>
      <c r="G125" s="8"/>
      <c r="H125" s="8"/>
      <c r="I125" s="76"/>
    </row>
    <row r="126">
      <c r="A126" s="8"/>
      <c r="B126" s="8"/>
      <c r="C126" s="18"/>
      <c r="D126" s="18"/>
      <c r="E126" s="8"/>
      <c r="F126" s="8"/>
      <c r="G126" s="8"/>
      <c r="H126" s="8"/>
      <c r="I126" s="76"/>
    </row>
    <row r="127">
      <c r="A127" s="8"/>
      <c r="B127" s="8"/>
      <c r="C127" s="18"/>
      <c r="D127" s="18"/>
      <c r="E127" s="8"/>
      <c r="F127" s="8"/>
      <c r="G127" s="8"/>
      <c r="H127" s="8"/>
      <c r="I127" s="76"/>
    </row>
    <row r="128">
      <c r="A128" s="8"/>
      <c r="B128" s="8"/>
      <c r="C128" s="18"/>
      <c r="D128" s="18"/>
      <c r="E128" s="8"/>
      <c r="F128" s="8"/>
      <c r="G128" s="8"/>
      <c r="H128" s="8"/>
      <c r="I128" s="76"/>
    </row>
    <row r="129">
      <c r="A129" s="8"/>
      <c r="B129" s="8"/>
      <c r="C129" s="18"/>
      <c r="D129" s="18"/>
      <c r="E129" s="8"/>
      <c r="F129" s="8"/>
      <c r="G129" s="8"/>
      <c r="H129" s="8"/>
      <c r="I129" s="76"/>
    </row>
    <row r="130">
      <c r="A130" s="8"/>
      <c r="B130" s="8"/>
      <c r="C130" s="18"/>
      <c r="D130" s="18"/>
      <c r="E130" s="8"/>
      <c r="F130" s="8"/>
      <c r="G130" s="8"/>
      <c r="H130" s="8"/>
      <c r="I130" s="76"/>
    </row>
    <row r="131">
      <c r="A131" s="8"/>
      <c r="B131" s="8"/>
      <c r="C131" s="18"/>
      <c r="D131" s="18"/>
      <c r="E131" s="8"/>
      <c r="F131" s="8"/>
      <c r="G131" s="8"/>
      <c r="H131" s="8"/>
      <c r="I131" s="76"/>
    </row>
    <row r="132">
      <c r="A132" s="8"/>
      <c r="B132" s="8"/>
      <c r="C132" s="18"/>
      <c r="D132" s="18"/>
      <c r="E132" s="8"/>
      <c r="F132" s="8"/>
      <c r="G132" s="8"/>
      <c r="H132" s="8"/>
      <c r="I132" s="76"/>
    </row>
    <row r="133">
      <c r="A133" s="8"/>
      <c r="B133" s="8"/>
      <c r="C133" s="18"/>
      <c r="D133" s="18"/>
      <c r="E133" s="8"/>
      <c r="F133" s="8"/>
      <c r="G133" s="8"/>
      <c r="H133" s="8"/>
      <c r="I133" s="76"/>
    </row>
    <row r="134">
      <c r="A134" s="8"/>
      <c r="B134" s="8"/>
      <c r="C134" s="18"/>
      <c r="D134" s="18"/>
      <c r="E134" s="8"/>
      <c r="F134" s="8"/>
      <c r="G134" s="8"/>
      <c r="H134" s="8"/>
      <c r="I134" s="76"/>
    </row>
    <row r="135">
      <c r="A135" s="8"/>
      <c r="B135" s="8"/>
      <c r="C135" s="18"/>
      <c r="D135" s="18"/>
      <c r="E135" s="8"/>
      <c r="F135" s="8"/>
      <c r="G135" s="8"/>
      <c r="H135" s="8"/>
      <c r="I135" s="76"/>
    </row>
    <row r="136">
      <c r="A136" s="8"/>
      <c r="B136" s="8"/>
      <c r="C136" s="18"/>
      <c r="D136" s="18"/>
      <c r="E136" s="8"/>
      <c r="F136" s="8"/>
      <c r="G136" s="8"/>
      <c r="H136" s="8"/>
      <c r="I136" s="76"/>
    </row>
    <row r="137">
      <c r="A137" s="8"/>
      <c r="B137" s="8"/>
      <c r="C137" s="18"/>
      <c r="D137" s="18"/>
      <c r="E137" s="8"/>
      <c r="F137" s="8"/>
      <c r="G137" s="8"/>
      <c r="H137" s="8"/>
      <c r="I137" s="76"/>
    </row>
    <row r="138">
      <c r="A138" s="8"/>
      <c r="B138" s="8"/>
      <c r="C138" s="18"/>
      <c r="D138" s="18"/>
      <c r="E138" s="8"/>
      <c r="F138" s="8"/>
      <c r="G138" s="8"/>
      <c r="H138" s="8"/>
      <c r="I138" s="76"/>
    </row>
    <row r="139">
      <c r="A139" s="8"/>
      <c r="B139" s="8"/>
      <c r="C139" s="18"/>
      <c r="D139" s="18"/>
      <c r="E139" s="8"/>
      <c r="F139" s="8"/>
      <c r="G139" s="8"/>
      <c r="H139" s="8"/>
      <c r="I139" s="76"/>
    </row>
    <row r="140">
      <c r="A140" s="8"/>
      <c r="B140" s="8"/>
      <c r="C140" s="18"/>
      <c r="D140" s="18"/>
      <c r="E140" s="8"/>
      <c r="F140" s="8"/>
      <c r="G140" s="8"/>
      <c r="H140" s="8"/>
      <c r="I140" s="76"/>
    </row>
    <row r="141">
      <c r="A141" s="8"/>
      <c r="B141" s="8"/>
      <c r="C141" s="18"/>
      <c r="D141" s="18"/>
      <c r="E141" s="8"/>
      <c r="F141" s="8"/>
      <c r="G141" s="8"/>
      <c r="H141" s="8"/>
      <c r="I141" s="76"/>
    </row>
    <row r="142">
      <c r="A142" s="8"/>
      <c r="B142" s="8"/>
      <c r="C142" s="18"/>
      <c r="D142" s="18"/>
      <c r="E142" s="8"/>
      <c r="F142" s="8"/>
      <c r="G142" s="8"/>
      <c r="H142" s="8"/>
      <c r="I142" s="76"/>
    </row>
    <row r="143">
      <c r="A143" s="8"/>
      <c r="B143" s="8"/>
      <c r="C143" s="18"/>
      <c r="D143" s="18"/>
      <c r="E143" s="8"/>
      <c r="F143" s="8"/>
      <c r="G143" s="8"/>
      <c r="H143" s="8"/>
      <c r="I143" s="76"/>
    </row>
    <row r="144">
      <c r="A144" s="8"/>
      <c r="B144" s="8"/>
      <c r="C144" s="18"/>
      <c r="D144" s="18"/>
      <c r="E144" s="8"/>
      <c r="F144" s="8"/>
      <c r="G144" s="8"/>
      <c r="H144" s="8"/>
      <c r="I144" s="76"/>
    </row>
    <row r="145">
      <c r="A145" s="8"/>
      <c r="B145" s="8"/>
      <c r="C145" s="18"/>
      <c r="D145" s="18"/>
      <c r="E145" s="8"/>
      <c r="F145" s="8"/>
      <c r="G145" s="8"/>
      <c r="H145" s="8"/>
      <c r="I145" s="76"/>
    </row>
    <row r="146">
      <c r="A146" s="8"/>
      <c r="B146" s="8"/>
      <c r="C146" s="18"/>
      <c r="D146" s="18"/>
      <c r="E146" s="8"/>
      <c r="F146" s="8"/>
      <c r="G146" s="8"/>
      <c r="H146" s="8"/>
      <c r="I146" s="76"/>
    </row>
    <row r="147">
      <c r="A147" s="8"/>
      <c r="B147" s="8"/>
      <c r="C147" s="18"/>
      <c r="D147" s="18"/>
      <c r="E147" s="8"/>
      <c r="F147" s="8"/>
      <c r="G147" s="8"/>
      <c r="H147" s="8"/>
      <c r="I147" s="76"/>
    </row>
    <row r="148">
      <c r="A148" s="8"/>
      <c r="B148" s="8"/>
      <c r="C148" s="18"/>
      <c r="D148" s="18"/>
      <c r="E148" s="8"/>
      <c r="F148" s="8"/>
      <c r="G148" s="8"/>
      <c r="H148" s="8"/>
      <c r="I148" s="76"/>
    </row>
    <row r="149">
      <c r="A149" s="8"/>
      <c r="B149" s="8"/>
      <c r="C149" s="18"/>
      <c r="D149" s="18"/>
      <c r="E149" s="8"/>
      <c r="F149" s="8"/>
      <c r="G149" s="8"/>
      <c r="H149" s="8"/>
      <c r="I149" s="76"/>
    </row>
    <row r="150">
      <c r="A150" s="8"/>
      <c r="B150" s="8"/>
      <c r="C150" s="18"/>
      <c r="D150" s="18"/>
      <c r="E150" s="8"/>
      <c r="F150" s="8"/>
      <c r="G150" s="8"/>
      <c r="H150" s="8"/>
      <c r="I150" s="76"/>
    </row>
    <row r="151">
      <c r="A151" s="8"/>
      <c r="B151" s="8"/>
      <c r="C151" s="18"/>
      <c r="D151" s="18"/>
      <c r="E151" s="8"/>
      <c r="F151" s="8"/>
      <c r="G151" s="8"/>
      <c r="H151" s="8"/>
      <c r="I151" s="76"/>
    </row>
    <row r="152">
      <c r="A152" s="8"/>
      <c r="B152" s="8"/>
      <c r="C152" s="18"/>
      <c r="D152" s="18"/>
      <c r="E152" s="8"/>
      <c r="F152" s="8"/>
      <c r="G152" s="8"/>
      <c r="H152" s="8"/>
      <c r="I152" s="76"/>
    </row>
    <row r="153">
      <c r="A153" s="8"/>
      <c r="B153" s="8"/>
      <c r="C153" s="18"/>
      <c r="D153" s="18"/>
      <c r="E153" s="8"/>
      <c r="F153" s="8"/>
      <c r="G153" s="8"/>
      <c r="H153" s="8"/>
      <c r="I153" s="76"/>
    </row>
    <row r="154">
      <c r="A154" s="8"/>
      <c r="B154" s="8"/>
      <c r="C154" s="18"/>
      <c r="D154" s="18"/>
      <c r="E154" s="8"/>
      <c r="F154" s="8"/>
      <c r="G154" s="8"/>
      <c r="H154" s="8"/>
      <c r="I154" s="76"/>
    </row>
    <row r="155">
      <c r="A155" s="8"/>
      <c r="B155" s="8"/>
      <c r="C155" s="18"/>
      <c r="D155" s="18"/>
      <c r="E155" s="8"/>
      <c r="F155" s="8"/>
      <c r="G155" s="8"/>
      <c r="H155" s="8"/>
      <c r="I155" s="76"/>
    </row>
    <row r="156">
      <c r="A156" s="8"/>
      <c r="B156" s="8"/>
      <c r="C156" s="18"/>
      <c r="D156" s="18"/>
      <c r="E156" s="8"/>
      <c r="F156" s="8"/>
      <c r="G156" s="8"/>
      <c r="H156" s="8"/>
      <c r="I156" s="76"/>
    </row>
    <row r="157">
      <c r="A157" s="8"/>
      <c r="B157" s="8"/>
      <c r="C157" s="18"/>
      <c r="D157" s="18"/>
      <c r="E157" s="8"/>
      <c r="F157" s="8"/>
      <c r="G157" s="8"/>
      <c r="H157" s="8"/>
      <c r="I157" s="76"/>
    </row>
    <row r="158">
      <c r="A158" s="8"/>
      <c r="B158" s="8"/>
      <c r="C158" s="18"/>
      <c r="D158" s="18"/>
      <c r="E158" s="8"/>
      <c r="F158" s="8"/>
      <c r="G158" s="8"/>
      <c r="H158" s="8"/>
      <c r="I158" s="76"/>
    </row>
    <row r="159">
      <c r="A159" s="8"/>
      <c r="B159" s="8"/>
      <c r="C159" s="18"/>
      <c r="D159" s="18"/>
      <c r="E159" s="8"/>
      <c r="F159" s="8"/>
      <c r="G159" s="8"/>
      <c r="H159" s="8"/>
      <c r="I159" s="76"/>
    </row>
    <row r="160">
      <c r="A160" s="8"/>
      <c r="B160" s="8"/>
      <c r="C160" s="18"/>
      <c r="D160" s="18"/>
      <c r="E160" s="8"/>
      <c r="F160" s="8"/>
      <c r="G160" s="8"/>
      <c r="H160" s="8"/>
      <c r="I160" s="76"/>
    </row>
    <row r="161">
      <c r="A161" s="8"/>
      <c r="B161" s="8"/>
      <c r="C161" s="18"/>
      <c r="D161" s="18"/>
      <c r="E161" s="8"/>
      <c r="F161" s="8"/>
      <c r="G161" s="8"/>
      <c r="H161" s="8"/>
      <c r="I161" s="76"/>
    </row>
    <row r="162">
      <c r="A162" s="8"/>
      <c r="B162" s="8"/>
      <c r="C162" s="18"/>
      <c r="D162" s="18"/>
      <c r="E162" s="8"/>
      <c r="F162" s="8"/>
      <c r="G162" s="8"/>
      <c r="H162" s="8"/>
      <c r="I162" s="76"/>
    </row>
    <row r="163">
      <c r="A163" s="8"/>
      <c r="B163" s="8"/>
      <c r="C163" s="18"/>
      <c r="D163" s="18"/>
      <c r="E163" s="8"/>
      <c r="F163" s="8"/>
      <c r="G163" s="8"/>
      <c r="H163" s="8"/>
      <c r="I163" s="76"/>
    </row>
    <row r="164">
      <c r="A164" s="8"/>
      <c r="B164" s="8"/>
      <c r="C164" s="18"/>
      <c r="D164" s="18"/>
      <c r="E164" s="8"/>
      <c r="F164" s="8"/>
      <c r="G164" s="8"/>
      <c r="H164" s="8"/>
      <c r="I164" s="76"/>
    </row>
    <row r="165">
      <c r="A165" s="8"/>
      <c r="B165" s="8"/>
      <c r="C165" s="18"/>
      <c r="D165" s="18"/>
      <c r="E165" s="8"/>
      <c r="F165" s="8"/>
      <c r="G165" s="8"/>
      <c r="H165" s="8"/>
      <c r="I165" s="76"/>
    </row>
    <row r="166">
      <c r="A166" s="8"/>
      <c r="B166" s="8"/>
      <c r="C166" s="18"/>
      <c r="D166" s="18"/>
      <c r="E166" s="8"/>
      <c r="F166" s="8"/>
      <c r="G166" s="8"/>
      <c r="H166" s="8"/>
      <c r="I166" s="76"/>
    </row>
    <row r="167">
      <c r="A167" s="8"/>
      <c r="B167" s="8"/>
      <c r="C167" s="18"/>
      <c r="D167" s="18"/>
      <c r="E167" s="8"/>
      <c r="F167" s="8"/>
      <c r="G167" s="8"/>
      <c r="H167" s="8"/>
      <c r="I167" s="76"/>
    </row>
    <row r="168">
      <c r="A168" s="8"/>
      <c r="B168" s="8"/>
      <c r="C168" s="18"/>
      <c r="D168" s="18"/>
      <c r="E168" s="8"/>
      <c r="F168" s="8"/>
      <c r="G168" s="8"/>
      <c r="H168" s="8"/>
      <c r="I168" s="76"/>
    </row>
    <row r="169">
      <c r="A169" s="8"/>
      <c r="B169" s="8"/>
      <c r="C169" s="18"/>
      <c r="D169" s="18"/>
      <c r="E169" s="8"/>
      <c r="F169" s="8"/>
      <c r="G169" s="8"/>
      <c r="H169" s="8"/>
      <c r="I169" s="76"/>
    </row>
    <row r="170">
      <c r="A170" s="8"/>
      <c r="B170" s="8"/>
      <c r="C170" s="18"/>
      <c r="D170" s="18"/>
      <c r="E170" s="8"/>
      <c r="F170" s="8"/>
      <c r="G170" s="8"/>
      <c r="H170" s="8"/>
      <c r="I170" s="76"/>
    </row>
    <row r="171">
      <c r="A171" s="8"/>
      <c r="B171" s="8"/>
      <c r="C171" s="18"/>
      <c r="D171" s="18"/>
      <c r="E171" s="8"/>
      <c r="F171" s="8"/>
      <c r="G171" s="8"/>
      <c r="H171" s="8"/>
      <c r="I171" s="76"/>
    </row>
    <row r="172">
      <c r="A172" s="8"/>
      <c r="B172" s="8"/>
      <c r="C172" s="18"/>
      <c r="D172" s="18"/>
      <c r="E172" s="8"/>
      <c r="F172" s="8"/>
      <c r="G172" s="8"/>
      <c r="H172" s="8"/>
      <c r="I172" s="76"/>
    </row>
    <row r="173">
      <c r="A173" s="8"/>
      <c r="B173" s="8"/>
      <c r="C173" s="18"/>
      <c r="D173" s="18"/>
      <c r="E173" s="8"/>
      <c r="F173" s="8"/>
      <c r="G173" s="8"/>
      <c r="H173" s="8"/>
      <c r="I173" s="76"/>
    </row>
    <row r="174">
      <c r="A174" s="8"/>
      <c r="B174" s="8"/>
      <c r="C174" s="18"/>
      <c r="D174" s="18"/>
      <c r="E174" s="8"/>
      <c r="F174" s="8"/>
      <c r="G174" s="8"/>
      <c r="H174" s="8"/>
      <c r="I174" s="76"/>
    </row>
    <row r="175">
      <c r="A175" s="8"/>
      <c r="B175" s="8"/>
      <c r="C175" s="18"/>
      <c r="D175" s="18"/>
      <c r="E175" s="8"/>
      <c r="F175" s="8"/>
      <c r="G175" s="8"/>
      <c r="H175" s="8"/>
      <c r="I175" s="76"/>
    </row>
    <row r="176">
      <c r="A176" s="8"/>
      <c r="B176" s="8"/>
      <c r="C176" s="18"/>
      <c r="D176" s="18"/>
      <c r="E176" s="8"/>
      <c r="F176" s="8"/>
      <c r="G176" s="8"/>
      <c r="H176" s="8"/>
      <c r="I176" s="76"/>
    </row>
    <row r="177">
      <c r="A177" s="8"/>
      <c r="B177" s="8"/>
      <c r="C177" s="18"/>
      <c r="D177" s="18"/>
      <c r="E177" s="8"/>
      <c r="F177" s="8"/>
      <c r="G177" s="8"/>
      <c r="H177" s="8"/>
      <c r="I177" s="76"/>
    </row>
    <row r="178">
      <c r="A178" s="8"/>
      <c r="B178" s="8"/>
      <c r="C178" s="18"/>
      <c r="D178" s="18"/>
      <c r="E178" s="8"/>
      <c r="F178" s="8"/>
      <c r="G178" s="8"/>
      <c r="H178" s="8"/>
      <c r="I178" s="76"/>
    </row>
    <row r="179">
      <c r="A179" s="8"/>
      <c r="B179" s="8"/>
      <c r="C179" s="18"/>
      <c r="D179" s="18"/>
      <c r="E179" s="8"/>
      <c r="F179" s="8"/>
      <c r="G179" s="8"/>
      <c r="H179" s="8"/>
      <c r="I179" s="76"/>
    </row>
    <row r="180">
      <c r="A180" s="8"/>
      <c r="B180" s="8"/>
      <c r="C180" s="18"/>
      <c r="D180" s="18"/>
      <c r="E180" s="8"/>
      <c r="F180" s="8"/>
      <c r="G180" s="8"/>
      <c r="H180" s="8"/>
      <c r="I180" s="76"/>
    </row>
    <row r="181">
      <c r="A181" s="8"/>
      <c r="B181" s="8"/>
      <c r="C181" s="18"/>
      <c r="D181" s="18"/>
      <c r="E181" s="8"/>
      <c r="F181" s="8"/>
      <c r="G181" s="8"/>
      <c r="H181" s="8"/>
      <c r="I181" s="76"/>
    </row>
    <row r="182">
      <c r="A182" s="8"/>
      <c r="B182" s="8"/>
      <c r="C182" s="18"/>
      <c r="D182" s="18"/>
      <c r="E182" s="8"/>
      <c r="F182" s="8"/>
      <c r="G182" s="8"/>
      <c r="H182" s="8"/>
      <c r="I182" s="76"/>
    </row>
    <row r="183">
      <c r="A183" s="8"/>
      <c r="B183" s="8"/>
      <c r="C183" s="18"/>
      <c r="D183" s="18"/>
      <c r="E183" s="8"/>
      <c r="F183" s="8"/>
      <c r="G183" s="8"/>
      <c r="H183" s="8"/>
      <c r="I183" s="76"/>
    </row>
    <row r="184">
      <c r="A184" s="8"/>
      <c r="B184" s="8"/>
      <c r="C184" s="18"/>
      <c r="D184" s="18"/>
      <c r="E184" s="8"/>
      <c r="F184" s="8"/>
      <c r="G184" s="8"/>
      <c r="H184" s="8"/>
      <c r="I184" s="76"/>
    </row>
    <row r="185">
      <c r="A185" s="8"/>
      <c r="B185" s="8"/>
      <c r="C185" s="18"/>
      <c r="D185" s="18"/>
      <c r="E185" s="8"/>
      <c r="F185" s="8"/>
      <c r="G185" s="8"/>
      <c r="H185" s="8"/>
      <c r="I185" s="76"/>
    </row>
    <row r="186">
      <c r="A186" s="8"/>
      <c r="B186" s="8"/>
      <c r="C186" s="18"/>
      <c r="D186" s="18"/>
      <c r="E186" s="8"/>
      <c r="F186" s="8"/>
      <c r="G186" s="8"/>
      <c r="H186" s="8"/>
      <c r="I186" s="76"/>
    </row>
    <row r="187">
      <c r="A187" s="8"/>
      <c r="B187" s="8"/>
      <c r="C187" s="18"/>
      <c r="D187" s="18"/>
      <c r="E187" s="8"/>
      <c r="F187" s="8"/>
      <c r="G187" s="8"/>
      <c r="H187" s="8"/>
      <c r="I187" s="76"/>
    </row>
    <row r="188">
      <c r="A188" s="8"/>
      <c r="B188" s="8"/>
      <c r="C188" s="18"/>
      <c r="D188" s="18"/>
      <c r="E188" s="8"/>
      <c r="F188" s="8"/>
      <c r="G188" s="8"/>
      <c r="H188" s="8"/>
      <c r="I188" s="76"/>
    </row>
    <row r="189">
      <c r="A189" s="8"/>
      <c r="B189" s="8"/>
      <c r="C189" s="18"/>
      <c r="D189" s="18"/>
      <c r="E189" s="8"/>
      <c r="F189" s="8"/>
      <c r="G189" s="8"/>
      <c r="H189" s="8"/>
      <c r="I189" s="76"/>
    </row>
    <row r="190">
      <c r="A190" s="8"/>
      <c r="B190" s="8"/>
      <c r="C190" s="18"/>
      <c r="D190" s="18"/>
      <c r="E190" s="8"/>
      <c r="F190" s="8"/>
      <c r="G190" s="8"/>
      <c r="H190" s="8"/>
      <c r="I190" s="76"/>
    </row>
    <row r="191">
      <c r="A191" s="8"/>
      <c r="B191" s="8"/>
      <c r="C191" s="18"/>
      <c r="D191" s="18"/>
      <c r="E191" s="8"/>
      <c r="F191" s="8"/>
      <c r="G191" s="8"/>
      <c r="H191" s="8"/>
      <c r="I191" s="76"/>
    </row>
    <row r="192">
      <c r="A192" s="8"/>
      <c r="B192" s="8"/>
      <c r="C192" s="18"/>
      <c r="D192" s="18"/>
      <c r="E192" s="8"/>
      <c r="F192" s="8"/>
      <c r="G192" s="8"/>
      <c r="H192" s="8"/>
      <c r="I192" s="76"/>
    </row>
    <row r="193">
      <c r="A193" s="8"/>
      <c r="B193" s="8"/>
      <c r="C193" s="18"/>
      <c r="D193" s="18"/>
      <c r="E193" s="8"/>
      <c r="F193" s="8"/>
      <c r="G193" s="8"/>
      <c r="H193" s="8"/>
      <c r="I193" s="76"/>
    </row>
    <row r="194">
      <c r="A194" s="8"/>
      <c r="B194" s="8"/>
      <c r="C194" s="18"/>
      <c r="D194" s="18"/>
      <c r="E194" s="8"/>
      <c r="F194" s="8"/>
      <c r="G194" s="8"/>
      <c r="H194" s="8"/>
      <c r="I194" s="76"/>
    </row>
    <row r="195">
      <c r="A195" s="8"/>
      <c r="B195" s="8"/>
      <c r="C195" s="18"/>
      <c r="D195" s="18"/>
      <c r="E195" s="8"/>
      <c r="F195" s="8"/>
      <c r="G195" s="8"/>
      <c r="H195" s="8"/>
      <c r="I195" s="76"/>
    </row>
    <row r="196">
      <c r="A196" s="8"/>
      <c r="B196" s="8"/>
      <c r="C196" s="18"/>
      <c r="D196" s="18"/>
      <c r="E196" s="8"/>
      <c r="F196" s="8"/>
      <c r="G196" s="8"/>
      <c r="H196" s="8"/>
      <c r="I196" s="76"/>
    </row>
    <row r="197">
      <c r="A197" s="8"/>
      <c r="B197" s="8"/>
      <c r="C197" s="18"/>
      <c r="D197" s="18"/>
      <c r="E197" s="8"/>
      <c r="F197" s="8"/>
      <c r="G197" s="8"/>
      <c r="H197" s="8"/>
      <c r="I197" s="76"/>
    </row>
    <row r="198">
      <c r="A198" s="8"/>
      <c r="B198" s="8"/>
      <c r="C198" s="18"/>
      <c r="D198" s="18"/>
      <c r="E198" s="8"/>
      <c r="F198" s="8"/>
      <c r="G198" s="8"/>
      <c r="H198" s="8"/>
      <c r="I198" s="76"/>
    </row>
    <row r="199">
      <c r="A199" s="8"/>
      <c r="B199" s="8"/>
      <c r="C199" s="18"/>
      <c r="D199" s="18"/>
      <c r="E199" s="8"/>
      <c r="F199" s="8"/>
      <c r="G199" s="8"/>
      <c r="H199" s="8"/>
      <c r="I199" s="76"/>
    </row>
    <row r="200">
      <c r="A200" s="8"/>
      <c r="B200" s="8"/>
      <c r="C200" s="18"/>
      <c r="D200" s="18"/>
      <c r="E200" s="8"/>
      <c r="F200" s="8"/>
      <c r="G200" s="8"/>
      <c r="H200" s="8"/>
      <c r="I200" s="76"/>
    </row>
    <row r="201">
      <c r="A201" s="8"/>
      <c r="B201" s="8"/>
      <c r="C201" s="18"/>
      <c r="D201" s="18"/>
      <c r="E201" s="8"/>
      <c r="F201" s="8"/>
      <c r="G201" s="8"/>
      <c r="H201" s="8"/>
      <c r="I201" s="76"/>
    </row>
    <row r="202">
      <c r="A202" s="8"/>
      <c r="B202" s="8"/>
      <c r="C202" s="18"/>
      <c r="D202" s="18"/>
      <c r="E202" s="8"/>
      <c r="F202" s="8"/>
      <c r="G202" s="8"/>
      <c r="H202" s="8"/>
      <c r="I202" s="76"/>
    </row>
    <row r="203">
      <c r="A203" s="8"/>
      <c r="B203" s="8"/>
      <c r="C203" s="18"/>
      <c r="D203" s="18"/>
      <c r="E203" s="8"/>
      <c r="F203" s="8"/>
      <c r="G203" s="8"/>
      <c r="H203" s="8"/>
      <c r="I203" s="76"/>
    </row>
    <row r="204">
      <c r="A204" s="8"/>
      <c r="B204" s="8"/>
      <c r="C204" s="18"/>
      <c r="D204" s="18"/>
      <c r="E204" s="8"/>
      <c r="F204" s="8"/>
      <c r="G204" s="8"/>
      <c r="H204" s="8"/>
      <c r="I204" s="76"/>
    </row>
    <row r="205">
      <c r="A205" s="8"/>
      <c r="B205" s="8"/>
      <c r="C205" s="18"/>
      <c r="D205" s="18"/>
      <c r="E205" s="8"/>
      <c r="F205" s="8"/>
      <c r="G205" s="8"/>
      <c r="H205" s="8"/>
      <c r="I205" s="76"/>
    </row>
    <row r="206">
      <c r="A206" s="8"/>
      <c r="B206" s="8"/>
      <c r="C206" s="18"/>
      <c r="D206" s="18"/>
      <c r="E206" s="8"/>
      <c r="F206" s="8"/>
      <c r="G206" s="8"/>
      <c r="H206" s="8"/>
      <c r="I206" s="76"/>
    </row>
    <row r="207">
      <c r="A207" s="8"/>
      <c r="B207" s="8"/>
      <c r="C207" s="18"/>
      <c r="D207" s="18"/>
      <c r="E207" s="8"/>
      <c r="F207" s="8"/>
      <c r="G207" s="8"/>
      <c r="H207" s="8"/>
      <c r="I207" s="76"/>
    </row>
    <row r="208">
      <c r="A208" s="8"/>
      <c r="B208" s="8"/>
      <c r="C208" s="18"/>
      <c r="D208" s="18"/>
      <c r="E208" s="8"/>
      <c r="F208" s="8"/>
      <c r="G208" s="8"/>
      <c r="H208" s="8"/>
      <c r="I208" s="76"/>
    </row>
    <row r="209">
      <c r="A209" s="8"/>
      <c r="B209" s="8"/>
      <c r="C209" s="18"/>
      <c r="D209" s="18"/>
      <c r="E209" s="8"/>
      <c r="F209" s="8"/>
      <c r="G209" s="8"/>
      <c r="H209" s="8"/>
      <c r="I209" s="76"/>
    </row>
    <row r="210">
      <c r="A210" s="8"/>
      <c r="B210" s="8"/>
      <c r="C210" s="18"/>
      <c r="D210" s="18"/>
      <c r="E210" s="8"/>
      <c r="F210" s="8"/>
      <c r="G210" s="8"/>
      <c r="H210" s="8"/>
      <c r="I210" s="76"/>
    </row>
    <row r="211">
      <c r="A211" s="8"/>
      <c r="B211" s="8"/>
      <c r="C211" s="18"/>
      <c r="D211" s="18"/>
      <c r="E211" s="8"/>
      <c r="F211" s="8"/>
      <c r="G211" s="8"/>
      <c r="H211" s="8"/>
      <c r="I211" s="76"/>
    </row>
    <row r="212">
      <c r="A212" s="8"/>
      <c r="B212" s="8"/>
      <c r="C212" s="18"/>
      <c r="D212" s="18"/>
      <c r="E212" s="8"/>
      <c r="F212" s="8"/>
      <c r="G212" s="8"/>
      <c r="H212" s="8"/>
      <c r="I212" s="76"/>
    </row>
    <row r="213">
      <c r="A213" s="8"/>
      <c r="B213" s="8"/>
      <c r="C213" s="18"/>
      <c r="D213" s="18"/>
      <c r="E213" s="8"/>
      <c r="F213" s="8"/>
      <c r="G213" s="8"/>
      <c r="H213" s="8"/>
      <c r="I213" s="76"/>
    </row>
    <row r="214">
      <c r="A214" s="8"/>
      <c r="B214" s="8"/>
      <c r="C214" s="18"/>
      <c r="D214" s="18"/>
      <c r="E214" s="8"/>
      <c r="F214" s="8"/>
      <c r="G214" s="8"/>
      <c r="H214" s="8"/>
      <c r="I214" s="76"/>
    </row>
    <row r="215">
      <c r="A215" s="8"/>
      <c r="B215" s="8"/>
      <c r="C215" s="18"/>
      <c r="D215" s="18"/>
      <c r="E215" s="8"/>
      <c r="F215" s="8"/>
      <c r="G215" s="8"/>
      <c r="H215" s="8"/>
      <c r="I215" s="76"/>
    </row>
    <row r="216">
      <c r="A216" s="8"/>
      <c r="B216" s="8"/>
      <c r="C216" s="18"/>
      <c r="D216" s="18"/>
      <c r="E216" s="8"/>
      <c r="F216" s="8"/>
      <c r="G216" s="8"/>
      <c r="H216" s="8"/>
      <c r="I216" s="76"/>
    </row>
    <row r="217">
      <c r="A217" s="8"/>
      <c r="B217" s="8"/>
      <c r="C217" s="18"/>
      <c r="D217" s="18"/>
      <c r="E217" s="8"/>
      <c r="F217" s="8"/>
      <c r="G217" s="8"/>
      <c r="H217" s="8"/>
      <c r="I217" s="76"/>
    </row>
    <row r="218">
      <c r="A218" s="8"/>
      <c r="B218" s="8"/>
      <c r="C218" s="18"/>
      <c r="D218" s="18"/>
      <c r="E218" s="8"/>
      <c r="F218" s="8"/>
      <c r="G218" s="8"/>
      <c r="H218" s="8"/>
      <c r="I218" s="76"/>
    </row>
    <row r="219">
      <c r="A219" s="8"/>
      <c r="B219" s="8"/>
      <c r="C219" s="18"/>
      <c r="D219" s="18"/>
      <c r="E219" s="8"/>
      <c r="F219" s="8"/>
      <c r="G219" s="8"/>
      <c r="H219" s="8"/>
      <c r="I219" s="76"/>
    </row>
    <row r="220">
      <c r="A220" s="8"/>
      <c r="B220" s="8"/>
      <c r="C220" s="18"/>
      <c r="D220" s="18"/>
      <c r="E220" s="8"/>
      <c r="F220" s="8"/>
      <c r="G220" s="8"/>
      <c r="H220" s="8"/>
      <c r="I220" s="76"/>
    </row>
    <row r="221">
      <c r="A221" s="8"/>
      <c r="B221" s="8"/>
      <c r="C221" s="18"/>
      <c r="D221" s="18"/>
      <c r="E221" s="8"/>
      <c r="F221" s="8"/>
      <c r="G221" s="8"/>
      <c r="H221" s="8"/>
      <c r="I221" s="76"/>
    </row>
    <row r="222">
      <c r="A222" s="8"/>
      <c r="B222" s="8"/>
      <c r="C222" s="18"/>
      <c r="D222" s="18"/>
      <c r="E222" s="8"/>
      <c r="F222" s="8"/>
      <c r="G222" s="8"/>
      <c r="H222" s="8"/>
      <c r="I222" s="76"/>
    </row>
    <row r="223">
      <c r="A223" s="8"/>
      <c r="B223" s="8"/>
      <c r="C223" s="18"/>
      <c r="D223" s="18"/>
      <c r="E223" s="8"/>
      <c r="F223" s="8"/>
      <c r="G223" s="8"/>
      <c r="H223" s="8"/>
      <c r="I223" s="76"/>
    </row>
    <row r="224">
      <c r="A224" s="8"/>
      <c r="B224" s="8"/>
      <c r="C224" s="18"/>
      <c r="D224" s="18"/>
      <c r="E224" s="8"/>
      <c r="F224" s="8"/>
      <c r="G224" s="8"/>
      <c r="H224" s="8"/>
      <c r="I224" s="76"/>
    </row>
    <row r="225">
      <c r="A225" s="8"/>
      <c r="B225" s="8"/>
      <c r="C225" s="18"/>
      <c r="D225" s="18"/>
      <c r="E225" s="8"/>
      <c r="F225" s="8"/>
      <c r="G225" s="8"/>
      <c r="H225" s="8"/>
      <c r="I225" s="76"/>
    </row>
    <row r="226">
      <c r="A226" s="8"/>
      <c r="B226" s="8"/>
      <c r="C226" s="18"/>
      <c r="D226" s="18"/>
      <c r="E226" s="8"/>
      <c r="F226" s="8"/>
      <c r="G226" s="8"/>
      <c r="H226" s="8"/>
      <c r="I226" s="76"/>
    </row>
    <row r="227">
      <c r="A227" s="8"/>
      <c r="B227" s="8"/>
      <c r="C227" s="18"/>
      <c r="D227" s="18"/>
      <c r="E227" s="8"/>
      <c r="F227" s="8"/>
      <c r="G227" s="8"/>
      <c r="H227" s="8"/>
      <c r="I227" s="76"/>
    </row>
    <row r="228">
      <c r="A228" s="8"/>
      <c r="B228" s="8"/>
      <c r="C228" s="18"/>
      <c r="D228" s="18"/>
      <c r="E228" s="8"/>
      <c r="F228" s="8"/>
      <c r="G228" s="8"/>
      <c r="H228" s="8"/>
      <c r="I228" s="76"/>
    </row>
    <row r="229">
      <c r="A229" s="8"/>
      <c r="B229" s="8"/>
      <c r="C229" s="18"/>
      <c r="D229" s="18"/>
      <c r="E229" s="8"/>
      <c r="F229" s="8"/>
      <c r="G229" s="8"/>
      <c r="H229" s="8"/>
      <c r="I229" s="76"/>
    </row>
    <row r="230">
      <c r="A230" s="8"/>
      <c r="B230" s="8"/>
      <c r="C230" s="18"/>
      <c r="D230" s="18"/>
      <c r="E230" s="8"/>
      <c r="F230" s="8"/>
      <c r="G230" s="8"/>
      <c r="H230" s="8"/>
      <c r="I230" s="76"/>
    </row>
    <row r="231">
      <c r="A231" s="8"/>
      <c r="B231" s="8"/>
      <c r="C231" s="18"/>
      <c r="D231" s="18"/>
      <c r="E231" s="8"/>
      <c r="F231" s="8"/>
      <c r="G231" s="8"/>
      <c r="H231" s="8"/>
      <c r="I231" s="76"/>
    </row>
    <row r="232">
      <c r="A232" s="8"/>
      <c r="B232" s="8"/>
      <c r="C232" s="18"/>
      <c r="D232" s="18"/>
      <c r="E232" s="8"/>
      <c r="F232" s="8"/>
      <c r="G232" s="8"/>
      <c r="H232" s="8"/>
      <c r="I232" s="76"/>
    </row>
    <row r="233">
      <c r="A233" s="8"/>
      <c r="B233" s="8"/>
      <c r="C233" s="18"/>
      <c r="D233" s="18"/>
      <c r="E233" s="8"/>
      <c r="F233" s="8"/>
      <c r="G233" s="8"/>
      <c r="H233" s="8"/>
      <c r="I233" s="76"/>
    </row>
    <row r="234">
      <c r="A234" s="8"/>
      <c r="B234" s="8"/>
      <c r="C234" s="18"/>
      <c r="D234" s="18"/>
      <c r="E234" s="8"/>
      <c r="F234" s="8"/>
      <c r="G234" s="8"/>
      <c r="H234" s="8"/>
      <c r="I234" s="76"/>
    </row>
    <row r="235">
      <c r="A235" s="8"/>
      <c r="B235" s="8"/>
      <c r="C235" s="18"/>
      <c r="D235" s="18"/>
      <c r="E235" s="8"/>
      <c r="F235" s="8"/>
      <c r="G235" s="8"/>
      <c r="H235" s="8"/>
      <c r="I235" s="76"/>
    </row>
    <row r="236">
      <c r="A236" s="8"/>
      <c r="B236" s="8"/>
      <c r="C236" s="18"/>
      <c r="D236" s="18"/>
      <c r="E236" s="8"/>
      <c r="F236" s="8"/>
      <c r="G236" s="8"/>
      <c r="H236" s="8"/>
      <c r="I236" s="76"/>
    </row>
    <row r="237">
      <c r="A237" s="8"/>
      <c r="B237" s="8"/>
      <c r="C237" s="18"/>
      <c r="D237" s="18"/>
      <c r="E237" s="8"/>
      <c r="F237" s="8"/>
      <c r="G237" s="8"/>
      <c r="H237" s="8"/>
      <c r="I237" s="76"/>
    </row>
    <row r="238">
      <c r="A238" s="8"/>
      <c r="B238" s="8"/>
      <c r="C238" s="18"/>
      <c r="D238" s="18"/>
      <c r="E238" s="8"/>
      <c r="F238" s="8"/>
      <c r="G238" s="8"/>
      <c r="H238" s="8"/>
      <c r="I238" s="76"/>
    </row>
    <row r="239">
      <c r="A239" s="8"/>
      <c r="B239" s="8"/>
      <c r="C239" s="18"/>
      <c r="D239" s="18"/>
      <c r="E239" s="8"/>
      <c r="F239" s="8"/>
      <c r="G239" s="8"/>
      <c r="H239" s="8"/>
      <c r="I239" s="76"/>
    </row>
    <row r="240">
      <c r="A240" s="8"/>
      <c r="B240" s="8"/>
      <c r="C240" s="18"/>
      <c r="D240" s="18"/>
      <c r="E240" s="8"/>
      <c r="F240" s="8"/>
      <c r="G240" s="8"/>
      <c r="H240" s="8"/>
      <c r="I240" s="76"/>
    </row>
    <row r="241">
      <c r="A241" s="8"/>
      <c r="B241" s="8"/>
      <c r="C241" s="18"/>
      <c r="D241" s="18"/>
      <c r="E241" s="8"/>
      <c r="F241" s="8"/>
      <c r="G241" s="8"/>
      <c r="H241" s="8"/>
      <c r="I241" s="76"/>
    </row>
    <row r="242">
      <c r="A242" s="8"/>
      <c r="B242" s="8"/>
      <c r="C242" s="18"/>
      <c r="D242" s="18"/>
      <c r="E242" s="8"/>
      <c r="F242" s="8"/>
      <c r="G242" s="8"/>
      <c r="H242" s="8"/>
      <c r="I242" s="76"/>
    </row>
    <row r="243">
      <c r="A243" s="8"/>
      <c r="B243" s="8"/>
      <c r="C243" s="18"/>
      <c r="D243" s="18"/>
      <c r="E243" s="8"/>
      <c r="F243" s="8"/>
      <c r="G243" s="8"/>
      <c r="H243" s="8"/>
      <c r="I243" s="76"/>
    </row>
    <row r="244">
      <c r="A244" s="8"/>
      <c r="B244" s="8"/>
      <c r="C244" s="18"/>
      <c r="D244" s="18"/>
      <c r="E244" s="8"/>
      <c r="F244" s="8"/>
      <c r="G244" s="8"/>
      <c r="H244" s="8"/>
      <c r="I244" s="76"/>
    </row>
    <row r="245">
      <c r="A245" s="8"/>
      <c r="B245" s="8"/>
      <c r="C245" s="18"/>
      <c r="D245" s="18"/>
      <c r="E245" s="8"/>
      <c r="F245" s="8"/>
      <c r="G245" s="8"/>
      <c r="H245" s="8"/>
      <c r="I245" s="76"/>
    </row>
    <row r="246">
      <c r="A246" s="8"/>
      <c r="B246" s="8"/>
      <c r="C246" s="18"/>
      <c r="D246" s="18"/>
      <c r="E246" s="8"/>
      <c r="F246" s="8"/>
      <c r="G246" s="8"/>
      <c r="H246" s="8"/>
      <c r="I246" s="76"/>
    </row>
    <row r="247">
      <c r="A247" s="8"/>
      <c r="B247" s="8"/>
      <c r="C247" s="18"/>
      <c r="D247" s="18"/>
      <c r="E247" s="8"/>
      <c r="F247" s="8"/>
      <c r="G247" s="8"/>
      <c r="H247" s="8"/>
      <c r="I247" s="76"/>
    </row>
    <row r="248">
      <c r="A248" s="8"/>
      <c r="B248" s="8"/>
      <c r="C248" s="18"/>
      <c r="D248" s="18"/>
      <c r="E248" s="8"/>
      <c r="F248" s="8"/>
      <c r="G248" s="8"/>
      <c r="H248" s="8"/>
      <c r="I248" s="76"/>
    </row>
    <row r="249">
      <c r="A249" s="8"/>
      <c r="B249" s="8"/>
      <c r="C249" s="18"/>
      <c r="D249" s="18"/>
      <c r="E249" s="8"/>
      <c r="F249" s="8"/>
      <c r="G249" s="8"/>
      <c r="H249" s="8"/>
      <c r="I249" s="76"/>
    </row>
    <row r="250">
      <c r="A250" s="8"/>
      <c r="B250" s="8"/>
      <c r="C250" s="18"/>
      <c r="D250" s="18"/>
      <c r="E250" s="8"/>
      <c r="F250" s="8"/>
      <c r="G250" s="8"/>
      <c r="H250" s="8"/>
      <c r="I250" s="76"/>
    </row>
    <row r="251">
      <c r="A251" s="8"/>
      <c r="B251" s="8"/>
      <c r="C251" s="18"/>
      <c r="D251" s="18"/>
      <c r="E251" s="8"/>
      <c r="F251" s="8"/>
      <c r="G251" s="8"/>
      <c r="H251" s="8"/>
      <c r="I251" s="76"/>
    </row>
    <row r="252">
      <c r="A252" s="8"/>
      <c r="B252" s="8"/>
      <c r="C252" s="18"/>
      <c r="D252" s="18"/>
      <c r="E252" s="8"/>
      <c r="F252" s="8"/>
      <c r="G252" s="8"/>
      <c r="H252" s="8"/>
      <c r="I252" s="76"/>
    </row>
    <row r="253">
      <c r="A253" s="8"/>
      <c r="B253" s="8"/>
      <c r="C253" s="18"/>
      <c r="D253" s="18"/>
      <c r="E253" s="8"/>
      <c r="F253" s="8"/>
      <c r="G253" s="8"/>
      <c r="H253" s="8"/>
      <c r="I253" s="76"/>
    </row>
    <row r="254">
      <c r="A254" s="8"/>
      <c r="B254" s="8"/>
      <c r="C254" s="18"/>
      <c r="D254" s="18"/>
      <c r="E254" s="8"/>
      <c r="F254" s="8"/>
      <c r="G254" s="8"/>
      <c r="H254" s="8"/>
      <c r="I254" s="76"/>
    </row>
    <row r="255">
      <c r="A255" s="8"/>
      <c r="B255" s="8"/>
      <c r="C255" s="18"/>
      <c r="D255" s="18"/>
      <c r="E255" s="8"/>
      <c r="F255" s="8"/>
      <c r="G255" s="8"/>
      <c r="H255" s="8"/>
      <c r="I255" s="76"/>
    </row>
    <row r="256">
      <c r="A256" s="8"/>
      <c r="B256" s="8"/>
      <c r="C256" s="18"/>
      <c r="D256" s="18"/>
      <c r="E256" s="8"/>
      <c r="F256" s="8"/>
      <c r="G256" s="8"/>
      <c r="H256" s="8"/>
      <c r="I256" s="76"/>
    </row>
    <row r="257">
      <c r="A257" s="8"/>
      <c r="B257" s="8"/>
      <c r="C257" s="18"/>
      <c r="D257" s="18"/>
      <c r="E257" s="8"/>
      <c r="F257" s="8"/>
      <c r="G257" s="8"/>
      <c r="H257" s="8"/>
      <c r="I257" s="76"/>
    </row>
    <row r="258">
      <c r="A258" s="8"/>
      <c r="B258" s="8"/>
      <c r="C258" s="18"/>
      <c r="D258" s="18"/>
      <c r="E258" s="8"/>
      <c r="F258" s="8"/>
      <c r="G258" s="8"/>
      <c r="H258" s="8"/>
      <c r="I258" s="76"/>
    </row>
    <row r="259">
      <c r="A259" s="8"/>
      <c r="B259" s="8"/>
      <c r="C259" s="18"/>
      <c r="D259" s="18"/>
      <c r="E259" s="8"/>
      <c r="F259" s="8"/>
      <c r="G259" s="8"/>
      <c r="H259" s="8"/>
      <c r="I259" s="76"/>
    </row>
    <row r="260">
      <c r="A260" s="8"/>
      <c r="B260" s="8"/>
      <c r="C260" s="18"/>
      <c r="D260" s="18"/>
      <c r="E260" s="8"/>
      <c r="F260" s="8"/>
      <c r="G260" s="8"/>
      <c r="H260" s="8"/>
      <c r="I260" s="76"/>
    </row>
    <row r="261">
      <c r="A261" s="8"/>
      <c r="B261" s="8"/>
      <c r="C261" s="18"/>
      <c r="D261" s="18"/>
      <c r="E261" s="8"/>
      <c r="F261" s="8"/>
      <c r="G261" s="8"/>
      <c r="H261" s="8"/>
      <c r="I261" s="76"/>
    </row>
    <row r="262">
      <c r="A262" s="8"/>
      <c r="B262" s="8"/>
      <c r="C262" s="18"/>
      <c r="D262" s="18"/>
      <c r="E262" s="8"/>
      <c r="F262" s="8"/>
      <c r="G262" s="8"/>
      <c r="H262" s="8"/>
      <c r="I262" s="76"/>
    </row>
    <row r="263">
      <c r="A263" s="8"/>
      <c r="B263" s="8"/>
      <c r="C263" s="18"/>
      <c r="D263" s="18"/>
      <c r="E263" s="8"/>
      <c r="F263" s="8"/>
      <c r="G263" s="8"/>
      <c r="H263" s="8"/>
      <c r="I263" s="76"/>
    </row>
    <row r="264">
      <c r="A264" s="8"/>
      <c r="B264" s="8"/>
      <c r="C264" s="18"/>
      <c r="D264" s="18"/>
      <c r="E264" s="8"/>
      <c r="F264" s="8"/>
      <c r="G264" s="8"/>
      <c r="H264" s="8"/>
      <c r="I264" s="76"/>
    </row>
    <row r="265">
      <c r="A265" s="8"/>
      <c r="B265" s="8"/>
      <c r="C265" s="18"/>
      <c r="D265" s="18"/>
      <c r="E265" s="8"/>
      <c r="F265" s="8"/>
      <c r="G265" s="8"/>
      <c r="H265" s="8"/>
      <c r="I265" s="76"/>
    </row>
    <row r="266">
      <c r="A266" s="8"/>
      <c r="B266" s="8"/>
      <c r="C266" s="18"/>
      <c r="D266" s="18"/>
      <c r="E266" s="8"/>
      <c r="F266" s="8"/>
      <c r="G266" s="8"/>
      <c r="H266" s="8"/>
      <c r="I266" s="76"/>
    </row>
    <row r="267">
      <c r="A267" s="8"/>
      <c r="B267" s="8"/>
      <c r="C267" s="18"/>
      <c r="D267" s="18"/>
      <c r="E267" s="8"/>
      <c r="F267" s="8"/>
      <c r="G267" s="8"/>
      <c r="H267" s="8"/>
      <c r="I267" s="76"/>
    </row>
    <row r="268">
      <c r="A268" s="8"/>
      <c r="B268" s="8"/>
      <c r="C268" s="18"/>
      <c r="D268" s="18"/>
      <c r="E268" s="8"/>
      <c r="F268" s="8"/>
      <c r="G268" s="8"/>
      <c r="H268" s="8"/>
      <c r="I268" s="76"/>
    </row>
    <row r="269">
      <c r="A269" s="8"/>
      <c r="B269" s="8"/>
      <c r="C269" s="18"/>
      <c r="D269" s="18"/>
      <c r="E269" s="8"/>
      <c r="F269" s="8"/>
      <c r="G269" s="8"/>
      <c r="H269" s="8"/>
      <c r="I269" s="76"/>
    </row>
    <row r="270">
      <c r="A270" s="8"/>
      <c r="B270" s="8"/>
      <c r="C270" s="18"/>
      <c r="D270" s="18"/>
      <c r="E270" s="8"/>
      <c r="F270" s="8"/>
      <c r="G270" s="8"/>
      <c r="H270" s="8"/>
      <c r="I270" s="76"/>
    </row>
    <row r="271">
      <c r="A271" s="8"/>
      <c r="B271" s="8"/>
      <c r="C271" s="18"/>
      <c r="D271" s="18"/>
      <c r="E271" s="8"/>
      <c r="F271" s="8"/>
      <c r="G271" s="8"/>
      <c r="H271" s="8"/>
      <c r="I271" s="76"/>
    </row>
    <row r="272">
      <c r="A272" s="8"/>
      <c r="B272" s="8"/>
      <c r="C272" s="18"/>
      <c r="D272" s="18"/>
      <c r="E272" s="8"/>
      <c r="F272" s="8"/>
      <c r="G272" s="8"/>
      <c r="H272" s="8"/>
      <c r="I272" s="76"/>
    </row>
    <row r="273">
      <c r="A273" s="8"/>
      <c r="B273" s="8"/>
      <c r="C273" s="18"/>
      <c r="D273" s="18"/>
      <c r="E273" s="8"/>
      <c r="F273" s="8"/>
      <c r="G273" s="8"/>
      <c r="H273" s="8"/>
      <c r="I273" s="76"/>
    </row>
    <row r="274">
      <c r="A274" s="8"/>
      <c r="B274" s="8"/>
      <c r="C274" s="18"/>
      <c r="D274" s="18"/>
      <c r="E274" s="8"/>
      <c r="F274" s="8"/>
      <c r="G274" s="8"/>
      <c r="H274" s="8"/>
      <c r="I274" s="76"/>
    </row>
    <row r="275">
      <c r="A275" s="8"/>
      <c r="B275" s="8"/>
      <c r="C275" s="18"/>
      <c r="D275" s="18"/>
      <c r="E275" s="8"/>
      <c r="F275" s="8"/>
      <c r="G275" s="8"/>
      <c r="H275" s="8"/>
      <c r="I275" s="76"/>
    </row>
    <row r="276">
      <c r="A276" s="8"/>
      <c r="B276" s="8"/>
      <c r="C276" s="18"/>
      <c r="D276" s="18"/>
      <c r="E276" s="8"/>
      <c r="F276" s="8"/>
      <c r="G276" s="8"/>
      <c r="H276" s="8"/>
      <c r="I276" s="76"/>
    </row>
    <row r="277">
      <c r="A277" s="8"/>
      <c r="B277" s="8"/>
      <c r="C277" s="18"/>
      <c r="D277" s="18"/>
      <c r="E277" s="8"/>
      <c r="F277" s="8"/>
      <c r="G277" s="8"/>
      <c r="H277" s="8"/>
      <c r="I277" s="76"/>
    </row>
    <row r="278">
      <c r="A278" s="8"/>
      <c r="B278" s="8"/>
      <c r="C278" s="18"/>
      <c r="D278" s="18"/>
      <c r="E278" s="8"/>
      <c r="F278" s="8"/>
      <c r="G278" s="8"/>
      <c r="H278" s="8"/>
      <c r="I278" s="76"/>
    </row>
    <row r="279">
      <c r="A279" s="8"/>
      <c r="B279" s="8"/>
      <c r="C279" s="18"/>
      <c r="D279" s="18"/>
      <c r="E279" s="8"/>
      <c r="F279" s="8"/>
      <c r="G279" s="8"/>
      <c r="H279" s="8"/>
      <c r="I279" s="76"/>
    </row>
    <row r="280">
      <c r="A280" s="8"/>
      <c r="B280" s="8"/>
      <c r="C280" s="18"/>
      <c r="D280" s="18"/>
      <c r="E280" s="8"/>
      <c r="F280" s="8"/>
      <c r="G280" s="8"/>
      <c r="H280" s="8"/>
      <c r="I280" s="76"/>
    </row>
    <row r="281">
      <c r="A281" s="8"/>
      <c r="B281" s="8"/>
      <c r="C281" s="18"/>
      <c r="D281" s="18"/>
      <c r="E281" s="8"/>
      <c r="F281" s="8"/>
      <c r="G281" s="8"/>
      <c r="H281" s="8"/>
      <c r="I281" s="76"/>
    </row>
    <row r="282">
      <c r="A282" s="8"/>
      <c r="B282" s="8"/>
      <c r="C282" s="18"/>
      <c r="D282" s="18"/>
      <c r="E282" s="8"/>
      <c r="F282" s="8"/>
      <c r="G282" s="8"/>
      <c r="H282" s="8"/>
      <c r="I282" s="76"/>
    </row>
    <row r="283">
      <c r="A283" s="8"/>
      <c r="B283" s="8"/>
      <c r="C283" s="18"/>
      <c r="D283" s="18"/>
      <c r="E283" s="8"/>
      <c r="F283" s="8"/>
      <c r="G283" s="8"/>
      <c r="H283" s="8"/>
      <c r="I283" s="76"/>
    </row>
    <row r="284">
      <c r="A284" s="8"/>
      <c r="B284" s="8"/>
      <c r="C284" s="18"/>
      <c r="D284" s="18"/>
      <c r="E284" s="8"/>
      <c r="F284" s="8"/>
      <c r="G284" s="8"/>
      <c r="H284" s="8"/>
      <c r="I284" s="76"/>
    </row>
    <row r="285">
      <c r="A285" s="8"/>
      <c r="B285" s="8"/>
      <c r="C285" s="18"/>
      <c r="D285" s="18"/>
      <c r="E285" s="8"/>
      <c r="F285" s="8"/>
      <c r="G285" s="8"/>
      <c r="H285" s="8"/>
      <c r="I285" s="76"/>
    </row>
    <row r="286">
      <c r="A286" s="8"/>
      <c r="B286" s="8"/>
      <c r="C286" s="18"/>
      <c r="D286" s="18"/>
      <c r="E286" s="8"/>
      <c r="F286" s="8"/>
      <c r="G286" s="8"/>
      <c r="H286" s="8"/>
      <c r="I286" s="76"/>
    </row>
    <row r="287">
      <c r="A287" s="8"/>
      <c r="B287" s="8"/>
      <c r="C287" s="18"/>
      <c r="D287" s="18"/>
      <c r="E287" s="8"/>
      <c r="F287" s="8"/>
      <c r="G287" s="8"/>
      <c r="H287" s="8"/>
      <c r="I287" s="76"/>
    </row>
    <row r="288">
      <c r="A288" s="8"/>
      <c r="B288" s="8"/>
      <c r="C288" s="18"/>
      <c r="D288" s="18"/>
      <c r="E288" s="8"/>
      <c r="F288" s="8"/>
      <c r="G288" s="8"/>
      <c r="H288" s="8"/>
      <c r="I288" s="76"/>
    </row>
    <row r="289">
      <c r="A289" s="8"/>
      <c r="B289" s="8"/>
      <c r="C289" s="18"/>
      <c r="D289" s="18"/>
      <c r="E289" s="8"/>
      <c r="F289" s="8"/>
      <c r="G289" s="8"/>
      <c r="H289" s="8"/>
      <c r="I289" s="76"/>
    </row>
    <row r="290">
      <c r="A290" s="8"/>
      <c r="B290" s="8"/>
      <c r="C290" s="18"/>
      <c r="D290" s="18"/>
      <c r="E290" s="8"/>
      <c r="F290" s="8"/>
      <c r="G290" s="8"/>
      <c r="H290" s="8"/>
      <c r="I290" s="76"/>
    </row>
    <row r="291">
      <c r="A291" s="8"/>
      <c r="B291" s="8"/>
      <c r="C291" s="18"/>
      <c r="D291" s="18"/>
      <c r="E291" s="8"/>
      <c r="F291" s="8"/>
      <c r="G291" s="8"/>
      <c r="H291" s="8"/>
      <c r="I291" s="76"/>
    </row>
    <row r="292">
      <c r="A292" s="8"/>
      <c r="B292" s="8"/>
      <c r="C292" s="18"/>
      <c r="D292" s="18"/>
      <c r="E292" s="8"/>
      <c r="F292" s="8"/>
      <c r="G292" s="8"/>
      <c r="H292" s="8"/>
      <c r="I292" s="76"/>
    </row>
    <row r="293">
      <c r="A293" s="8"/>
      <c r="B293" s="8"/>
      <c r="C293" s="18"/>
      <c r="D293" s="18"/>
      <c r="E293" s="8"/>
      <c r="F293" s="8"/>
      <c r="G293" s="8"/>
      <c r="H293" s="8"/>
      <c r="I293" s="76"/>
    </row>
    <row r="294">
      <c r="A294" s="8"/>
      <c r="B294" s="8"/>
      <c r="C294" s="18"/>
      <c r="D294" s="18"/>
      <c r="E294" s="8"/>
      <c r="F294" s="8"/>
      <c r="G294" s="8"/>
      <c r="H294" s="8"/>
      <c r="I294" s="76"/>
    </row>
    <row r="295">
      <c r="A295" s="8"/>
      <c r="B295" s="8"/>
      <c r="C295" s="18"/>
      <c r="D295" s="18"/>
      <c r="E295" s="8"/>
      <c r="F295" s="8"/>
      <c r="G295" s="8"/>
      <c r="H295" s="8"/>
      <c r="I295" s="76"/>
    </row>
    <row r="296">
      <c r="A296" s="8"/>
      <c r="B296" s="8"/>
      <c r="C296" s="18"/>
      <c r="D296" s="18"/>
      <c r="E296" s="8"/>
      <c r="F296" s="8"/>
      <c r="G296" s="8"/>
      <c r="H296" s="8"/>
      <c r="I296" s="76"/>
    </row>
    <row r="297">
      <c r="A297" s="8"/>
      <c r="B297" s="8"/>
      <c r="C297" s="18"/>
      <c r="D297" s="18"/>
      <c r="E297" s="8"/>
      <c r="F297" s="8"/>
      <c r="G297" s="8"/>
      <c r="H297" s="8"/>
      <c r="I297" s="76"/>
    </row>
    <row r="298">
      <c r="A298" s="8"/>
      <c r="B298" s="8"/>
      <c r="C298" s="18"/>
      <c r="D298" s="18"/>
      <c r="E298" s="8"/>
      <c r="F298" s="8"/>
      <c r="G298" s="8"/>
      <c r="H298" s="8"/>
      <c r="I298" s="76"/>
    </row>
    <row r="299">
      <c r="A299" s="8"/>
      <c r="B299" s="8"/>
      <c r="C299" s="18"/>
      <c r="D299" s="18"/>
      <c r="E299" s="8"/>
      <c r="F299" s="8"/>
      <c r="G299" s="8"/>
      <c r="H299" s="8"/>
      <c r="I299" s="76"/>
    </row>
    <row r="300">
      <c r="A300" s="8"/>
      <c r="B300" s="8"/>
      <c r="C300" s="18"/>
      <c r="D300" s="18"/>
      <c r="E300" s="8"/>
      <c r="F300" s="8"/>
      <c r="G300" s="8"/>
      <c r="H300" s="8"/>
      <c r="I300" s="76"/>
    </row>
    <row r="301">
      <c r="A301" s="8"/>
      <c r="B301" s="8"/>
      <c r="C301" s="18"/>
      <c r="D301" s="18"/>
      <c r="E301" s="8"/>
      <c r="F301" s="8"/>
      <c r="G301" s="8"/>
      <c r="H301" s="8"/>
      <c r="I301" s="76"/>
    </row>
    <row r="302">
      <c r="A302" s="8"/>
      <c r="B302" s="8"/>
      <c r="C302" s="18"/>
      <c r="D302" s="18"/>
      <c r="E302" s="8"/>
      <c r="F302" s="8"/>
      <c r="G302" s="8"/>
      <c r="H302" s="8"/>
      <c r="I302" s="76"/>
    </row>
    <row r="303">
      <c r="A303" s="8"/>
      <c r="B303" s="8"/>
      <c r="C303" s="18"/>
      <c r="D303" s="18"/>
      <c r="E303" s="8"/>
      <c r="F303" s="8"/>
      <c r="G303" s="8"/>
      <c r="H303" s="8"/>
      <c r="I303" s="76"/>
    </row>
    <row r="304">
      <c r="A304" s="8"/>
      <c r="B304" s="8"/>
      <c r="C304" s="18"/>
      <c r="D304" s="18"/>
      <c r="E304" s="8"/>
      <c r="F304" s="8"/>
      <c r="G304" s="8"/>
      <c r="H304" s="8"/>
      <c r="I304" s="76"/>
    </row>
    <row r="305">
      <c r="A305" s="8"/>
      <c r="B305" s="8"/>
      <c r="C305" s="18"/>
      <c r="D305" s="18"/>
      <c r="E305" s="8"/>
      <c r="F305" s="8"/>
      <c r="G305" s="8"/>
      <c r="H305" s="8"/>
      <c r="I305" s="76"/>
    </row>
    <row r="306">
      <c r="A306" s="8"/>
      <c r="B306" s="8"/>
      <c r="C306" s="18"/>
      <c r="D306" s="18"/>
      <c r="E306" s="8"/>
      <c r="F306" s="8"/>
      <c r="G306" s="8"/>
      <c r="H306" s="8"/>
      <c r="I306" s="76"/>
    </row>
    <row r="307">
      <c r="A307" s="8"/>
      <c r="B307" s="8"/>
      <c r="C307" s="18"/>
      <c r="D307" s="18"/>
      <c r="E307" s="8"/>
      <c r="F307" s="8"/>
      <c r="G307" s="8"/>
      <c r="H307" s="8"/>
      <c r="I307" s="76"/>
    </row>
    <row r="308">
      <c r="A308" s="8"/>
      <c r="B308" s="8"/>
      <c r="C308" s="18"/>
      <c r="D308" s="18"/>
      <c r="E308" s="8"/>
      <c r="F308" s="8"/>
      <c r="G308" s="8"/>
      <c r="H308" s="8"/>
      <c r="I308" s="76"/>
    </row>
    <row r="309">
      <c r="A309" s="8"/>
      <c r="B309" s="8"/>
      <c r="C309" s="18"/>
      <c r="D309" s="18"/>
      <c r="E309" s="8"/>
      <c r="F309" s="8"/>
      <c r="G309" s="8"/>
      <c r="H309" s="8"/>
      <c r="I309" s="76"/>
    </row>
    <row r="310">
      <c r="A310" s="8"/>
      <c r="B310" s="8"/>
      <c r="C310" s="18"/>
      <c r="D310" s="18"/>
      <c r="E310" s="8"/>
      <c r="F310" s="8"/>
      <c r="G310" s="8"/>
      <c r="H310" s="8"/>
      <c r="I310" s="76"/>
    </row>
    <row r="311">
      <c r="A311" s="8"/>
      <c r="B311" s="8"/>
      <c r="C311" s="18"/>
      <c r="D311" s="18"/>
      <c r="E311" s="8"/>
      <c r="F311" s="8"/>
      <c r="G311" s="8"/>
      <c r="H311" s="8"/>
      <c r="I311" s="76"/>
    </row>
    <row r="312">
      <c r="A312" s="8"/>
      <c r="B312" s="8"/>
      <c r="C312" s="18"/>
      <c r="D312" s="18"/>
      <c r="E312" s="8"/>
      <c r="F312" s="8"/>
      <c r="G312" s="8"/>
      <c r="H312" s="8"/>
      <c r="I312" s="76"/>
    </row>
    <row r="313">
      <c r="A313" s="8"/>
      <c r="B313" s="8"/>
      <c r="C313" s="18"/>
      <c r="D313" s="18"/>
      <c r="E313" s="8"/>
      <c r="F313" s="8"/>
      <c r="G313" s="8"/>
      <c r="H313" s="8"/>
      <c r="I313" s="76"/>
    </row>
    <row r="314">
      <c r="A314" s="8"/>
      <c r="B314" s="8"/>
      <c r="C314" s="18"/>
      <c r="D314" s="18"/>
      <c r="E314" s="8"/>
      <c r="F314" s="8"/>
      <c r="G314" s="8"/>
      <c r="H314" s="8"/>
      <c r="I314" s="76"/>
    </row>
    <row r="315">
      <c r="A315" s="8"/>
      <c r="B315" s="8"/>
      <c r="C315" s="18"/>
      <c r="D315" s="18"/>
      <c r="E315" s="8"/>
      <c r="F315" s="8"/>
      <c r="G315" s="8"/>
      <c r="H315" s="8"/>
      <c r="I315" s="76"/>
    </row>
    <row r="316">
      <c r="A316" s="8"/>
      <c r="B316" s="8"/>
      <c r="C316" s="18"/>
      <c r="D316" s="18"/>
      <c r="E316" s="8"/>
      <c r="F316" s="8"/>
      <c r="G316" s="8"/>
      <c r="H316" s="8"/>
      <c r="I316" s="76"/>
    </row>
    <row r="317">
      <c r="A317" s="8"/>
      <c r="B317" s="8"/>
      <c r="C317" s="18"/>
      <c r="D317" s="18"/>
      <c r="E317" s="8"/>
      <c r="F317" s="8"/>
      <c r="G317" s="8"/>
      <c r="H317" s="8"/>
      <c r="I317" s="76"/>
    </row>
    <row r="318">
      <c r="A318" s="8"/>
      <c r="B318" s="8"/>
      <c r="C318" s="18"/>
      <c r="D318" s="18"/>
      <c r="E318" s="8"/>
      <c r="F318" s="8"/>
      <c r="G318" s="8"/>
      <c r="H318" s="8"/>
      <c r="I318" s="76"/>
    </row>
    <row r="319">
      <c r="A319" s="8"/>
      <c r="B319" s="8"/>
      <c r="C319" s="18"/>
      <c r="D319" s="18"/>
      <c r="E319" s="8"/>
      <c r="F319" s="8"/>
      <c r="G319" s="8"/>
      <c r="H319" s="8"/>
      <c r="I319" s="76"/>
    </row>
    <row r="320">
      <c r="A320" s="8"/>
      <c r="B320" s="8"/>
      <c r="C320" s="18"/>
      <c r="D320" s="18"/>
      <c r="E320" s="8"/>
      <c r="F320" s="8"/>
      <c r="G320" s="8"/>
      <c r="H320" s="8"/>
      <c r="I320" s="76"/>
    </row>
    <row r="321">
      <c r="A321" s="8"/>
      <c r="B321" s="8"/>
      <c r="C321" s="18"/>
      <c r="D321" s="18"/>
      <c r="E321" s="8"/>
      <c r="F321" s="8"/>
      <c r="G321" s="8"/>
      <c r="H321" s="8"/>
      <c r="I321" s="76"/>
    </row>
    <row r="322">
      <c r="A322" s="8"/>
      <c r="B322" s="8"/>
      <c r="C322" s="18"/>
      <c r="D322" s="18"/>
      <c r="E322" s="8"/>
      <c r="F322" s="8"/>
      <c r="G322" s="8"/>
      <c r="H322" s="8"/>
      <c r="I322" s="76"/>
    </row>
    <row r="323">
      <c r="A323" s="8"/>
      <c r="B323" s="8"/>
      <c r="C323" s="18"/>
      <c r="D323" s="18"/>
      <c r="E323" s="8"/>
      <c r="F323" s="8"/>
      <c r="G323" s="8"/>
      <c r="H323" s="8"/>
      <c r="I323" s="76"/>
    </row>
    <row r="324">
      <c r="A324" s="8"/>
      <c r="B324" s="8"/>
      <c r="C324" s="18"/>
      <c r="D324" s="18"/>
      <c r="E324" s="8"/>
      <c r="F324" s="8"/>
      <c r="G324" s="8"/>
      <c r="H324" s="8"/>
      <c r="I324" s="76"/>
    </row>
    <row r="325">
      <c r="A325" s="8"/>
      <c r="B325" s="8"/>
      <c r="C325" s="18"/>
      <c r="D325" s="18"/>
      <c r="E325" s="8"/>
      <c r="F325" s="8"/>
      <c r="G325" s="8"/>
      <c r="H325" s="8"/>
      <c r="I325" s="76"/>
    </row>
    <row r="326">
      <c r="A326" s="8"/>
      <c r="B326" s="8"/>
      <c r="C326" s="18"/>
      <c r="D326" s="18"/>
      <c r="E326" s="8"/>
      <c r="F326" s="8"/>
      <c r="G326" s="8"/>
      <c r="H326" s="8"/>
      <c r="I326" s="76"/>
    </row>
    <row r="327">
      <c r="A327" s="8"/>
      <c r="B327" s="8"/>
      <c r="C327" s="18"/>
      <c r="D327" s="18"/>
      <c r="E327" s="8"/>
      <c r="F327" s="8"/>
      <c r="G327" s="8"/>
      <c r="H327" s="8"/>
      <c r="I327" s="76"/>
    </row>
    <row r="328">
      <c r="A328" s="8"/>
      <c r="B328" s="8"/>
      <c r="C328" s="18"/>
      <c r="D328" s="18"/>
      <c r="E328" s="8"/>
      <c r="F328" s="8"/>
      <c r="G328" s="8"/>
      <c r="H328" s="8"/>
      <c r="I328" s="76"/>
    </row>
    <row r="329">
      <c r="A329" s="8"/>
      <c r="B329" s="8"/>
      <c r="C329" s="18"/>
      <c r="D329" s="18"/>
      <c r="E329" s="8"/>
      <c r="F329" s="8"/>
      <c r="G329" s="8"/>
      <c r="H329" s="8"/>
      <c r="I329" s="76"/>
    </row>
    <row r="330">
      <c r="A330" s="8"/>
      <c r="B330" s="8"/>
      <c r="C330" s="18"/>
      <c r="D330" s="18"/>
      <c r="E330" s="8"/>
      <c r="F330" s="8"/>
      <c r="G330" s="8"/>
      <c r="H330" s="8"/>
      <c r="I330" s="76"/>
    </row>
    <row r="331">
      <c r="A331" s="8"/>
      <c r="B331" s="8"/>
      <c r="C331" s="18"/>
      <c r="D331" s="18"/>
      <c r="E331" s="8"/>
      <c r="F331" s="8"/>
      <c r="G331" s="8"/>
      <c r="H331" s="8"/>
      <c r="I331" s="76"/>
    </row>
    <row r="332">
      <c r="A332" s="8"/>
      <c r="B332" s="8"/>
      <c r="C332" s="18"/>
      <c r="D332" s="18"/>
      <c r="E332" s="8"/>
      <c r="F332" s="8"/>
      <c r="G332" s="8"/>
      <c r="H332" s="8"/>
      <c r="I332" s="76"/>
    </row>
    <row r="333">
      <c r="A333" s="8"/>
      <c r="B333" s="8"/>
      <c r="C333" s="18"/>
      <c r="D333" s="18"/>
      <c r="E333" s="8"/>
      <c r="F333" s="8"/>
      <c r="G333" s="8"/>
      <c r="H333" s="8"/>
      <c r="I333" s="76"/>
    </row>
    <row r="334">
      <c r="A334" s="8"/>
      <c r="B334" s="8"/>
      <c r="C334" s="18"/>
      <c r="D334" s="18"/>
      <c r="E334" s="8"/>
      <c r="F334" s="8"/>
      <c r="G334" s="8"/>
      <c r="H334" s="8"/>
      <c r="I334" s="76"/>
    </row>
    <row r="335">
      <c r="A335" s="8"/>
      <c r="B335" s="8"/>
      <c r="C335" s="18"/>
      <c r="D335" s="18"/>
      <c r="E335" s="8"/>
      <c r="F335" s="8"/>
      <c r="G335" s="8"/>
      <c r="H335" s="8"/>
      <c r="I335" s="76"/>
    </row>
    <row r="336">
      <c r="A336" s="8"/>
      <c r="B336" s="8"/>
      <c r="C336" s="18"/>
      <c r="D336" s="18"/>
      <c r="E336" s="8"/>
      <c r="F336" s="8"/>
      <c r="G336" s="8"/>
      <c r="H336" s="8"/>
      <c r="I336" s="76"/>
    </row>
    <row r="337">
      <c r="A337" s="8"/>
      <c r="B337" s="8"/>
      <c r="C337" s="18"/>
      <c r="D337" s="18"/>
      <c r="E337" s="8"/>
      <c r="F337" s="8"/>
      <c r="G337" s="8"/>
      <c r="H337" s="8"/>
      <c r="I337" s="76"/>
    </row>
    <row r="338">
      <c r="A338" s="8"/>
      <c r="B338" s="8"/>
      <c r="C338" s="18"/>
      <c r="D338" s="18"/>
      <c r="E338" s="8"/>
      <c r="F338" s="8"/>
      <c r="G338" s="8"/>
      <c r="H338" s="8"/>
      <c r="I338" s="76"/>
    </row>
    <row r="339">
      <c r="A339" s="8"/>
      <c r="B339" s="8"/>
      <c r="C339" s="18"/>
      <c r="D339" s="18"/>
      <c r="E339" s="8"/>
      <c r="F339" s="8"/>
      <c r="G339" s="8"/>
      <c r="H339" s="8"/>
      <c r="I339" s="76"/>
    </row>
    <row r="340">
      <c r="A340" s="8"/>
      <c r="B340" s="8"/>
      <c r="C340" s="18"/>
      <c r="D340" s="18"/>
      <c r="E340" s="8"/>
      <c r="F340" s="8"/>
      <c r="G340" s="8"/>
      <c r="H340" s="8"/>
      <c r="I340" s="76"/>
    </row>
    <row r="341">
      <c r="A341" s="8"/>
      <c r="B341" s="8"/>
      <c r="C341" s="18"/>
      <c r="D341" s="18"/>
      <c r="E341" s="8"/>
      <c r="F341" s="8"/>
      <c r="G341" s="8"/>
      <c r="H341" s="8"/>
      <c r="I341" s="76"/>
    </row>
    <row r="342">
      <c r="A342" s="8"/>
      <c r="B342" s="8"/>
      <c r="C342" s="18"/>
      <c r="D342" s="18"/>
      <c r="E342" s="8"/>
      <c r="F342" s="8"/>
      <c r="G342" s="8"/>
      <c r="H342" s="8"/>
      <c r="I342" s="76"/>
    </row>
    <row r="343">
      <c r="A343" s="8"/>
      <c r="B343" s="8"/>
      <c r="C343" s="18"/>
      <c r="D343" s="18"/>
      <c r="E343" s="8"/>
      <c r="F343" s="8"/>
      <c r="G343" s="8"/>
      <c r="H343" s="8"/>
      <c r="I343" s="76"/>
    </row>
    <row r="344">
      <c r="A344" s="8"/>
      <c r="B344" s="8"/>
      <c r="C344" s="18"/>
      <c r="D344" s="18"/>
      <c r="E344" s="8"/>
      <c r="F344" s="8"/>
      <c r="G344" s="8"/>
      <c r="H344" s="8"/>
      <c r="I344" s="76"/>
    </row>
    <row r="345">
      <c r="A345" s="8"/>
      <c r="B345" s="8"/>
      <c r="C345" s="18"/>
      <c r="D345" s="18"/>
      <c r="E345" s="8"/>
      <c r="F345" s="8"/>
      <c r="G345" s="8"/>
      <c r="H345" s="8"/>
      <c r="I345" s="76"/>
    </row>
    <row r="346">
      <c r="A346" s="8"/>
      <c r="B346" s="8"/>
      <c r="C346" s="18"/>
      <c r="D346" s="18"/>
      <c r="E346" s="8"/>
      <c r="F346" s="8"/>
      <c r="G346" s="8"/>
      <c r="H346" s="8"/>
      <c r="I346" s="76"/>
    </row>
    <row r="347">
      <c r="A347" s="8"/>
      <c r="B347" s="8"/>
      <c r="C347" s="18"/>
      <c r="D347" s="18"/>
      <c r="E347" s="8"/>
      <c r="F347" s="8"/>
      <c r="G347" s="8"/>
      <c r="H347" s="8"/>
      <c r="I347" s="76"/>
    </row>
    <row r="348">
      <c r="A348" s="8"/>
      <c r="B348" s="8"/>
      <c r="C348" s="18"/>
      <c r="D348" s="18"/>
      <c r="E348" s="8"/>
      <c r="F348" s="8"/>
      <c r="G348" s="8"/>
      <c r="H348" s="8"/>
      <c r="I348" s="76"/>
    </row>
    <row r="349">
      <c r="A349" s="8"/>
      <c r="B349" s="8"/>
      <c r="C349" s="18"/>
      <c r="D349" s="18"/>
      <c r="E349" s="8"/>
      <c r="F349" s="8"/>
      <c r="G349" s="8"/>
      <c r="H349" s="8"/>
      <c r="I349" s="76"/>
    </row>
    <row r="350">
      <c r="A350" s="8"/>
      <c r="B350" s="8"/>
      <c r="C350" s="18"/>
      <c r="D350" s="18"/>
      <c r="E350" s="8"/>
      <c r="F350" s="8"/>
      <c r="G350" s="8"/>
      <c r="H350" s="8"/>
      <c r="I350" s="76"/>
    </row>
    <row r="351">
      <c r="A351" s="8"/>
      <c r="B351" s="8"/>
      <c r="C351" s="18"/>
      <c r="D351" s="18"/>
      <c r="E351" s="8"/>
      <c r="F351" s="8"/>
      <c r="G351" s="8"/>
      <c r="H351" s="8"/>
      <c r="I351" s="76"/>
    </row>
    <row r="352">
      <c r="A352" s="8"/>
      <c r="B352" s="8"/>
      <c r="C352" s="18"/>
      <c r="D352" s="18"/>
      <c r="E352" s="8"/>
      <c r="F352" s="8"/>
      <c r="G352" s="8"/>
      <c r="H352" s="8"/>
      <c r="I352" s="76"/>
    </row>
    <row r="353">
      <c r="A353" s="8"/>
      <c r="B353" s="8"/>
      <c r="C353" s="18"/>
      <c r="D353" s="18"/>
      <c r="E353" s="8"/>
      <c r="F353" s="8"/>
      <c r="G353" s="8"/>
      <c r="H353" s="8"/>
      <c r="I353" s="76"/>
    </row>
    <row r="354">
      <c r="A354" s="8"/>
      <c r="B354" s="8"/>
      <c r="C354" s="18"/>
      <c r="D354" s="18"/>
      <c r="E354" s="8"/>
      <c r="F354" s="8"/>
      <c r="G354" s="8"/>
      <c r="H354" s="8"/>
      <c r="I354" s="76"/>
    </row>
    <row r="355">
      <c r="A355" s="8"/>
      <c r="B355" s="8"/>
      <c r="C355" s="18"/>
      <c r="D355" s="18"/>
      <c r="E355" s="8"/>
      <c r="F355" s="8"/>
      <c r="G355" s="8"/>
      <c r="H355" s="8"/>
      <c r="I355" s="76"/>
    </row>
    <row r="356">
      <c r="A356" s="8"/>
      <c r="B356" s="8"/>
      <c r="C356" s="18"/>
      <c r="D356" s="18"/>
      <c r="E356" s="8"/>
      <c r="F356" s="8"/>
      <c r="G356" s="8"/>
      <c r="H356" s="8"/>
      <c r="I356" s="76"/>
    </row>
    <row r="357">
      <c r="A357" s="8"/>
      <c r="B357" s="8"/>
      <c r="C357" s="18"/>
      <c r="D357" s="18"/>
      <c r="E357" s="8"/>
      <c r="F357" s="8"/>
      <c r="G357" s="8"/>
      <c r="H357" s="8"/>
      <c r="I357" s="76"/>
    </row>
    <row r="358">
      <c r="A358" s="8"/>
      <c r="B358" s="8"/>
      <c r="C358" s="18"/>
      <c r="D358" s="18"/>
      <c r="E358" s="8"/>
      <c r="F358" s="8"/>
      <c r="G358" s="8"/>
      <c r="H358" s="8"/>
      <c r="I358" s="76"/>
    </row>
    <row r="359">
      <c r="A359" s="8"/>
      <c r="B359" s="8"/>
      <c r="C359" s="18"/>
      <c r="D359" s="18"/>
      <c r="E359" s="8"/>
      <c r="F359" s="8"/>
      <c r="G359" s="8"/>
      <c r="H359" s="8"/>
      <c r="I359" s="76"/>
    </row>
    <row r="360">
      <c r="A360" s="8"/>
      <c r="B360" s="8"/>
      <c r="C360" s="18"/>
      <c r="D360" s="18"/>
      <c r="E360" s="8"/>
      <c r="F360" s="8"/>
      <c r="G360" s="8"/>
      <c r="H360" s="8"/>
      <c r="I360" s="76"/>
    </row>
    <row r="361">
      <c r="A361" s="8"/>
      <c r="B361" s="8"/>
      <c r="C361" s="18"/>
      <c r="D361" s="18"/>
      <c r="E361" s="8"/>
      <c r="F361" s="8"/>
      <c r="G361" s="8"/>
      <c r="H361" s="8"/>
      <c r="I361" s="76"/>
    </row>
    <row r="362">
      <c r="A362" s="8"/>
      <c r="B362" s="8"/>
      <c r="C362" s="18"/>
      <c r="D362" s="18"/>
      <c r="E362" s="8"/>
      <c r="F362" s="8"/>
      <c r="G362" s="8"/>
      <c r="H362" s="8"/>
      <c r="I362" s="76"/>
    </row>
    <row r="363">
      <c r="A363" s="8"/>
      <c r="B363" s="8"/>
      <c r="C363" s="18"/>
      <c r="D363" s="18"/>
      <c r="E363" s="8"/>
      <c r="F363" s="8"/>
      <c r="G363" s="8"/>
      <c r="H363" s="8"/>
      <c r="I363" s="76"/>
    </row>
    <row r="364">
      <c r="A364" s="8"/>
      <c r="B364" s="8"/>
      <c r="C364" s="18"/>
      <c r="D364" s="18"/>
      <c r="E364" s="8"/>
      <c r="F364" s="8"/>
      <c r="G364" s="8"/>
      <c r="H364" s="8"/>
      <c r="I364" s="76"/>
    </row>
    <row r="365">
      <c r="A365" s="8"/>
      <c r="B365" s="8"/>
      <c r="C365" s="18"/>
      <c r="D365" s="18"/>
      <c r="E365" s="8"/>
      <c r="F365" s="8"/>
      <c r="G365" s="8"/>
      <c r="H365" s="8"/>
      <c r="I365" s="76"/>
    </row>
    <row r="366">
      <c r="A366" s="8"/>
      <c r="B366" s="8"/>
      <c r="C366" s="18"/>
      <c r="D366" s="18"/>
      <c r="E366" s="8"/>
      <c r="F366" s="8"/>
      <c r="G366" s="8"/>
      <c r="H366" s="8"/>
      <c r="I366" s="76"/>
    </row>
    <row r="367">
      <c r="A367" s="8"/>
      <c r="B367" s="8"/>
      <c r="C367" s="18"/>
      <c r="D367" s="18"/>
      <c r="E367" s="8"/>
      <c r="F367" s="8"/>
      <c r="G367" s="8"/>
      <c r="H367" s="8"/>
      <c r="I367" s="76"/>
    </row>
    <row r="368">
      <c r="A368" s="8"/>
      <c r="B368" s="8"/>
      <c r="C368" s="18"/>
      <c r="D368" s="18"/>
      <c r="E368" s="8"/>
      <c r="F368" s="8"/>
      <c r="G368" s="8"/>
      <c r="H368" s="8"/>
      <c r="I368" s="76"/>
    </row>
    <row r="369">
      <c r="A369" s="8"/>
      <c r="B369" s="8"/>
      <c r="C369" s="18"/>
      <c r="D369" s="18"/>
      <c r="E369" s="8"/>
      <c r="F369" s="8"/>
      <c r="G369" s="8"/>
      <c r="H369" s="8"/>
      <c r="I369" s="76"/>
    </row>
    <row r="370">
      <c r="A370" s="8"/>
      <c r="B370" s="8"/>
      <c r="C370" s="18"/>
      <c r="D370" s="18"/>
      <c r="E370" s="8"/>
      <c r="F370" s="8"/>
      <c r="G370" s="8"/>
      <c r="H370" s="8"/>
      <c r="I370" s="76"/>
    </row>
    <row r="371">
      <c r="A371" s="8"/>
      <c r="B371" s="8"/>
      <c r="C371" s="18"/>
      <c r="D371" s="18"/>
      <c r="E371" s="8"/>
      <c r="F371" s="8"/>
      <c r="G371" s="8"/>
      <c r="H371" s="8"/>
      <c r="I371" s="76"/>
    </row>
    <row r="372">
      <c r="A372" s="8"/>
      <c r="B372" s="8"/>
      <c r="C372" s="18"/>
      <c r="D372" s="18"/>
      <c r="E372" s="8"/>
      <c r="F372" s="8"/>
      <c r="G372" s="8"/>
      <c r="H372" s="8"/>
      <c r="I372" s="76"/>
    </row>
    <row r="373">
      <c r="A373" s="8"/>
      <c r="B373" s="8"/>
      <c r="C373" s="18"/>
      <c r="D373" s="18"/>
      <c r="E373" s="8"/>
      <c r="F373" s="8"/>
      <c r="G373" s="8"/>
      <c r="H373" s="8"/>
      <c r="I373" s="76"/>
    </row>
    <row r="374">
      <c r="A374" s="8"/>
      <c r="B374" s="8"/>
      <c r="C374" s="18"/>
      <c r="D374" s="18"/>
      <c r="E374" s="8"/>
      <c r="F374" s="8"/>
      <c r="G374" s="8"/>
      <c r="H374" s="8"/>
      <c r="I374" s="76"/>
    </row>
    <row r="375">
      <c r="A375" s="8"/>
      <c r="B375" s="8"/>
      <c r="C375" s="18"/>
      <c r="D375" s="18"/>
      <c r="E375" s="8"/>
      <c r="F375" s="8"/>
      <c r="G375" s="8"/>
      <c r="H375" s="8"/>
      <c r="I375" s="76"/>
    </row>
    <row r="376">
      <c r="A376" s="8"/>
      <c r="B376" s="8"/>
      <c r="C376" s="18"/>
      <c r="D376" s="18"/>
      <c r="E376" s="8"/>
      <c r="F376" s="8"/>
      <c r="G376" s="8"/>
      <c r="H376" s="8"/>
      <c r="I376" s="76"/>
    </row>
    <row r="377">
      <c r="A377" s="8"/>
      <c r="B377" s="8"/>
      <c r="C377" s="18"/>
      <c r="D377" s="18"/>
      <c r="E377" s="8"/>
      <c r="F377" s="8"/>
      <c r="G377" s="8"/>
      <c r="H377" s="8"/>
      <c r="I377" s="76"/>
    </row>
    <row r="378">
      <c r="A378" s="8"/>
      <c r="B378" s="8"/>
      <c r="C378" s="18"/>
      <c r="D378" s="18"/>
      <c r="E378" s="8"/>
      <c r="F378" s="8"/>
      <c r="G378" s="8"/>
      <c r="H378" s="8"/>
      <c r="I378" s="76"/>
    </row>
    <row r="379">
      <c r="A379" s="8"/>
      <c r="B379" s="8"/>
      <c r="C379" s="18"/>
      <c r="D379" s="18"/>
      <c r="E379" s="8"/>
      <c r="F379" s="8"/>
      <c r="G379" s="8"/>
      <c r="H379" s="8"/>
      <c r="I379" s="76"/>
    </row>
    <row r="380">
      <c r="A380" s="8"/>
      <c r="B380" s="8"/>
      <c r="C380" s="18"/>
      <c r="D380" s="18"/>
      <c r="E380" s="8"/>
      <c r="F380" s="8"/>
      <c r="G380" s="8"/>
      <c r="H380" s="8"/>
      <c r="I380" s="76"/>
    </row>
    <row r="381">
      <c r="A381" s="8"/>
      <c r="B381" s="8"/>
      <c r="C381" s="18"/>
      <c r="D381" s="18"/>
      <c r="E381" s="8"/>
      <c r="F381" s="8"/>
      <c r="G381" s="8"/>
      <c r="H381" s="8"/>
      <c r="I381" s="76"/>
    </row>
    <row r="382">
      <c r="A382" s="8"/>
      <c r="B382" s="8"/>
      <c r="C382" s="18"/>
      <c r="D382" s="18"/>
      <c r="E382" s="8"/>
      <c r="F382" s="8"/>
      <c r="G382" s="8"/>
      <c r="H382" s="8"/>
      <c r="I382" s="76"/>
    </row>
    <row r="383">
      <c r="A383" s="8"/>
      <c r="B383" s="8"/>
      <c r="C383" s="18"/>
      <c r="D383" s="18"/>
      <c r="E383" s="8"/>
      <c r="F383" s="8"/>
      <c r="G383" s="8"/>
      <c r="H383" s="8"/>
      <c r="I383" s="76"/>
    </row>
    <row r="384">
      <c r="A384" s="8"/>
      <c r="B384" s="8"/>
      <c r="C384" s="18"/>
      <c r="D384" s="18"/>
      <c r="E384" s="8"/>
      <c r="F384" s="8"/>
      <c r="G384" s="8"/>
      <c r="H384" s="8"/>
      <c r="I384" s="76"/>
    </row>
    <row r="385">
      <c r="A385" s="8"/>
      <c r="B385" s="8"/>
      <c r="C385" s="18"/>
      <c r="D385" s="18"/>
      <c r="E385" s="8"/>
      <c r="F385" s="8"/>
      <c r="G385" s="8"/>
      <c r="H385" s="8"/>
      <c r="I385" s="76"/>
    </row>
    <row r="386">
      <c r="A386" s="8"/>
      <c r="B386" s="8"/>
      <c r="C386" s="18"/>
      <c r="D386" s="18"/>
      <c r="E386" s="8"/>
      <c r="F386" s="8"/>
      <c r="G386" s="8"/>
      <c r="H386" s="8"/>
      <c r="I386" s="76"/>
    </row>
    <row r="387">
      <c r="A387" s="8"/>
      <c r="B387" s="8"/>
      <c r="C387" s="18"/>
      <c r="D387" s="18"/>
      <c r="E387" s="8"/>
      <c r="F387" s="8"/>
      <c r="G387" s="8"/>
      <c r="H387" s="8"/>
      <c r="I387" s="76"/>
    </row>
    <row r="388">
      <c r="A388" s="8"/>
      <c r="B388" s="8"/>
      <c r="C388" s="18"/>
      <c r="D388" s="18"/>
      <c r="E388" s="8"/>
      <c r="F388" s="8"/>
      <c r="G388" s="8"/>
      <c r="H388" s="8"/>
      <c r="I388" s="76"/>
    </row>
    <row r="389">
      <c r="A389" s="8"/>
      <c r="B389" s="8"/>
      <c r="C389" s="18"/>
      <c r="D389" s="18"/>
      <c r="E389" s="8"/>
      <c r="F389" s="8"/>
      <c r="G389" s="8"/>
      <c r="H389" s="8"/>
      <c r="I389" s="76"/>
    </row>
    <row r="390">
      <c r="A390" s="8"/>
      <c r="B390" s="8"/>
      <c r="C390" s="18"/>
      <c r="D390" s="18"/>
      <c r="E390" s="8"/>
      <c r="F390" s="8"/>
      <c r="G390" s="8"/>
      <c r="H390" s="8"/>
      <c r="I390" s="76"/>
    </row>
    <row r="391">
      <c r="A391" s="8"/>
      <c r="B391" s="8"/>
      <c r="C391" s="18"/>
      <c r="D391" s="18"/>
      <c r="E391" s="8"/>
      <c r="F391" s="8"/>
      <c r="G391" s="8"/>
      <c r="H391" s="8"/>
      <c r="I391" s="76"/>
    </row>
    <row r="392">
      <c r="A392" s="8"/>
      <c r="B392" s="8"/>
      <c r="C392" s="18"/>
      <c r="D392" s="18"/>
      <c r="E392" s="8"/>
      <c r="F392" s="8"/>
      <c r="G392" s="8"/>
      <c r="H392" s="8"/>
      <c r="I392" s="76"/>
    </row>
    <row r="393">
      <c r="A393" s="8"/>
      <c r="B393" s="8"/>
      <c r="C393" s="18"/>
      <c r="D393" s="18"/>
      <c r="E393" s="8"/>
      <c r="F393" s="8"/>
      <c r="G393" s="8"/>
      <c r="H393" s="8"/>
      <c r="I393" s="76"/>
    </row>
    <row r="394">
      <c r="A394" s="8"/>
      <c r="B394" s="8"/>
      <c r="C394" s="18"/>
      <c r="D394" s="18"/>
      <c r="E394" s="8"/>
      <c r="F394" s="8"/>
      <c r="G394" s="8"/>
      <c r="H394" s="8"/>
      <c r="I394" s="76"/>
    </row>
    <row r="395">
      <c r="A395" s="8"/>
      <c r="B395" s="8"/>
      <c r="C395" s="18"/>
      <c r="D395" s="18"/>
      <c r="E395" s="8"/>
      <c r="F395" s="8"/>
      <c r="G395" s="8"/>
      <c r="H395" s="8"/>
      <c r="I395" s="76"/>
    </row>
    <row r="396">
      <c r="A396" s="8"/>
      <c r="B396" s="8"/>
      <c r="C396" s="18"/>
      <c r="D396" s="18"/>
      <c r="E396" s="8"/>
      <c r="F396" s="8"/>
      <c r="G396" s="8"/>
      <c r="H396" s="8"/>
      <c r="I396" s="76"/>
    </row>
    <row r="397">
      <c r="A397" s="8"/>
      <c r="B397" s="8"/>
      <c r="C397" s="18"/>
      <c r="D397" s="18"/>
      <c r="E397" s="8"/>
      <c r="F397" s="8"/>
      <c r="G397" s="8"/>
      <c r="H397" s="8"/>
      <c r="I397" s="76"/>
    </row>
    <row r="398">
      <c r="A398" s="8"/>
      <c r="B398" s="8"/>
      <c r="C398" s="18"/>
      <c r="D398" s="18"/>
      <c r="E398" s="8"/>
      <c r="F398" s="8"/>
      <c r="G398" s="8"/>
      <c r="H398" s="8"/>
      <c r="I398" s="76"/>
    </row>
    <row r="399">
      <c r="A399" s="8"/>
      <c r="B399" s="8"/>
      <c r="C399" s="18"/>
      <c r="D399" s="18"/>
      <c r="E399" s="8"/>
      <c r="F399" s="8"/>
      <c r="G399" s="8"/>
      <c r="H399" s="8"/>
      <c r="I399" s="76"/>
    </row>
    <row r="400">
      <c r="A400" s="8"/>
      <c r="B400" s="8"/>
      <c r="C400" s="18"/>
      <c r="D400" s="18"/>
      <c r="E400" s="8"/>
      <c r="F400" s="8"/>
      <c r="G400" s="8"/>
      <c r="H400" s="8"/>
      <c r="I400" s="76"/>
    </row>
    <row r="401">
      <c r="A401" s="8"/>
      <c r="B401" s="8"/>
      <c r="C401" s="18"/>
      <c r="D401" s="18"/>
      <c r="E401" s="8"/>
      <c r="F401" s="8"/>
      <c r="G401" s="8"/>
      <c r="H401" s="8"/>
      <c r="I401" s="76"/>
    </row>
    <row r="402">
      <c r="A402" s="8"/>
      <c r="B402" s="8"/>
      <c r="C402" s="18"/>
      <c r="D402" s="18"/>
      <c r="E402" s="8"/>
      <c r="F402" s="8"/>
      <c r="G402" s="8"/>
      <c r="H402" s="8"/>
      <c r="I402" s="76"/>
    </row>
    <row r="403">
      <c r="A403" s="8"/>
      <c r="B403" s="8"/>
      <c r="C403" s="18"/>
      <c r="D403" s="18"/>
      <c r="E403" s="8"/>
      <c r="F403" s="8"/>
      <c r="G403" s="8"/>
      <c r="H403" s="8"/>
      <c r="I403" s="76"/>
    </row>
    <row r="404">
      <c r="A404" s="8"/>
      <c r="B404" s="8"/>
      <c r="C404" s="18"/>
      <c r="D404" s="18"/>
      <c r="E404" s="8"/>
      <c r="F404" s="8"/>
      <c r="G404" s="8"/>
      <c r="H404" s="8"/>
      <c r="I404" s="76"/>
    </row>
    <row r="405">
      <c r="A405" s="8"/>
      <c r="B405" s="8"/>
      <c r="C405" s="18"/>
      <c r="D405" s="18"/>
      <c r="E405" s="8"/>
      <c r="F405" s="8"/>
      <c r="G405" s="8"/>
      <c r="H405" s="8"/>
      <c r="I405" s="76"/>
    </row>
    <row r="406">
      <c r="A406" s="8"/>
      <c r="B406" s="8"/>
      <c r="C406" s="18"/>
      <c r="D406" s="18"/>
      <c r="E406" s="8"/>
      <c r="F406" s="8"/>
      <c r="G406" s="8"/>
      <c r="H406" s="8"/>
      <c r="I406" s="76"/>
    </row>
    <row r="407">
      <c r="A407" s="8"/>
      <c r="B407" s="8"/>
      <c r="C407" s="18"/>
      <c r="D407" s="18"/>
      <c r="E407" s="8"/>
      <c r="F407" s="8"/>
      <c r="G407" s="8"/>
      <c r="H407" s="8"/>
      <c r="I407" s="76"/>
    </row>
    <row r="408">
      <c r="A408" s="8"/>
      <c r="B408" s="8"/>
      <c r="C408" s="18"/>
      <c r="D408" s="18"/>
      <c r="E408" s="8"/>
      <c r="F408" s="8"/>
      <c r="G408" s="8"/>
      <c r="H408" s="8"/>
      <c r="I408" s="76"/>
    </row>
    <row r="409">
      <c r="A409" s="8"/>
      <c r="B409" s="8"/>
      <c r="C409" s="18"/>
      <c r="D409" s="18"/>
      <c r="E409" s="8"/>
      <c r="F409" s="8"/>
      <c r="G409" s="8"/>
      <c r="H409" s="8"/>
      <c r="I409" s="76"/>
    </row>
    <row r="410">
      <c r="A410" s="8"/>
      <c r="B410" s="8"/>
      <c r="C410" s="18"/>
      <c r="D410" s="18"/>
      <c r="E410" s="8"/>
      <c r="F410" s="8"/>
      <c r="G410" s="8"/>
      <c r="H410" s="8"/>
      <c r="I410" s="76"/>
    </row>
    <row r="411">
      <c r="A411" s="8"/>
      <c r="B411" s="8"/>
      <c r="C411" s="18"/>
      <c r="D411" s="18"/>
      <c r="E411" s="8"/>
      <c r="F411" s="8"/>
      <c r="G411" s="8"/>
      <c r="H411" s="8"/>
      <c r="I411" s="76"/>
    </row>
    <row r="412">
      <c r="A412" s="8"/>
      <c r="B412" s="8"/>
      <c r="C412" s="18"/>
      <c r="D412" s="18"/>
      <c r="E412" s="8"/>
      <c r="F412" s="8"/>
      <c r="G412" s="8"/>
      <c r="H412" s="8"/>
      <c r="I412" s="76"/>
    </row>
    <row r="413">
      <c r="A413" s="8"/>
      <c r="B413" s="8"/>
      <c r="C413" s="18"/>
      <c r="D413" s="18"/>
      <c r="E413" s="8"/>
      <c r="F413" s="8"/>
      <c r="G413" s="8"/>
      <c r="H413" s="8"/>
      <c r="I413" s="76"/>
    </row>
    <row r="414">
      <c r="A414" s="8"/>
      <c r="B414" s="8"/>
      <c r="C414" s="18"/>
      <c r="D414" s="18"/>
      <c r="E414" s="8"/>
      <c r="F414" s="8"/>
      <c r="G414" s="8"/>
      <c r="H414" s="8"/>
      <c r="I414" s="76"/>
    </row>
    <row r="415">
      <c r="A415" s="8"/>
      <c r="B415" s="8"/>
      <c r="C415" s="18"/>
      <c r="D415" s="18"/>
      <c r="E415" s="8"/>
      <c r="F415" s="8"/>
      <c r="G415" s="8"/>
      <c r="H415" s="8"/>
      <c r="I415" s="76"/>
    </row>
    <row r="416">
      <c r="A416" s="8"/>
      <c r="B416" s="8"/>
      <c r="C416" s="18"/>
      <c r="D416" s="18"/>
      <c r="E416" s="8"/>
      <c r="F416" s="8"/>
      <c r="G416" s="8"/>
      <c r="H416" s="8"/>
      <c r="I416" s="76"/>
    </row>
    <row r="417">
      <c r="A417" s="8"/>
      <c r="B417" s="8"/>
      <c r="C417" s="18"/>
      <c r="D417" s="18"/>
      <c r="E417" s="8"/>
      <c r="F417" s="8"/>
      <c r="G417" s="8"/>
      <c r="H417" s="8"/>
      <c r="I417" s="76"/>
    </row>
    <row r="418">
      <c r="A418" s="8"/>
      <c r="B418" s="8"/>
      <c r="C418" s="18"/>
      <c r="D418" s="18"/>
      <c r="E418" s="8"/>
      <c r="F418" s="8"/>
      <c r="G418" s="8"/>
      <c r="H418" s="8"/>
      <c r="I418" s="76"/>
    </row>
    <row r="419">
      <c r="A419" s="8"/>
      <c r="B419" s="8"/>
      <c r="C419" s="18"/>
      <c r="D419" s="18"/>
      <c r="E419" s="8"/>
      <c r="F419" s="8"/>
      <c r="G419" s="8"/>
      <c r="H419" s="8"/>
      <c r="I419" s="76"/>
    </row>
    <row r="420">
      <c r="A420" s="8"/>
      <c r="B420" s="8"/>
      <c r="C420" s="18"/>
      <c r="D420" s="18"/>
      <c r="E420" s="8"/>
      <c r="F420" s="8"/>
      <c r="G420" s="8"/>
      <c r="H420" s="8"/>
      <c r="I420" s="76"/>
    </row>
    <row r="421">
      <c r="A421" s="8"/>
      <c r="B421" s="8"/>
      <c r="C421" s="18"/>
      <c r="D421" s="18"/>
      <c r="E421" s="8"/>
      <c r="F421" s="8"/>
      <c r="G421" s="8"/>
      <c r="H421" s="8"/>
      <c r="I421" s="76"/>
    </row>
    <row r="422">
      <c r="A422" s="8"/>
      <c r="B422" s="8"/>
      <c r="C422" s="18"/>
      <c r="D422" s="18"/>
      <c r="E422" s="8"/>
      <c r="F422" s="8"/>
      <c r="G422" s="8"/>
      <c r="H422" s="8"/>
      <c r="I422" s="76"/>
    </row>
    <row r="423">
      <c r="A423" s="8"/>
      <c r="B423" s="8"/>
      <c r="C423" s="18"/>
      <c r="D423" s="18"/>
      <c r="E423" s="8"/>
      <c r="F423" s="8"/>
      <c r="G423" s="8"/>
      <c r="H423" s="8"/>
      <c r="I423" s="76"/>
    </row>
    <row r="424">
      <c r="A424" s="8"/>
      <c r="B424" s="8"/>
      <c r="C424" s="18"/>
      <c r="D424" s="18"/>
      <c r="E424" s="8"/>
      <c r="F424" s="8"/>
      <c r="G424" s="8"/>
      <c r="H424" s="8"/>
      <c r="I424" s="76"/>
    </row>
    <row r="425">
      <c r="A425" s="8"/>
      <c r="B425" s="8"/>
      <c r="C425" s="18"/>
      <c r="D425" s="18"/>
      <c r="E425" s="8"/>
      <c r="F425" s="8"/>
      <c r="G425" s="8"/>
      <c r="H425" s="8"/>
      <c r="I425" s="76"/>
    </row>
    <row r="426">
      <c r="A426" s="8"/>
      <c r="B426" s="8"/>
      <c r="C426" s="18"/>
      <c r="D426" s="18"/>
      <c r="E426" s="8"/>
      <c r="F426" s="8"/>
      <c r="G426" s="8"/>
      <c r="H426" s="8"/>
      <c r="I426" s="76"/>
    </row>
    <row r="427">
      <c r="A427" s="8"/>
      <c r="B427" s="8"/>
      <c r="C427" s="18"/>
      <c r="D427" s="18"/>
      <c r="E427" s="8"/>
      <c r="F427" s="8"/>
      <c r="G427" s="8"/>
      <c r="H427" s="8"/>
      <c r="I427" s="76"/>
    </row>
    <row r="428">
      <c r="A428" s="8"/>
      <c r="B428" s="8"/>
      <c r="C428" s="18"/>
      <c r="D428" s="18"/>
      <c r="E428" s="8"/>
      <c r="F428" s="8"/>
      <c r="G428" s="8"/>
      <c r="H428" s="8"/>
      <c r="I428" s="76"/>
    </row>
    <row r="429">
      <c r="A429" s="8"/>
      <c r="B429" s="8"/>
      <c r="C429" s="18"/>
      <c r="D429" s="18"/>
      <c r="E429" s="8"/>
      <c r="F429" s="8"/>
      <c r="G429" s="8"/>
      <c r="H429" s="8"/>
      <c r="I429" s="76"/>
    </row>
    <row r="430">
      <c r="A430" s="8"/>
      <c r="B430" s="8"/>
      <c r="C430" s="18"/>
      <c r="D430" s="18"/>
      <c r="E430" s="8"/>
      <c r="F430" s="8"/>
      <c r="G430" s="8"/>
      <c r="H430" s="8"/>
      <c r="I430" s="76"/>
    </row>
    <row r="431">
      <c r="A431" s="8"/>
      <c r="B431" s="8"/>
      <c r="C431" s="18"/>
      <c r="D431" s="18"/>
      <c r="E431" s="8"/>
      <c r="F431" s="8"/>
      <c r="G431" s="8"/>
      <c r="H431" s="8"/>
      <c r="I431" s="76"/>
    </row>
    <row r="432">
      <c r="A432" s="8"/>
      <c r="B432" s="8"/>
      <c r="C432" s="18"/>
      <c r="D432" s="18"/>
      <c r="E432" s="8"/>
      <c r="F432" s="8"/>
      <c r="G432" s="8"/>
      <c r="H432" s="8"/>
      <c r="I432" s="76"/>
    </row>
    <row r="433">
      <c r="A433" s="8"/>
      <c r="B433" s="8"/>
      <c r="C433" s="18"/>
      <c r="D433" s="18"/>
      <c r="E433" s="8"/>
      <c r="F433" s="8"/>
      <c r="G433" s="8"/>
      <c r="H433" s="8"/>
      <c r="I433" s="76"/>
    </row>
    <row r="434">
      <c r="A434" s="8"/>
      <c r="B434" s="8"/>
      <c r="C434" s="18"/>
      <c r="D434" s="18"/>
      <c r="E434" s="8"/>
      <c r="F434" s="8"/>
      <c r="G434" s="8"/>
      <c r="H434" s="8"/>
      <c r="I434" s="76"/>
    </row>
    <row r="435">
      <c r="A435" s="8"/>
      <c r="B435" s="8"/>
      <c r="C435" s="18"/>
      <c r="D435" s="18"/>
      <c r="E435" s="8"/>
      <c r="F435" s="8"/>
      <c r="G435" s="8"/>
      <c r="H435" s="8"/>
      <c r="I435" s="76"/>
    </row>
    <row r="436">
      <c r="A436" s="8"/>
      <c r="B436" s="8"/>
      <c r="C436" s="18"/>
      <c r="D436" s="18"/>
      <c r="E436" s="8"/>
      <c r="F436" s="8"/>
      <c r="G436" s="8"/>
      <c r="H436" s="8"/>
      <c r="I436" s="76"/>
    </row>
    <row r="437">
      <c r="A437" s="8"/>
      <c r="B437" s="8"/>
      <c r="C437" s="18"/>
      <c r="D437" s="18"/>
      <c r="E437" s="8"/>
      <c r="F437" s="8"/>
      <c r="G437" s="8"/>
      <c r="H437" s="8"/>
      <c r="I437" s="76"/>
    </row>
    <row r="438">
      <c r="A438" s="8"/>
      <c r="B438" s="8"/>
      <c r="C438" s="18"/>
      <c r="D438" s="18"/>
      <c r="E438" s="8"/>
      <c r="F438" s="8"/>
      <c r="G438" s="8"/>
      <c r="H438" s="8"/>
      <c r="I438" s="76"/>
    </row>
    <row r="439">
      <c r="A439" s="8"/>
      <c r="B439" s="8"/>
      <c r="C439" s="18"/>
      <c r="D439" s="18"/>
      <c r="E439" s="8"/>
      <c r="F439" s="8"/>
      <c r="G439" s="8"/>
      <c r="H439" s="8"/>
      <c r="I439" s="76"/>
    </row>
    <row r="440">
      <c r="A440" s="8"/>
      <c r="B440" s="8"/>
      <c r="C440" s="18"/>
      <c r="D440" s="18"/>
      <c r="E440" s="8"/>
      <c r="F440" s="8"/>
      <c r="G440" s="8"/>
      <c r="H440" s="8"/>
      <c r="I440" s="76"/>
    </row>
    <row r="441">
      <c r="A441" s="8"/>
      <c r="B441" s="8"/>
      <c r="C441" s="18"/>
      <c r="D441" s="18"/>
      <c r="E441" s="8"/>
      <c r="F441" s="8"/>
      <c r="G441" s="8"/>
      <c r="H441" s="8"/>
      <c r="I441" s="76"/>
    </row>
    <row r="442">
      <c r="A442" s="8"/>
      <c r="B442" s="8"/>
      <c r="C442" s="18"/>
      <c r="D442" s="18"/>
      <c r="E442" s="8"/>
      <c r="F442" s="8"/>
      <c r="G442" s="8"/>
      <c r="H442" s="8"/>
      <c r="I442" s="76"/>
    </row>
    <row r="443">
      <c r="A443" s="8"/>
      <c r="B443" s="8"/>
      <c r="C443" s="18"/>
      <c r="D443" s="18"/>
      <c r="E443" s="8"/>
      <c r="F443" s="8"/>
      <c r="G443" s="8"/>
      <c r="H443" s="8"/>
      <c r="I443" s="76"/>
    </row>
    <row r="444">
      <c r="A444" s="8"/>
      <c r="B444" s="8"/>
      <c r="C444" s="18"/>
      <c r="D444" s="18"/>
      <c r="E444" s="8"/>
      <c r="F444" s="8"/>
      <c r="G444" s="8"/>
      <c r="H444" s="8"/>
      <c r="I444" s="76"/>
    </row>
    <row r="445">
      <c r="A445" s="8"/>
      <c r="B445" s="8"/>
      <c r="C445" s="18"/>
      <c r="D445" s="18"/>
      <c r="E445" s="8"/>
      <c r="F445" s="8"/>
      <c r="G445" s="8"/>
      <c r="H445" s="8"/>
      <c r="I445" s="76"/>
    </row>
    <row r="446">
      <c r="A446" s="8"/>
      <c r="B446" s="8"/>
      <c r="C446" s="18"/>
      <c r="D446" s="18"/>
      <c r="E446" s="8"/>
      <c r="F446" s="8"/>
      <c r="G446" s="8"/>
      <c r="H446" s="8"/>
      <c r="I446" s="76"/>
    </row>
    <row r="447">
      <c r="A447" s="8"/>
      <c r="B447" s="8"/>
      <c r="C447" s="18"/>
      <c r="D447" s="18"/>
      <c r="E447" s="8"/>
      <c r="F447" s="8"/>
      <c r="G447" s="8"/>
      <c r="H447" s="8"/>
      <c r="I447" s="76"/>
    </row>
    <row r="448">
      <c r="A448" s="8"/>
      <c r="B448" s="8"/>
      <c r="C448" s="18"/>
      <c r="D448" s="18"/>
      <c r="E448" s="8"/>
      <c r="F448" s="8"/>
      <c r="G448" s="8"/>
      <c r="H448" s="8"/>
      <c r="I448" s="76"/>
    </row>
    <row r="449">
      <c r="A449" s="8"/>
      <c r="B449" s="8"/>
      <c r="C449" s="18"/>
      <c r="D449" s="18"/>
      <c r="E449" s="8"/>
      <c r="F449" s="8"/>
      <c r="G449" s="8"/>
      <c r="H449" s="8"/>
      <c r="I449" s="76"/>
    </row>
    <row r="450">
      <c r="A450" s="8"/>
      <c r="B450" s="8"/>
      <c r="C450" s="18"/>
      <c r="D450" s="18"/>
      <c r="E450" s="8"/>
      <c r="F450" s="8"/>
      <c r="G450" s="8"/>
      <c r="H450" s="8"/>
      <c r="I450" s="76"/>
    </row>
    <row r="451">
      <c r="A451" s="8"/>
      <c r="B451" s="8"/>
      <c r="C451" s="18"/>
      <c r="D451" s="18"/>
      <c r="E451" s="8"/>
      <c r="F451" s="8"/>
      <c r="G451" s="8"/>
      <c r="H451" s="8"/>
      <c r="I451" s="76"/>
    </row>
    <row r="452">
      <c r="A452" s="8"/>
      <c r="B452" s="8"/>
      <c r="C452" s="18"/>
      <c r="D452" s="18"/>
      <c r="E452" s="8"/>
      <c r="F452" s="8"/>
      <c r="G452" s="8"/>
      <c r="H452" s="8"/>
      <c r="I452" s="76"/>
    </row>
    <row r="453">
      <c r="A453" s="8"/>
      <c r="B453" s="8"/>
      <c r="C453" s="18"/>
      <c r="D453" s="18"/>
      <c r="E453" s="8"/>
      <c r="F453" s="8"/>
      <c r="G453" s="8"/>
      <c r="H453" s="8"/>
      <c r="I453" s="76"/>
    </row>
    <row r="454">
      <c r="A454" s="8"/>
      <c r="B454" s="8"/>
      <c r="C454" s="18"/>
      <c r="D454" s="18"/>
      <c r="E454" s="8"/>
      <c r="F454" s="8"/>
      <c r="G454" s="8"/>
      <c r="H454" s="8"/>
      <c r="I454" s="76"/>
    </row>
    <row r="455">
      <c r="A455" s="8"/>
      <c r="B455" s="8"/>
      <c r="C455" s="18"/>
      <c r="D455" s="18"/>
      <c r="E455" s="8"/>
      <c r="F455" s="8"/>
      <c r="G455" s="8"/>
      <c r="H455" s="8"/>
      <c r="I455" s="76"/>
    </row>
    <row r="456">
      <c r="A456" s="8"/>
      <c r="B456" s="8"/>
      <c r="C456" s="18"/>
      <c r="D456" s="18"/>
      <c r="E456" s="8"/>
      <c r="F456" s="8"/>
      <c r="G456" s="8"/>
      <c r="H456" s="8"/>
      <c r="I456" s="76"/>
    </row>
    <row r="457">
      <c r="A457" s="8"/>
      <c r="B457" s="8"/>
      <c r="C457" s="18"/>
      <c r="D457" s="18"/>
      <c r="E457" s="8"/>
      <c r="F457" s="8"/>
      <c r="G457" s="8"/>
      <c r="H457" s="8"/>
      <c r="I457" s="76"/>
    </row>
    <row r="458">
      <c r="A458" s="8"/>
      <c r="B458" s="8"/>
      <c r="C458" s="18"/>
      <c r="D458" s="18"/>
      <c r="E458" s="8"/>
      <c r="F458" s="8"/>
      <c r="G458" s="8"/>
      <c r="H458" s="8"/>
      <c r="I458" s="76"/>
    </row>
    <row r="459">
      <c r="A459" s="8"/>
      <c r="B459" s="8"/>
      <c r="C459" s="18"/>
      <c r="D459" s="18"/>
      <c r="E459" s="8"/>
      <c r="F459" s="8"/>
      <c r="G459" s="8"/>
      <c r="H459" s="8"/>
      <c r="I459" s="76"/>
    </row>
    <row r="460">
      <c r="A460" s="8"/>
      <c r="B460" s="8"/>
      <c r="C460" s="18"/>
      <c r="D460" s="18"/>
      <c r="E460" s="8"/>
      <c r="F460" s="8"/>
      <c r="G460" s="8"/>
      <c r="H460" s="8"/>
      <c r="I460" s="76"/>
    </row>
    <row r="461">
      <c r="A461" s="8"/>
      <c r="B461" s="8"/>
      <c r="C461" s="18"/>
      <c r="D461" s="18"/>
      <c r="E461" s="8"/>
      <c r="F461" s="8"/>
      <c r="G461" s="8"/>
      <c r="H461" s="8"/>
      <c r="I461" s="76"/>
    </row>
    <row r="462">
      <c r="A462" s="8"/>
      <c r="B462" s="8"/>
      <c r="C462" s="18"/>
      <c r="D462" s="18"/>
      <c r="E462" s="8"/>
      <c r="F462" s="8"/>
      <c r="G462" s="8"/>
      <c r="H462" s="8"/>
      <c r="I462" s="76"/>
    </row>
    <row r="463">
      <c r="A463" s="8"/>
      <c r="B463" s="8"/>
      <c r="C463" s="18"/>
      <c r="D463" s="18"/>
      <c r="E463" s="8"/>
      <c r="F463" s="8"/>
      <c r="G463" s="8"/>
      <c r="H463" s="8"/>
      <c r="I463" s="76"/>
    </row>
    <row r="464">
      <c r="A464" s="8"/>
      <c r="B464" s="8"/>
      <c r="C464" s="18"/>
      <c r="D464" s="18"/>
      <c r="E464" s="8"/>
      <c r="F464" s="8"/>
      <c r="G464" s="8"/>
      <c r="H464" s="8"/>
      <c r="I464" s="76"/>
    </row>
    <row r="465">
      <c r="A465" s="8"/>
      <c r="B465" s="8"/>
      <c r="C465" s="18"/>
      <c r="D465" s="18"/>
      <c r="E465" s="8"/>
      <c r="F465" s="8"/>
      <c r="G465" s="8"/>
      <c r="H465" s="8"/>
      <c r="I465" s="76"/>
    </row>
    <row r="466">
      <c r="A466" s="8"/>
      <c r="B466" s="8"/>
      <c r="C466" s="18"/>
      <c r="D466" s="18"/>
      <c r="E466" s="8"/>
      <c r="F466" s="8"/>
      <c r="G466" s="8"/>
      <c r="H466" s="8"/>
      <c r="I466" s="76"/>
    </row>
    <row r="467">
      <c r="A467" s="8"/>
      <c r="B467" s="8"/>
      <c r="C467" s="18"/>
      <c r="D467" s="18"/>
      <c r="E467" s="8"/>
      <c r="F467" s="8"/>
      <c r="G467" s="8"/>
      <c r="H467" s="8"/>
      <c r="I467" s="76"/>
    </row>
    <row r="468">
      <c r="A468" s="8"/>
      <c r="B468" s="8"/>
      <c r="C468" s="18"/>
      <c r="D468" s="18"/>
      <c r="E468" s="8"/>
      <c r="F468" s="8"/>
      <c r="G468" s="8"/>
      <c r="H468" s="8"/>
      <c r="I468" s="76"/>
    </row>
    <row r="469">
      <c r="A469" s="8"/>
      <c r="B469" s="8"/>
      <c r="C469" s="18"/>
      <c r="D469" s="18"/>
      <c r="E469" s="8"/>
      <c r="F469" s="8"/>
      <c r="G469" s="8"/>
      <c r="H469" s="8"/>
      <c r="I469" s="76"/>
    </row>
    <row r="470">
      <c r="A470" s="8"/>
      <c r="B470" s="8"/>
      <c r="C470" s="18"/>
      <c r="D470" s="18"/>
      <c r="E470" s="8"/>
      <c r="F470" s="8"/>
      <c r="G470" s="8"/>
      <c r="H470" s="8"/>
      <c r="I470" s="76"/>
    </row>
    <row r="471">
      <c r="A471" s="8"/>
      <c r="B471" s="8"/>
      <c r="C471" s="18"/>
      <c r="D471" s="18"/>
      <c r="E471" s="8"/>
      <c r="F471" s="8"/>
      <c r="G471" s="8"/>
      <c r="H471" s="8"/>
      <c r="I471" s="76"/>
    </row>
    <row r="472">
      <c r="A472" s="8"/>
      <c r="B472" s="8"/>
      <c r="C472" s="18"/>
      <c r="D472" s="18"/>
      <c r="E472" s="8"/>
      <c r="F472" s="8"/>
      <c r="G472" s="8"/>
      <c r="H472" s="8"/>
      <c r="I472" s="76"/>
    </row>
    <row r="473">
      <c r="A473" s="8"/>
      <c r="B473" s="8"/>
      <c r="C473" s="18"/>
      <c r="D473" s="18"/>
      <c r="E473" s="8"/>
      <c r="F473" s="8"/>
      <c r="G473" s="8"/>
      <c r="H473" s="8"/>
      <c r="I473" s="76"/>
    </row>
    <row r="474">
      <c r="A474" s="8"/>
      <c r="B474" s="8"/>
      <c r="C474" s="18"/>
      <c r="D474" s="18"/>
      <c r="E474" s="8"/>
      <c r="F474" s="8"/>
      <c r="G474" s="8"/>
      <c r="H474" s="8"/>
      <c r="I474" s="76"/>
    </row>
    <row r="475">
      <c r="A475" s="8"/>
      <c r="B475" s="8"/>
      <c r="C475" s="18"/>
      <c r="D475" s="18"/>
      <c r="E475" s="8"/>
      <c r="F475" s="8"/>
      <c r="G475" s="8"/>
      <c r="H475" s="8"/>
      <c r="I475" s="76"/>
    </row>
    <row r="476">
      <c r="A476" s="8"/>
      <c r="B476" s="8"/>
      <c r="C476" s="18"/>
      <c r="D476" s="18"/>
      <c r="E476" s="8"/>
      <c r="F476" s="8"/>
      <c r="G476" s="8"/>
      <c r="H476" s="8"/>
      <c r="I476" s="76"/>
    </row>
    <row r="477">
      <c r="A477" s="8"/>
      <c r="B477" s="8"/>
      <c r="C477" s="18"/>
      <c r="D477" s="18"/>
      <c r="E477" s="8"/>
      <c r="F477" s="8"/>
      <c r="G477" s="8"/>
      <c r="H477" s="8"/>
      <c r="I477" s="76"/>
    </row>
    <row r="478">
      <c r="A478" s="8"/>
      <c r="B478" s="8"/>
      <c r="C478" s="18"/>
      <c r="D478" s="18"/>
      <c r="E478" s="8"/>
      <c r="F478" s="8"/>
      <c r="G478" s="8"/>
      <c r="H478" s="8"/>
      <c r="I478" s="76"/>
    </row>
    <row r="479">
      <c r="A479" s="8"/>
      <c r="B479" s="8"/>
      <c r="C479" s="18"/>
      <c r="D479" s="18"/>
      <c r="E479" s="8"/>
      <c r="F479" s="8"/>
      <c r="G479" s="8"/>
      <c r="H479" s="8"/>
      <c r="I479" s="76"/>
    </row>
    <row r="480">
      <c r="A480" s="8"/>
      <c r="B480" s="8"/>
      <c r="C480" s="18"/>
      <c r="D480" s="18"/>
      <c r="E480" s="8"/>
      <c r="F480" s="8"/>
      <c r="G480" s="8"/>
      <c r="H480" s="8"/>
      <c r="I480" s="76"/>
    </row>
    <row r="481">
      <c r="A481" s="8"/>
      <c r="B481" s="8"/>
      <c r="C481" s="18"/>
      <c r="D481" s="18"/>
      <c r="E481" s="8"/>
      <c r="F481" s="8"/>
      <c r="G481" s="8"/>
      <c r="H481" s="8"/>
      <c r="I481" s="76"/>
    </row>
    <row r="482">
      <c r="A482" s="8"/>
      <c r="B482" s="8"/>
      <c r="C482" s="18"/>
      <c r="D482" s="18"/>
      <c r="E482" s="8"/>
      <c r="F482" s="8"/>
      <c r="G482" s="8"/>
      <c r="H482" s="8"/>
      <c r="I482" s="76"/>
    </row>
    <row r="483">
      <c r="A483" s="8"/>
      <c r="B483" s="8"/>
      <c r="C483" s="18"/>
      <c r="D483" s="18"/>
      <c r="E483" s="8"/>
      <c r="F483" s="8"/>
      <c r="G483" s="8"/>
      <c r="H483" s="8"/>
      <c r="I483" s="76"/>
    </row>
    <row r="484">
      <c r="A484" s="8"/>
      <c r="B484" s="8"/>
      <c r="C484" s="18"/>
      <c r="D484" s="18"/>
      <c r="E484" s="8"/>
      <c r="F484" s="8"/>
      <c r="G484" s="8"/>
      <c r="H484" s="8"/>
      <c r="I484" s="76"/>
    </row>
    <row r="485">
      <c r="A485" s="8"/>
      <c r="B485" s="8"/>
      <c r="C485" s="18"/>
      <c r="D485" s="18"/>
      <c r="E485" s="8"/>
      <c r="F485" s="8"/>
      <c r="G485" s="8"/>
      <c r="H485" s="8"/>
      <c r="I485" s="76"/>
    </row>
    <row r="486">
      <c r="A486" s="8"/>
      <c r="B486" s="8"/>
      <c r="C486" s="18"/>
      <c r="D486" s="18"/>
      <c r="E486" s="8"/>
      <c r="F486" s="8"/>
      <c r="G486" s="8"/>
      <c r="H486" s="8"/>
      <c r="I486" s="76"/>
    </row>
    <row r="487">
      <c r="A487" s="8"/>
      <c r="B487" s="8"/>
      <c r="C487" s="18"/>
      <c r="D487" s="18"/>
      <c r="E487" s="8"/>
      <c r="F487" s="8"/>
      <c r="G487" s="8"/>
      <c r="H487" s="8"/>
      <c r="I487" s="76"/>
    </row>
    <row r="488">
      <c r="A488" s="8"/>
      <c r="B488" s="8"/>
      <c r="C488" s="18"/>
      <c r="D488" s="18"/>
      <c r="E488" s="8"/>
      <c r="F488" s="8"/>
      <c r="G488" s="8"/>
      <c r="H488" s="8"/>
      <c r="I488" s="76"/>
    </row>
    <row r="489">
      <c r="A489" s="8"/>
      <c r="B489" s="8"/>
      <c r="C489" s="18"/>
      <c r="D489" s="18"/>
      <c r="E489" s="8"/>
      <c r="F489" s="8"/>
      <c r="G489" s="8"/>
      <c r="H489" s="8"/>
      <c r="I489" s="76"/>
    </row>
    <row r="490">
      <c r="A490" s="8"/>
      <c r="B490" s="8"/>
      <c r="C490" s="18"/>
      <c r="D490" s="18"/>
      <c r="E490" s="8"/>
      <c r="F490" s="8"/>
      <c r="G490" s="8"/>
      <c r="H490" s="8"/>
      <c r="I490" s="76"/>
    </row>
    <row r="491">
      <c r="A491" s="8"/>
      <c r="B491" s="8"/>
      <c r="C491" s="18"/>
      <c r="D491" s="18"/>
      <c r="E491" s="8"/>
      <c r="F491" s="8"/>
      <c r="G491" s="8"/>
      <c r="H491" s="8"/>
      <c r="I491" s="76"/>
    </row>
    <row r="492">
      <c r="A492" s="8"/>
      <c r="B492" s="8"/>
      <c r="C492" s="18"/>
      <c r="D492" s="18"/>
      <c r="E492" s="8"/>
      <c r="F492" s="8"/>
      <c r="G492" s="8"/>
      <c r="H492" s="8"/>
      <c r="I492" s="76"/>
    </row>
    <row r="493">
      <c r="A493" s="8"/>
      <c r="B493" s="8"/>
      <c r="C493" s="18"/>
      <c r="D493" s="18"/>
      <c r="E493" s="8"/>
      <c r="F493" s="8"/>
      <c r="G493" s="8"/>
      <c r="H493" s="8"/>
      <c r="I493" s="76"/>
    </row>
    <row r="494">
      <c r="A494" s="8"/>
      <c r="B494" s="8"/>
      <c r="C494" s="18"/>
      <c r="D494" s="18"/>
      <c r="E494" s="8"/>
      <c r="F494" s="8"/>
      <c r="G494" s="8"/>
      <c r="H494" s="8"/>
      <c r="I494" s="76"/>
    </row>
    <row r="495">
      <c r="A495" s="8"/>
      <c r="B495" s="8"/>
      <c r="C495" s="18"/>
      <c r="D495" s="18"/>
      <c r="E495" s="8"/>
      <c r="F495" s="8"/>
      <c r="G495" s="8"/>
      <c r="H495" s="8"/>
      <c r="I495" s="76"/>
    </row>
    <row r="496">
      <c r="A496" s="8"/>
      <c r="B496" s="8"/>
      <c r="C496" s="18"/>
      <c r="D496" s="18"/>
      <c r="E496" s="8"/>
      <c r="F496" s="8"/>
      <c r="G496" s="8"/>
      <c r="H496" s="8"/>
      <c r="I496" s="76"/>
    </row>
    <row r="497">
      <c r="A497" s="8"/>
      <c r="B497" s="8"/>
      <c r="C497" s="18"/>
      <c r="D497" s="18"/>
      <c r="E497" s="8"/>
      <c r="F497" s="8"/>
      <c r="G497" s="8"/>
      <c r="H497" s="8"/>
      <c r="I497" s="76"/>
    </row>
    <row r="498">
      <c r="A498" s="8"/>
      <c r="B498" s="8"/>
      <c r="C498" s="18"/>
      <c r="D498" s="18"/>
      <c r="E498" s="8"/>
      <c r="F498" s="8"/>
      <c r="G498" s="8"/>
      <c r="H498" s="8"/>
      <c r="I498" s="76"/>
    </row>
    <row r="499">
      <c r="A499" s="8"/>
      <c r="B499" s="8"/>
      <c r="C499" s="18"/>
      <c r="D499" s="18"/>
      <c r="E499" s="8"/>
      <c r="F499" s="8"/>
      <c r="G499" s="8"/>
      <c r="H499" s="8"/>
      <c r="I499" s="76"/>
    </row>
    <row r="500">
      <c r="A500" s="8"/>
      <c r="B500" s="8"/>
      <c r="C500" s="18"/>
      <c r="D500" s="18"/>
      <c r="E500" s="8"/>
      <c r="F500" s="8"/>
      <c r="G500" s="8"/>
      <c r="H500" s="8"/>
      <c r="I500" s="76"/>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0.88"/>
    <col customWidth="1" min="3" max="3" width="16.38"/>
    <col customWidth="1" min="4" max="4" width="12.63"/>
    <col customWidth="1" min="5" max="5" width="21.25"/>
    <col customWidth="1" min="6" max="6" width="31.38"/>
    <col customWidth="1" min="7" max="7" width="23.88"/>
    <col customWidth="1" min="8" max="8" width="20.75"/>
    <col customWidth="1" min="9" max="9" width="31.38"/>
    <col customWidth="1" min="10" max="25" width="12.63"/>
    <col customWidth="1" hidden="1" min="26" max="26" width="12.63"/>
  </cols>
  <sheetData>
    <row r="1">
      <c r="A1" s="1" t="str">
        <f>IFERROR(__xludf.DUMMYFUNCTION("QUERY(Effectifs!A:Z, ""SELECT * WHERE E CONTAINS 'Eclaireur' ORDER BY Z ASC"", 1)"),"Assermenté")</f>
        <v>Assermenté</v>
      </c>
      <c r="B1" s="1" t="str">
        <f>IFERROR(__xludf.DUMMYFUNCTION("""COMPUTED_VALUE"""),"Grade")</f>
        <v>Grade</v>
      </c>
      <c r="C1" s="1" t="str">
        <f>IFERROR(__xludf.DUMMYFUNCTION("""COMPUTED_VALUE"""),"Prénom")</f>
        <v>Prénom</v>
      </c>
      <c r="D1" s="1" t="str">
        <f>IFERROR(__xludf.DUMMYFUNCTION("""COMPUTED_VALUE"""),"Nom")</f>
        <v>Nom</v>
      </c>
      <c r="E1" s="1" t="str">
        <f>IFERROR(__xludf.DUMMYFUNCTION("""COMPUTED_VALUE"""),"Corps")</f>
        <v>Corps</v>
      </c>
      <c r="F1" s="1" t="str">
        <f>IFERROR(__xludf.DUMMYFUNCTION("""COMPUTED_VALUE"""),"Spécialité")</f>
        <v>Spécialité</v>
      </c>
      <c r="G1" s="1" t="str">
        <f>IFERROR(__xludf.DUMMYFUNCTION("""COMPUTED_VALUE"""),"Status")</f>
        <v>Status</v>
      </c>
      <c r="H1" s="1" t="str">
        <f>IFERROR(__xludf.DUMMYFUNCTION("""COMPUTED_VALUE"""),"Métier")</f>
        <v>Métier</v>
      </c>
      <c r="I1" s="73" t="str">
        <f>IFERROR(__xludf.DUMMYFUNCTION("""COMPUTED_VALUE"""),"Recrutement")</f>
        <v>Recrutement</v>
      </c>
      <c r="J1" s="3" t="str">
        <f>IFERROR(__xludf.DUMMYFUNCTION("""COMPUTED_VALUE"""),"Jours travaillés")</f>
        <v>Jours travaillés</v>
      </c>
      <c r="K1" s="3" t="str">
        <f>IFERROR(__xludf.DUMMYFUNCTION("""COMPUTED_VALUE"""),"")</f>
        <v/>
      </c>
      <c r="L1" s="3" t="str">
        <f>IFERROR(__xludf.DUMMYFUNCTION("""COMPUTED_VALUE"""),"")</f>
        <v/>
      </c>
      <c r="M1" s="3" t="str">
        <f>IFERROR(__xludf.DUMMYFUNCTION("""COMPUTED_VALUE"""),"")</f>
        <v/>
      </c>
      <c r="N1" s="3" t="str">
        <f>IFERROR(__xludf.DUMMYFUNCTION("""COMPUTED_VALUE"""),"")</f>
        <v/>
      </c>
      <c r="O1" s="3" t="str">
        <f>IFERROR(__xludf.DUMMYFUNCTION("""COMPUTED_VALUE"""),"")</f>
        <v/>
      </c>
      <c r="P1" s="3" t="str">
        <f>IFERROR(__xludf.DUMMYFUNCTION("""COMPUTED_VALUE"""),"")</f>
        <v/>
      </c>
      <c r="Q1" s="3" t="str">
        <f>IFERROR(__xludf.DUMMYFUNCTION("""COMPUTED_VALUE"""),"")</f>
        <v/>
      </c>
      <c r="R1" s="3" t="str">
        <f>IFERROR(__xludf.DUMMYFUNCTION("""COMPUTED_VALUE"""),"")</f>
        <v/>
      </c>
      <c r="S1" s="3" t="str">
        <f>IFERROR(__xludf.DUMMYFUNCTION("""COMPUTED_VALUE"""),"")</f>
        <v/>
      </c>
      <c r="T1" s="3" t="str">
        <f>IFERROR(__xludf.DUMMYFUNCTION("""COMPUTED_VALUE"""),"")</f>
        <v/>
      </c>
      <c r="U1" s="3" t="str">
        <f>IFERROR(__xludf.DUMMYFUNCTION("""COMPUTED_VALUE"""),"")</f>
        <v/>
      </c>
      <c r="V1" s="3" t="str">
        <f>IFERROR(__xludf.DUMMYFUNCTION("""COMPUTED_VALUE"""),"")</f>
        <v/>
      </c>
      <c r="W1" s="3" t="str">
        <f>IFERROR(__xludf.DUMMYFUNCTION("""COMPUTED_VALUE"""),"")</f>
        <v/>
      </c>
      <c r="X1" s="3" t="str">
        <f>IFERROR(__xludf.DUMMYFUNCTION("""COMPUTED_VALUE"""),"")</f>
        <v/>
      </c>
      <c r="Y1" s="3" t="str">
        <f>IFERROR(__xludf.DUMMYFUNCTION("""COMPUTED_VALUE"""),"")</f>
        <v/>
      </c>
      <c r="Z1" s="4" t="str">
        <f>IFERROR(__xludf.DUMMYFUNCTION("""COMPUTED_VALUE"""),"Grade Order")</f>
        <v>Grade Order</v>
      </c>
    </row>
    <row r="2">
      <c r="A2" s="5" t="b">
        <f>IFERROR(__xludf.DUMMYFUNCTION("""COMPUTED_VALUE"""),TRUE)</f>
        <v>1</v>
      </c>
      <c r="B2" s="5" t="str">
        <f>IFERROR(__xludf.DUMMYFUNCTION("""COMPUTED_VALUE"""),"Capitaine")</f>
        <v>Capitaine</v>
      </c>
      <c r="C2" s="15" t="str">
        <f>IFERROR(__xludf.DUMMYFUNCTION("""COMPUTED_VALUE"""),"Glaemorandir")</f>
        <v>Glaemorandir</v>
      </c>
      <c r="D2" s="15" t="str">
        <f>IFERROR(__xludf.DUMMYFUNCTION("""COMPUTED_VALUE"""),"Oeil-Perçant")</f>
        <v>Oeil-Perçant</v>
      </c>
      <c r="E2" s="5" t="str">
        <f>IFERROR(__xludf.DUMMYFUNCTION("""COMPUTED_VALUE"""),"Eclaireur")</f>
        <v>Eclaireur</v>
      </c>
      <c r="F2" s="12" t="str">
        <f>IFERROR(__xludf.DUMMYFUNCTION("""COMPUTED_VALUE"""),"Eclaireur, Garde")</f>
        <v>Eclaireur, Garde</v>
      </c>
      <c r="G2" s="5" t="str">
        <f>IFERROR(__xludf.DUMMYFUNCTION("""COMPUTED_VALUE"""),"En service actif")</f>
        <v>En service actif</v>
      </c>
      <c r="H2" s="5" t="str">
        <f>IFERROR(__xludf.DUMMYFUNCTION("""COMPUTED_VALUE"""),"Chasseur")</f>
        <v>Chasseur</v>
      </c>
      <c r="I2" s="38">
        <f>IFERROR(__xludf.DUMMYFUNCTION("""COMPUTED_VALUE"""),46197.0)</f>
        <v>46197</v>
      </c>
      <c r="J2" s="8">
        <f>IFERROR(__xludf.DUMMYFUNCTION("""COMPUTED_VALUE"""),12.0)</f>
        <v>12</v>
      </c>
      <c r="K2" s="8"/>
      <c r="L2" s="8"/>
      <c r="M2" s="8"/>
      <c r="N2" s="8"/>
      <c r="O2" s="8"/>
      <c r="P2" s="8"/>
      <c r="Q2" s="8"/>
      <c r="R2" s="8"/>
      <c r="S2" s="8"/>
      <c r="T2" s="8"/>
      <c r="U2" s="8"/>
      <c r="V2" s="8"/>
      <c r="W2" s="8"/>
      <c r="X2" s="8"/>
      <c r="Y2" s="8"/>
      <c r="Z2" s="8">
        <f>IFERROR(__xludf.DUMMYFUNCTION("""COMPUTED_VALUE"""),4.0)</f>
        <v>4</v>
      </c>
    </row>
    <row r="3">
      <c r="A3" s="5" t="b">
        <f>IFERROR(__xludf.DUMMYFUNCTION("""COMPUTED_VALUE"""),TRUE)</f>
        <v>1</v>
      </c>
      <c r="B3" s="5" t="str">
        <f>IFERROR(__xludf.DUMMYFUNCTION("""COMPUTED_VALUE"""),"Capitaine")</f>
        <v>Capitaine</v>
      </c>
      <c r="C3" s="15" t="str">
        <f>IFERROR(__xludf.DUMMYFUNCTION("""COMPUTED_VALUE"""),"Clemnir")</f>
        <v>Clemnir</v>
      </c>
      <c r="D3" s="18" t="str">
        <f>IFERROR(__xludf.DUMMYFUNCTION("""COMPUTED_VALUE"""),"Arc-Vif")</f>
        <v>Arc-Vif</v>
      </c>
      <c r="E3" s="5" t="str">
        <f>IFERROR(__xludf.DUMMYFUNCTION("""COMPUTED_VALUE"""),"Eclaireur")</f>
        <v>Eclaireur</v>
      </c>
      <c r="F3" s="12" t="str">
        <f>IFERROR(__xludf.DUMMYFUNCTION("""COMPUTED_VALUE"""),"Eclaireur")</f>
        <v>Eclaireur</v>
      </c>
      <c r="G3" s="5" t="str">
        <f>IFERROR(__xludf.DUMMYFUNCTION("""COMPUTED_VALUE"""),"Mort en service actif")</f>
        <v>Mort en service actif</v>
      </c>
      <c r="H3" s="5" t="str">
        <f>IFERROR(__xludf.DUMMYFUNCTION("""COMPUTED_VALUE"""),"Chasseur")</f>
        <v>Chasseur</v>
      </c>
      <c r="I3" s="38"/>
      <c r="J3" s="8">
        <f>IFERROR(__xludf.DUMMYFUNCTION("""COMPUTED_VALUE"""),0.0)</f>
        <v>0</v>
      </c>
      <c r="K3" s="8"/>
      <c r="L3" s="8"/>
      <c r="M3" s="8"/>
      <c r="N3" s="8"/>
      <c r="O3" s="8"/>
      <c r="P3" s="8"/>
      <c r="Q3" s="8"/>
      <c r="R3" s="8"/>
      <c r="S3" s="8"/>
      <c r="T3" s="8"/>
      <c r="U3" s="8"/>
      <c r="V3" s="8"/>
      <c r="W3" s="8"/>
      <c r="X3" s="8"/>
      <c r="Y3" s="8"/>
      <c r="Z3" s="8">
        <f>IFERROR(__xludf.DUMMYFUNCTION("""COMPUTED_VALUE"""),4.0)</f>
        <v>4</v>
      </c>
    </row>
    <row r="4">
      <c r="A4" s="5" t="b">
        <f>IFERROR(__xludf.DUMMYFUNCTION("""COMPUTED_VALUE"""),TRUE)</f>
        <v>1</v>
      </c>
      <c r="B4" s="5" t="str">
        <f>IFERROR(__xludf.DUMMYFUNCTION("""COMPUTED_VALUE"""),"Sergent-Chef")</f>
        <v>Sergent-Chef</v>
      </c>
      <c r="C4" s="15" t="str">
        <f>IFERROR(__xludf.DUMMYFUNCTION("""COMPUTED_VALUE"""),"Magnar")</f>
        <v>Magnar</v>
      </c>
      <c r="D4" s="18" t="str">
        <f>IFERROR(__xludf.DUMMYFUNCTION("""COMPUTED_VALUE"""),"Traquebrume")</f>
        <v>Traquebrume</v>
      </c>
      <c r="E4" s="5" t="str">
        <f>IFERROR(__xludf.DUMMYFUNCTION("""COMPUTED_VALUE"""),"Eclaireur")</f>
        <v>Eclaireur</v>
      </c>
      <c r="F4" s="12" t="str">
        <f>IFERROR(__xludf.DUMMYFUNCTION("""COMPUTED_VALUE"""),"Eclaireur, Garde")</f>
        <v>Eclaireur, Garde</v>
      </c>
      <c r="G4" s="5" t="str">
        <f>IFERROR(__xludf.DUMMYFUNCTION("""COMPUTED_VALUE"""),"En service actif")</f>
        <v>En service actif</v>
      </c>
      <c r="H4" s="5" t="str">
        <f>IFERROR(__xludf.DUMMYFUNCTION("""COMPUTED_VALUE"""),"Chasseur")</f>
        <v>Chasseur</v>
      </c>
      <c r="I4" s="38">
        <f>IFERROR(__xludf.DUMMYFUNCTION("""COMPUTED_VALUE"""),46190.0)</f>
        <v>46190</v>
      </c>
      <c r="J4" s="8">
        <f>IFERROR(__xludf.DUMMYFUNCTION("""COMPUTED_VALUE"""),10.0)</f>
        <v>10</v>
      </c>
      <c r="K4" s="8"/>
      <c r="L4" s="8"/>
      <c r="M4" s="8"/>
      <c r="N4" s="8"/>
      <c r="O4" s="8"/>
      <c r="P4" s="8"/>
      <c r="Q4" s="8"/>
      <c r="R4" s="8"/>
      <c r="S4" s="8"/>
      <c r="T4" s="8"/>
      <c r="U4" s="8"/>
      <c r="V4" s="8"/>
      <c r="W4" s="8"/>
      <c r="X4" s="8"/>
      <c r="Y4" s="8"/>
      <c r="Z4" s="8">
        <f>IFERROR(__xludf.DUMMYFUNCTION("""COMPUTED_VALUE"""),7.0)</f>
        <v>7</v>
      </c>
    </row>
    <row r="5">
      <c r="A5" s="5" t="b">
        <f>IFERROR(__xludf.DUMMYFUNCTION("""COMPUTED_VALUE"""),TRUE)</f>
        <v>1</v>
      </c>
      <c r="B5" s="5" t="str">
        <f>IFERROR(__xludf.DUMMYFUNCTION("""COMPUTED_VALUE"""),"Garde")</f>
        <v>Garde</v>
      </c>
      <c r="C5" s="15" t="str">
        <f>IFERROR(__xludf.DUMMYFUNCTION("""COMPUTED_VALUE"""),"Pethiceor")</f>
        <v>Pethiceor</v>
      </c>
      <c r="D5" s="15" t="str">
        <f>IFERROR(__xludf.DUMMYFUNCTION("""COMPUTED_VALUE"""),"Le Borgne")</f>
        <v>Le Borgne</v>
      </c>
      <c r="E5" s="5" t="str">
        <f>IFERROR(__xludf.DUMMYFUNCTION("""COMPUTED_VALUE"""),"Eclaireur")</f>
        <v>Eclaireur</v>
      </c>
      <c r="F5" s="12" t="str">
        <f>IFERROR(__xludf.DUMMYFUNCTION("""COMPUTED_VALUE"""),"Eclaireur, Garde")</f>
        <v>Eclaireur, Garde</v>
      </c>
      <c r="G5" s="5" t="str">
        <f>IFERROR(__xludf.DUMMYFUNCTION("""COMPUTED_VALUE"""),"Mis en réserve")</f>
        <v>Mis en réserve</v>
      </c>
      <c r="H5" s="5" t="str">
        <f>IFERROR(__xludf.DUMMYFUNCTION("""COMPUTED_VALUE"""),"Chasseur")</f>
        <v>Chasseur</v>
      </c>
      <c r="I5" s="38">
        <f>IFERROR(__xludf.DUMMYFUNCTION("""COMPUTED_VALUE"""),46197.0)</f>
        <v>46197</v>
      </c>
      <c r="J5" s="8">
        <f>IFERROR(__xludf.DUMMYFUNCTION("""COMPUTED_VALUE"""),0.0)</f>
        <v>0</v>
      </c>
      <c r="K5" s="8"/>
      <c r="L5" s="8"/>
      <c r="M5" s="8"/>
      <c r="N5" s="8"/>
      <c r="O5" s="8"/>
      <c r="P5" s="8"/>
      <c r="Q5" s="8"/>
      <c r="R5" s="8"/>
      <c r="S5" s="8"/>
      <c r="T5" s="8"/>
      <c r="U5" s="8"/>
      <c r="V5" s="8"/>
      <c r="W5" s="8"/>
      <c r="X5" s="8"/>
      <c r="Y5" s="8"/>
      <c r="Z5" s="8">
        <f>IFERROR(__xludf.DUMMYFUNCTION("""COMPUTED_VALUE"""),11.0)</f>
        <v>11</v>
      </c>
    </row>
    <row r="6">
      <c r="A6" s="5" t="b">
        <f>IFERROR(__xludf.DUMMYFUNCTION("""COMPUTED_VALUE"""),TRUE)</f>
        <v>1</v>
      </c>
      <c r="B6" s="5" t="str">
        <f>IFERROR(__xludf.DUMMYFUNCTION("""COMPUTED_VALUE"""),"Garde")</f>
        <v>Garde</v>
      </c>
      <c r="C6" s="15" t="str">
        <f>IFERROR(__xludf.DUMMYFUNCTION("""COMPUTED_VALUE"""),"Laureen")</f>
        <v>Laureen</v>
      </c>
      <c r="D6" s="15" t="str">
        <f>IFERROR(__xludf.DUMMYFUNCTION("""COMPUTED_VALUE"""),"Toison-de-Sang")</f>
        <v>Toison-de-Sang</v>
      </c>
      <c r="E6" s="5" t="str">
        <f>IFERROR(__xludf.DUMMYFUNCTION("""COMPUTED_VALUE"""),"Eclaireur")</f>
        <v>Eclaireur</v>
      </c>
      <c r="F6" s="12" t="str">
        <f>IFERROR(__xludf.DUMMYFUNCTION("""COMPUTED_VALUE"""),"Eclaireur, Garde")</f>
        <v>Eclaireur, Garde</v>
      </c>
      <c r="G6" s="5" t="str">
        <f>IFERROR(__xludf.DUMMYFUNCTION("""COMPUTED_VALUE"""),"En service actif")</f>
        <v>En service actif</v>
      </c>
      <c r="H6" s="5" t="str">
        <f>IFERROR(__xludf.DUMMYFUNCTION("""COMPUTED_VALUE"""),"Chasseur")</f>
        <v>Chasseur</v>
      </c>
      <c r="I6" s="16">
        <f>IFERROR(__xludf.DUMMYFUNCTION("""COMPUTED_VALUE"""),46249.0)</f>
        <v>46249</v>
      </c>
      <c r="J6" s="8">
        <f>IFERROR(__xludf.DUMMYFUNCTION("""COMPUTED_VALUE"""),11.0)</f>
        <v>11</v>
      </c>
      <c r="K6" s="8"/>
      <c r="L6" s="8"/>
      <c r="M6" s="8"/>
      <c r="N6" s="8"/>
      <c r="O6" s="8"/>
      <c r="P6" s="8"/>
      <c r="Q6" s="8"/>
      <c r="R6" s="8"/>
      <c r="S6" s="8"/>
      <c r="T6" s="8"/>
      <c r="U6" s="8"/>
      <c r="V6" s="8"/>
      <c r="W6" s="8"/>
      <c r="X6" s="8"/>
      <c r="Y6" s="8"/>
      <c r="Z6" s="8">
        <f>IFERROR(__xludf.DUMMYFUNCTION("""COMPUTED_VALUE"""),11.0)</f>
        <v>11</v>
      </c>
    </row>
    <row r="7">
      <c r="A7" s="5" t="b">
        <f>IFERROR(__xludf.DUMMYFUNCTION("""COMPUTED_VALUE"""),FALSE)</f>
        <v>0</v>
      </c>
      <c r="B7" s="5" t="str">
        <f>IFERROR(__xludf.DUMMYFUNCTION("""COMPUTED_VALUE"""),"Recrue")</f>
        <v>Recrue</v>
      </c>
      <c r="C7" s="15" t="str">
        <f>IFERROR(__xludf.DUMMYFUNCTION("""COMPUTED_VALUE"""),"Ma'arl")</f>
        <v>Ma'arl</v>
      </c>
      <c r="D7" s="15"/>
      <c r="E7" s="5" t="str">
        <f>IFERROR(__xludf.DUMMYFUNCTION("""COMPUTED_VALUE"""),"Eclaireur")</f>
        <v>Eclaireur</v>
      </c>
      <c r="F7" s="12" t="str">
        <f>IFERROR(__xludf.DUMMYFUNCTION("""COMPUTED_VALUE"""),"Eclaireur, Garde")</f>
        <v>Eclaireur, Garde</v>
      </c>
      <c r="G7" s="5" t="str">
        <f>IFERROR(__xludf.DUMMYFUNCTION("""COMPUTED_VALUE"""),"En service actif")</f>
        <v>En service actif</v>
      </c>
      <c r="H7" s="8" t="str">
        <f>IFERROR(__xludf.DUMMYFUNCTION("""COMPUTED_VALUE"""),"Mineur")</f>
        <v>Mineur</v>
      </c>
      <c r="I7" s="38">
        <f>IFERROR(__xludf.DUMMYFUNCTION("""COMPUTED_VALUE"""),46259.0)</f>
        <v>46259</v>
      </c>
      <c r="J7" s="8">
        <f>IFERROR(__xludf.DUMMYFUNCTION("""COMPUTED_VALUE"""),0.0)</f>
        <v>0</v>
      </c>
      <c r="K7" s="8"/>
      <c r="L7" s="8"/>
      <c r="M7" s="8"/>
      <c r="N7" s="8"/>
      <c r="O7" s="8"/>
      <c r="P7" s="8"/>
      <c r="Q7" s="8"/>
      <c r="R7" s="8"/>
      <c r="S7" s="8"/>
      <c r="T7" s="8"/>
      <c r="U7" s="8"/>
      <c r="V7" s="8"/>
      <c r="W7" s="8"/>
      <c r="X7" s="8"/>
      <c r="Y7" s="8"/>
      <c r="Z7" s="8">
        <f>IFERROR(__xludf.DUMMYFUNCTION("""COMPUTED_VALUE"""),13.0)</f>
        <v>13</v>
      </c>
    </row>
    <row r="8">
      <c r="A8" s="5" t="b">
        <f>IFERROR(__xludf.DUMMYFUNCTION("""COMPUTED_VALUE"""),FALSE)</f>
        <v>0</v>
      </c>
      <c r="B8" s="5" t="str">
        <f>IFERROR(__xludf.DUMMYFUNCTION("""COMPUTED_VALUE"""),"Recrue")</f>
        <v>Recrue</v>
      </c>
      <c r="C8" s="15" t="str">
        <f>IFERROR(__xludf.DUMMYFUNCTION("""COMPUTED_VALUE"""),"Do'Rhazir")</f>
        <v>Do'Rhazir</v>
      </c>
      <c r="D8" s="15"/>
      <c r="E8" s="5" t="str">
        <f>IFERROR(__xludf.DUMMYFUNCTION("""COMPUTED_VALUE"""),"Eclaireur")</f>
        <v>Eclaireur</v>
      </c>
      <c r="F8" s="12" t="str">
        <f>IFERROR(__xludf.DUMMYFUNCTION("""COMPUTED_VALUE"""),"Eclaireur, Garde")</f>
        <v>Eclaireur, Garde</v>
      </c>
      <c r="G8" s="5" t="str">
        <f>IFERROR(__xludf.DUMMYFUNCTION("""COMPUTED_VALUE"""),"En service actif")</f>
        <v>En service actif</v>
      </c>
      <c r="H8" s="8" t="str">
        <f>IFERROR(__xludf.DUMMYFUNCTION("""COMPUTED_VALUE"""),"Menuisier-Charbonnier")</f>
        <v>Menuisier-Charbonnier</v>
      </c>
      <c r="I8" s="38">
        <f>IFERROR(__xludf.DUMMYFUNCTION("""COMPUTED_VALUE"""),46261.0)</f>
        <v>46261</v>
      </c>
      <c r="J8" s="8">
        <f>IFERROR(__xludf.DUMMYFUNCTION("""COMPUTED_VALUE"""),0.0)</f>
        <v>0</v>
      </c>
      <c r="K8" s="8"/>
      <c r="L8" s="8"/>
      <c r="M8" s="8"/>
      <c r="N8" s="8"/>
      <c r="O8" s="8"/>
      <c r="P8" s="8"/>
      <c r="Q8" s="8"/>
      <c r="R8" s="8"/>
      <c r="S8" s="8"/>
      <c r="T8" s="8"/>
      <c r="U8" s="8"/>
      <c r="V8" s="8"/>
      <c r="W8" s="8"/>
      <c r="X8" s="8"/>
      <c r="Y8" s="8"/>
      <c r="Z8" s="8">
        <f>IFERROR(__xludf.DUMMYFUNCTION("""COMPUTED_VALUE"""),13.0)</f>
        <v>13</v>
      </c>
    </row>
    <row r="9">
      <c r="A9" s="5" t="b">
        <f>IFERROR(__xludf.DUMMYFUNCTION("""COMPUTED_VALUE"""),FALSE)</f>
        <v>0</v>
      </c>
      <c r="B9" s="5" t="str">
        <f>IFERROR(__xludf.DUMMYFUNCTION("""COMPUTED_VALUE"""),"Recrue")</f>
        <v>Recrue</v>
      </c>
      <c r="C9" s="15" t="str">
        <f>IFERROR(__xludf.DUMMYFUNCTION("""COMPUTED_VALUE"""),"Ri'Jhan")</f>
        <v>Ri'Jhan</v>
      </c>
      <c r="D9" s="75" t="str">
        <f>IFERROR(__xludf.DUMMYFUNCTION("""COMPUTED_VALUE"""),"MoonShadow")</f>
        <v>MoonShadow</v>
      </c>
      <c r="E9" s="5" t="str">
        <f>IFERROR(__xludf.DUMMYFUNCTION("""COMPUTED_VALUE"""),"Eclaireur")</f>
        <v>Eclaireur</v>
      </c>
      <c r="F9" s="12" t="str">
        <f>IFERROR(__xludf.DUMMYFUNCTION("""COMPUTED_VALUE"""),"Garde, Eclaireur")</f>
        <v>Garde, Eclaireur</v>
      </c>
      <c r="G9" s="5" t="str">
        <f>IFERROR(__xludf.DUMMYFUNCTION("""COMPUTED_VALUE"""),"En service actif")</f>
        <v>En service actif</v>
      </c>
      <c r="H9" s="5"/>
      <c r="I9" s="38">
        <f>IFERROR(__xludf.DUMMYFUNCTION("""COMPUTED_VALUE"""),46266.0)</f>
        <v>46266</v>
      </c>
      <c r="J9" s="8">
        <f>IFERROR(__xludf.DUMMYFUNCTION("""COMPUTED_VALUE"""),3.0)</f>
        <v>3</v>
      </c>
      <c r="K9" s="8"/>
      <c r="L9" s="8"/>
      <c r="M9" s="8"/>
      <c r="N9" s="8"/>
      <c r="O9" s="8"/>
      <c r="P9" s="8"/>
      <c r="Q9" s="8"/>
      <c r="R9" s="8"/>
      <c r="S9" s="8"/>
      <c r="T9" s="8"/>
      <c r="U9" s="8"/>
      <c r="V9" s="8"/>
      <c r="W9" s="8"/>
      <c r="X9" s="8"/>
      <c r="Y9" s="8"/>
      <c r="Z9" s="8">
        <f>IFERROR(__xludf.DUMMYFUNCTION("""COMPUTED_VALUE"""),13.0)</f>
        <v>13</v>
      </c>
    </row>
    <row r="10">
      <c r="A10" s="8"/>
      <c r="B10" s="5"/>
      <c r="C10" s="15"/>
      <c r="D10" s="15"/>
      <c r="E10" s="5"/>
      <c r="F10" s="12"/>
      <c r="G10" s="5"/>
      <c r="H10" s="8"/>
      <c r="I10" s="76"/>
    </row>
    <row r="11">
      <c r="A11" s="8"/>
      <c r="B11" s="5"/>
      <c r="C11" s="15"/>
      <c r="D11" s="18"/>
      <c r="E11" s="5"/>
      <c r="F11" s="12"/>
      <c r="G11" s="5"/>
      <c r="H11" s="8"/>
      <c r="I11" s="76"/>
    </row>
    <row r="12">
      <c r="A12" s="5"/>
      <c r="B12" s="5"/>
      <c r="C12" s="15"/>
      <c r="D12" s="18"/>
      <c r="E12" s="5"/>
      <c r="F12" s="12"/>
      <c r="G12" s="5"/>
      <c r="H12" s="5"/>
      <c r="I12" s="38"/>
    </row>
    <row r="13">
      <c r="A13" s="5"/>
      <c r="B13" s="5"/>
      <c r="C13" s="15"/>
      <c r="D13" s="18"/>
      <c r="E13" s="5"/>
      <c r="F13" s="12"/>
      <c r="G13" s="5"/>
      <c r="H13" s="5"/>
      <c r="I13" s="38"/>
    </row>
    <row r="14">
      <c r="A14" s="5"/>
      <c r="B14" s="5"/>
      <c r="C14" s="15"/>
      <c r="D14" s="15"/>
      <c r="E14" s="5"/>
      <c r="F14" s="12"/>
      <c r="G14" s="5"/>
      <c r="H14" s="8"/>
      <c r="I14" s="38"/>
    </row>
    <row r="15">
      <c r="A15" s="5"/>
      <c r="B15" s="5"/>
      <c r="C15" s="15"/>
      <c r="D15" s="15"/>
      <c r="E15" s="5"/>
      <c r="F15" s="12"/>
      <c r="G15" s="5"/>
      <c r="H15" s="8"/>
      <c r="I15" s="38"/>
    </row>
    <row r="16">
      <c r="A16" s="5"/>
      <c r="B16" s="5"/>
      <c r="C16" s="15"/>
      <c r="D16" s="15"/>
      <c r="E16" s="5"/>
      <c r="F16" s="12"/>
      <c r="G16" s="5"/>
      <c r="H16" s="8"/>
      <c r="I16" s="38"/>
    </row>
    <row r="17">
      <c r="A17" s="5"/>
      <c r="B17" s="5"/>
      <c r="C17" s="15"/>
      <c r="D17" s="15"/>
      <c r="E17" s="5"/>
      <c r="F17" s="12"/>
      <c r="G17" s="5"/>
      <c r="H17" s="8"/>
      <c r="I17" s="38"/>
    </row>
    <row r="18">
      <c r="A18" s="5"/>
      <c r="B18" s="5"/>
      <c r="C18" s="15"/>
      <c r="D18" s="18"/>
      <c r="E18" s="5"/>
      <c r="F18" s="12"/>
      <c r="G18" s="5"/>
      <c r="H18" s="8"/>
      <c r="I18" s="38"/>
    </row>
    <row r="19">
      <c r="A19" s="5"/>
      <c r="B19" s="5"/>
      <c r="C19" s="15"/>
      <c r="D19" s="18"/>
      <c r="E19" s="5"/>
      <c r="F19" s="12"/>
      <c r="G19" s="5"/>
      <c r="H19" s="8"/>
      <c r="I19" s="38"/>
    </row>
    <row r="20">
      <c r="A20" s="5"/>
      <c r="B20" s="5"/>
      <c r="C20" s="15"/>
      <c r="D20" s="18"/>
      <c r="E20" s="5"/>
      <c r="F20" s="12"/>
      <c r="G20" s="5"/>
      <c r="H20" s="8"/>
      <c r="I20" s="38"/>
    </row>
    <row r="21">
      <c r="A21" s="5"/>
      <c r="B21" s="5"/>
      <c r="C21" s="15"/>
      <c r="D21" s="15"/>
      <c r="E21" s="5"/>
      <c r="F21" s="12"/>
      <c r="G21" s="5"/>
      <c r="H21" s="5"/>
      <c r="I21" s="16"/>
    </row>
    <row r="22">
      <c r="A22" s="5"/>
      <c r="B22" s="5"/>
      <c r="C22" s="15"/>
      <c r="D22" s="15"/>
      <c r="E22" s="5"/>
      <c r="F22" s="12"/>
      <c r="G22" s="5"/>
      <c r="H22" s="5"/>
      <c r="I22" s="16"/>
    </row>
    <row r="23">
      <c r="A23" s="5"/>
      <c r="B23" s="5"/>
      <c r="C23" s="15"/>
      <c r="D23" s="15"/>
      <c r="E23" s="5"/>
      <c r="F23" s="12"/>
      <c r="G23" s="5"/>
      <c r="H23" s="5"/>
      <c r="I23" s="16"/>
    </row>
    <row r="24">
      <c r="A24" s="5"/>
      <c r="B24" s="5"/>
      <c r="C24" s="15"/>
      <c r="D24" s="18"/>
      <c r="E24" s="5"/>
      <c r="F24" s="12"/>
      <c r="G24" s="5"/>
      <c r="H24" s="8"/>
      <c r="I24" s="16"/>
    </row>
    <row r="25">
      <c r="A25" s="5"/>
      <c r="B25" s="5"/>
      <c r="C25" s="15"/>
      <c r="D25" s="15"/>
      <c r="E25" s="5"/>
      <c r="F25" s="12"/>
      <c r="G25" s="5"/>
      <c r="H25" s="8"/>
      <c r="I25" s="38"/>
    </row>
    <row r="26">
      <c r="A26" s="5"/>
      <c r="B26" s="5"/>
      <c r="C26" s="15"/>
      <c r="D26" s="18"/>
      <c r="E26" s="5"/>
      <c r="F26" s="12"/>
      <c r="G26" s="5"/>
      <c r="H26" s="8"/>
      <c r="I26" s="38"/>
    </row>
    <row r="27">
      <c r="A27" s="5"/>
      <c r="B27" s="5"/>
      <c r="C27" s="15"/>
      <c r="D27" s="18"/>
      <c r="E27" s="5"/>
      <c r="F27" s="12"/>
      <c r="G27" s="5"/>
      <c r="H27" s="8"/>
      <c r="I27" s="38"/>
    </row>
    <row r="28">
      <c r="A28" s="5"/>
      <c r="B28" s="5"/>
      <c r="C28" s="15"/>
      <c r="D28" s="15"/>
      <c r="E28" s="5"/>
      <c r="F28" s="12"/>
      <c r="G28" s="5"/>
      <c r="H28" s="8"/>
      <c r="I28" s="38"/>
    </row>
    <row r="29">
      <c r="A29" s="5"/>
      <c r="B29" s="5"/>
      <c r="C29" s="15"/>
      <c r="D29" s="15"/>
      <c r="E29" s="5"/>
      <c r="F29" s="12"/>
      <c r="G29" s="5"/>
      <c r="H29" s="8"/>
      <c r="I29" s="38"/>
    </row>
    <row r="30">
      <c r="A30" s="5"/>
      <c r="B30" s="5"/>
      <c r="C30" s="15"/>
      <c r="D30" s="18"/>
      <c r="E30" s="5"/>
      <c r="F30" s="12"/>
      <c r="G30" s="5"/>
      <c r="H30" s="8"/>
      <c r="I30" s="38"/>
    </row>
    <row r="31">
      <c r="A31" s="5"/>
      <c r="B31" s="5"/>
      <c r="C31" s="15"/>
      <c r="D31" s="18"/>
      <c r="E31" s="5"/>
      <c r="F31" s="12"/>
      <c r="G31" s="5"/>
      <c r="H31" s="8"/>
      <c r="I31" s="38"/>
    </row>
    <row r="32">
      <c r="A32" s="5"/>
      <c r="B32" s="5"/>
      <c r="C32" s="15"/>
      <c r="D32" s="15"/>
      <c r="E32" s="5"/>
      <c r="F32" s="12"/>
      <c r="G32" s="5"/>
      <c r="H32" s="8"/>
      <c r="I32" s="38"/>
    </row>
    <row r="33">
      <c r="A33" s="5"/>
      <c r="B33" s="5"/>
      <c r="C33" s="15"/>
      <c r="D33" s="15"/>
      <c r="E33" s="5"/>
      <c r="F33" s="12"/>
      <c r="G33" s="5"/>
      <c r="H33" s="8"/>
      <c r="I33" s="38"/>
    </row>
    <row r="34">
      <c r="A34" s="8"/>
      <c r="B34" s="5"/>
      <c r="C34" s="15"/>
      <c r="D34" s="18"/>
      <c r="E34" s="5"/>
      <c r="F34" s="12"/>
      <c r="G34" s="5"/>
      <c r="H34" s="8"/>
      <c r="I34" s="76"/>
    </row>
    <row r="35">
      <c r="A35" s="5"/>
      <c r="B35" s="5"/>
      <c r="C35" s="15"/>
      <c r="D35" s="18"/>
      <c r="E35" s="5"/>
      <c r="F35" s="12"/>
      <c r="G35" s="5"/>
      <c r="H35" s="8"/>
      <c r="I35" s="38"/>
    </row>
    <row r="36">
      <c r="A36" s="5"/>
      <c r="B36" s="5"/>
      <c r="C36" s="15"/>
      <c r="D36" s="15"/>
      <c r="E36" s="5"/>
      <c r="F36" s="12"/>
      <c r="G36" s="5"/>
      <c r="H36" s="8"/>
      <c r="I36" s="38"/>
    </row>
    <row r="37">
      <c r="A37" s="8"/>
      <c r="B37" s="5"/>
      <c r="C37" s="15"/>
      <c r="D37" s="15"/>
      <c r="E37" s="5"/>
      <c r="F37" s="12"/>
      <c r="G37" s="5"/>
      <c r="H37" s="8"/>
      <c r="I37" s="76"/>
    </row>
    <row r="38">
      <c r="A38" s="8"/>
      <c r="B38" s="5"/>
      <c r="C38" s="15"/>
      <c r="D38" s="15"/>
      <c r="E38" s="5"/>
      <c r="F38" s="12"/>
      <c r="G38" s="5"/>
      <c r="H38" s="8"/>
      <c r="I38" s="76"/>
    </row>
    <row r="39">
      <c r="A39" s="8"/>
      <c r="B39" s="5"/>
      <c r="C39" s="15"/>
      <c r="D39" s="18"/>
      <c r="E39" s="5"/>
      <c r="F39" s="12"/>
      <c r="G39" s="5"/>
      <c r="H39" s="8"/>
      <c r="I39" s="76"/>
    </row>
    <row r="40">
      <c r="A40" s="8"/>
      <c r="B40" s="8"/>
      <c r="C40" s="18"/>
      <c r="D40" s="18"/>
      <c r="E40" s="8"/>
      <c r="F40" s="8"/>
      <c r="G40" s="8"/>
      <c r="H40" s="8"/>
      <c r="I40" s="76"/>
    </row>
    <row r="41">
      <c r="A41" s="8"/>
      <c r="B41" s="8"/>
      <c r="C41" s="18"/>
      <c r="D41" s="18"/>
      <c r="E41" s="8"/>
      <c r="F41" s="8"/>
      <c r="G41" s="8"/>
      <c r="H41" s="8"/>
      <c r="I41" s="76"/>
    </row>
    <row r="42">
      <c r="A42" s="8"/>
      <c r="B42" s="8"/>
      <c r="C42" s="18"/>
      <c r="D42" s="18"/>
      <c r="E42" s="8"/>
      <c r="F42" s="8"/>
      <c r="G42" s="8"/>
      <c r="H42" s="8"/>
      <c r="I42" s="76"/>
    </row>
    <row r="43">
      <c r="A43" s="8"/>
      <c r="B43" s="8"/>
      <c r="C43" s="18"/>
      <c r="D43" s="18"/>
      <c r="E43" s="8"/>
      <c r="F43" s="8"/>
      <c r="G43" s="8"/>
      <c r="H43" s="8"/>
      <c r="I43" s="76"/>
    </row>
    <row r="44">
      <c r="A44" s="8"/>
      <c r="B44" s="8"/>
      <c r="C44" s="18"/>
      <c r="D44" s="18"/>
      <c r="E44" s="8"/>
      <c r="F44" s="8"/>
      <c r="G44" s="8"/>
      <c r="H44" s="8"/>
      <c r="I44" s="76"/>
    </row>
    <row r="45">
      <c r="A45" s="8"/>
      <c r="B45" s="8"/>
      <c r="C45" s="18"/>
      <c r="D45" s="18"/>
      <c r="E45" s="8"/>
      <c r="F45" s="8"/>
      <c r="G45" s="8"/>
      <c r="H45" s="8"/>
      <c r="I45" s="76"/>
    </row>
    <row r="46">
      <c r="A46" s="8"/>
      <c r="B46" s="8"/>
      <c r="C46" s="18"/>
      <c r="D46" s="18"/>
      <c r="E46" s="8"/>
      <c r="F46" s="8"/>
      <c r="G46" s="8"/>
      <c r="H46" s="8"/>
      <c r="I46" s="76"/>
    </row>
    <row r="47">
      <c r="A47" s="8"/>
      <c r="B47" s="8"/>
      <c r="C47" s="18"/>
      <c r="D47" s="18"/>
      <c r="E47" s="8"/>
      <c r="F47" s="8"/>
      <c r="G47" s="8"/>
      <c r="H47" s="8"/>
      <c r="I47" s="76"/>
    </row>
    <row r="48">
      <c r="A48" s="8"/>
      <c r="B48" s="8"/>
      <c r="C48" s="18"/>
      <c r="D48" s="18"/>
      <c r="E48" s="8"/>
      <c r="F48" s="8"/>
      <c r="G48" s="8"/>
      <c r="H48" s="8"/>
      <c r="I48" s="76"/>
    </row>
    <row r="49">
      <c r="A49" s="8"/>
      <c r="B49" s="8"/>
      <c r="C49" s="18"/>
      <c r="D49" s="18"/>
      <c r="E49" s="8"/>
      <c r="F49" s="8"/>
      <c r="G49" s="8"/>
      <c r="H49" s="8"/>
      <c r="I49" s="76"/>
    </row>
    <row r="50">
      <c r="A50" s="8"/>
      <c r="B50" s="8"/>
      <c r="C50" s="18"/>
      <c r="D50" s="18"/>
      <c r="E50" s="8"/>
      <c r="F50" s="8"/>
      <c r="G50" s="8"/>
      <c r="H50" s="8"/>
      <c r="I50" s="76"/>
    </row>
    <row r="51">
      <c r="A51" s="8"/>
      <c r="B51" s="8"/>
      <c r="C51" s="18"/>
      <c r="D51" s="18"/>
      <c r="E51" s="8"/>
      <c r="F51" s="8"/>
      <c r="G51" s="8"/>
      <c r="H51" s="8"/>
      <c r="I51" s="76"/>
    </row>
    <row r="52">
      <c r="A52" s="8"/>
      <c r="B52" s="8"/>
      <c r="C52" s="18"/>
      <c r="D52" s="18"/>
      <c r="E52" s="8"/>
      <c r="F52" s="8"/>
      <c r="G52" s="8"/>
      <c r="H52" s="8"/>
      <c r="I52" s="76"/>
    </row>
    <row r="53">
      <c r="A53" s="8"/>
      <c r="B53" s="8"/>
      <c r="C53" s="18"/>
      <c r="D53" s="18"/>
      <c r="E53" s="8"/>
      <c r="F53" s="8"/>
      <c r="G53" s="8"/>
      <c r="H53" s="8"/>
      <c r="I53" s="76"/>
    </row>
    <row r="54">
      <c r="A54" s="8"/>
      <c r="B54" s="8"/>
      <c r="C54" s="18"/>
      <c r="D54" s="18"/>
      <c r="E54" s="8"/>
      <c r="F54" s="8"/>
      <c r="G54" s="8"/>
      <c r="H54" s="8"/>
      <c r="I54" s="76"/>
    </row>
    <row r="55">
      <c r="A55" s="8"/>
      <c r="B55" s="8"/>
      <c r="C55" s="18"/>
      <c r="D55" s="18"/>
      <c r="E55" s="8"/>
      <c r="F55" s="8"/>
      <c r="G55" s="8"/>
      <c r="H55" s="8"/>
      <c r="I55" s="76"/>
    </row>
    <row r="56">
      <c r="A56" s="8"/>
      <c r="B56" s="8"/>
      <c r="C56" s="18"/>
      <c r="D56" s="18"/>
      <c r="E56" s="8"/>
      <c r="F56" s="8"/>
      <c r="G56" s="8"/>
      <c r="H56" s="8"/>
      <c r="I56" s="76"/>
    </row>
    <row r="57">
      <c r="A57" s="8"/>
      <c r="B57" s="8"/>
      <c r="C57" s="18"/>
      <c r="D57" s="18"/>
      <c r="E57" s="8"/>
      <c r="F57" s="8"/>
      <c r="G57" s="8"/>
      <c r="H57" s="8"/>
      <c r="I57" s="76"/>
    </row>
    <row r="58">
      <c r="A58" s="8"/>
      <c r="B58" s="8"/>
      <c r="C58" s="18"/>
      <c r="D58" s="18"/>
      <c r="E58" s="8"/>
      <c r="F58" s="8"/>
      <c r="G58" s="8"/>
      <c r="H58" s="8"/>
      <c r="I58" s="76"/>
    </row>
    <row r="59">
      <c r="A59" s="8"/>
      <c r="B59" s="8"/>
      <c r="C59" s="18"/>
      <c r="D59" s="18"/>
      <c r="E59" s="8"/>
      <c r="F59" s="8"/>
      <c r="G59" s="8"/>
      <c r="H59" s="8"/>
      <c r="I59" s="76"/>
    </row>
    <row r="60">
      <c r="A60" s="8"/>
      <c r="B60" s="8"/>
      <c r="C60" s="18"/>
      <c r="D60" s="18"/>
      <c r="E60" s="8"/>
      <c r="F60" s="8"/>
      <c r="G60" s="8"/>
      <c r="H60" s="8"/>
      <c r="I60" s="76"/>
    </row>
    <row r="61">
      <c r="A61" s="8"/>
      <c r="B61" s="8"/>
      <c r="C61" s="18"/>
      <c r="D61" s="18"/>
      <c r="E61" s="8"/>
      <c r="F61" s="8"/>
      <c r="G61" s="8"/>
      <c r="H61" s="8"/>
      <c r="I61" s="76"/>
    </row>
    <row r="62">
      <c r="A62" s="8"/>
      <c r="B62" s="8"/>
      <c r="C62" s="18"/>
      <c r="D62" s="18"/>
      <c r="E62" s="8"/>
      <c r="F62" s="8"/>
      <c r="G62" s="8"/>
      <c r="H62" s="8"/>
      <c r="I62" s="76"/>
    </row>
    <row r="63">
      <c r="A63" s="8"/>
      <c r="B63" s="8"/>
      <c r="C63" s="18"/>
      <c r="D63" s="18"/>
      <c r="E63" s="8"/>
      <c r="F63" s="8"/>
      <c r="G63" s="8"/>
      <c r="H63" s="8"/>
      <c r="I63" s="76"/>
    </row>
    <row r="64">
      <c r="A64" s="8"/>
      <c r="B64" s="8"/>
      <c r="C64" s="18"/>
      <c r="D64" s="18"/>
      <c r="E64" s="8"/>
      <c r="F64" s="8"/>
      <c r="G64" s="8"/>
      <c r="H64" s="8"/>
      <c r="I64" s="76"/>
    </row>
    <row r="65">
      <c r="A65" s="8"/>
      <c r="B65" s="8"/>
      <c r="C65" s="18"/>
      <c r="D65" s="18"/>
      <c r="E65" s="8"/>
      <c r="F65" s="8"/>
      <c r="G65" s="8"/>
      <c r="H65" s="8"/>
      <c r="I65" s="76"/>
    </row>
    <row r="66">
      <c r="A66" s="8"/>
      <c r="B66" s="8"/>
      <c r="C66" s="18"/>
      <c r="D66" s="18"/>
      <c r="E66" s="8"/>
      <c r="F66" s="8"/>
      <c r="G66" s="8"/>
      <c r="H66" s="8"/>
      <c r="I66" s="76"/>
    </row>
    <row r="67">
      <c r="A67" s="8"/>
      <c r="B67" s="8"/>
      <c r="C67" s="18"/>
      <c r="D67" s="18"/>
      <c r="E67" s="8"/>
      <c r="F67" s="8"/>
      <c r="G67" s="8"/>
      <c r="H67" s="8"/>
      <c r="I67" s="76"/>
    </row>
    <row r="68">
      <c r="A68" s="8"/>
      <c r="B68" s="8"/>
      <c r="C68" s="18"/>
      <c r="D68" s="18"/>
      <c r="E68" s="8"/>
      <c r="F68" s="8"/>
      <c r="G68" s="8"/>
      <c r="H68" s="8"/>
      <c r="I68" s="76"/>
    </row>
    <row r="69">
      <c r="A69" s="8"/>
      <c r="B69" s="8"/>
      <c r="C69" s="18"/>
      <c r="D69" s="18"/>
      <c r="E69" s="8"/>
      <c r="F69" s="8"/>
      <c r="G69" s="8"/>
      <c r="H69" s="8"/>
      <c r="I69" s="76"/>
    </row>
    <row r="70">
      <c r="A70" s="8"/>
      <c r="B70" s="8"/>
      <c r="C70" s="18"/>
      <c r="D70" s="18"/>
      <c r="E70" s="8"/>
      <c r="F70" s="8"/>
      <c r="G70" s="8"/>
      <c r="H70" s="8"/>
      <c r="I70" s="76"/>
    </row>
    <row r="71">
      <c r="A71" s="8"/>
      <c r="B71" s="8"/>
      <c r="C71" s="18"/>
      <c r="D71" s="18"/>
      <c r="E71" s="8"/>
      <c r="F71" s="8"/>
      <c r="G71" s="8"/>
      <c r="H71" s="8"/>
      <c r="I71" s="76"/>
    </row>
    <row r="72">
      <c r="A72" s="8"/>
      <c r="B72" s="8"/>
      <c r="C72" s="18"/>
      <c r="D72" s="18"/>
      <c r="E72" s="8"/>
      <c r="F72" s="8"/>
      <c r="G72" s="8"/>
      <c r="H72" s="8"/>
      <c r="I72" s="76"/>
    </row>
    <row r="73">
      <c r="A73" s="8"/>
      <c r="B73" s="8"/>
      <c r="C73" s="18"/>
      <c r="D73" s="18"/>
      <c r="E73" s="8"/>
      <c r="F73" s="8"/>
      <c r="G73" s="8"/>
      <c r="H73" s="8"/>
      <c r="I73" s="76"/>
    </row>
    <row r="74">
      <c r="A74" s="8"/>
      <c r="B74" s="8"/>
      <c r="C74" s="18"/>
      <c r="D74" s="18"/>
      <c r="E74" s="8"/>
      <c r="F74" s="8"/>
      <c r="G74" s="8"/>
      <c r="H74" s="8"/>
      <c r="I74" s="76"/>
    </row>
    <row r="75">
      <c r="A75" s="8"/>
      <c r="B75" s="8"/>
      <c r="C75" s="18"/>
      <c r="D75" s="18"/>
      <c r="E75" s="8"/>
      <c r="F75" s="8"/>
      <c r="G75" s="8"/>
      <c r="H75" s="8"/>
      <c r="I75" s="76"/>
    </row>
    <row r="76">
      <c r="A76" s="8"/>
      <c r="B76" s="8"/>
      <c r="C76" s="18"/>
      <c r="D76" s="18"/>
      <c r="E76" s="8"/>
      <c r="F76" s="8"/>
      <c r="G76" s="8"/>
      <c r="H76" s="8"/>
      <c r="I76" s="76"/>
    </row>
    <row r="77">
      <c r="A77" s="8"/>
      <c r="B77" s="8"/>
      <c r="C77" s="18"/>
      <c r="D77" s="18"/>
      <c r="E77" s="8"/>
      <c r="F77" s="8"/>
      <c r="G77" s="8"/>
      <c r="H77" s="8"/>
      <c r="I77" s="76"/>
    </row>
    <row r="78">
      <c r="A78" s="8"/>
      <c r="B78" s="8"/>
      <c r="C78" s="18"/>
      <c r="D78" s="18"/>
      <c r="E78" s="8"/>
      <c r="F78" s="8"/>
      <c r="G78" s="8"/>
      <c r="H78" s="8"/>
      <c r="I78" s="76"/>
    </row>
    <row r="79">
      <c r="A79" s="8"/>
      <c r="B79" s="8"/>
      <c r="C79" s="18"/>
      <c r="D79" s="18"/>
      <c r="E79" s="8"/>
      <c r="F79" s="8"/>
      <c r="G79" s="8"/>
      <c r="H79" s="8"/>
      <c r="I79" s="76"/>
    </row>
    <row r="80">
      <c r="A80" s="8"/>
      <c r="B80" s="8"/>
      <c r="C80" s="18"/>
      <c r="D80" s="18"/>
      <c r="E80" s="8"/>
      <c r="F80" s="8"/>
      <c r="G80" s="8"/>
      <c r="H80" s="8"/>
      <c r="I80" s="76"/>
    </row>
    <row r="81">
      <c r="A81" s="8"/>
      <c r="B81" s="8"/>
      <c r="C81" s="18"/>
      <c r="D81" s="18"/>
      <c r="E81" s="8"/>
      <c r="F81" s="8"/>
      <c r="G81" s="8"/>
      <c r="H81" s="8"/>
      <c r="I81" s="76"/>
    </row>
    <row r="82">
      <c r="A82" s="8"/>
      <c r="B82" s="8"/>
      <c r="C82" s="18"/>
      <c r="D82" s="18"/>
      <c r="E82" s="8"/>
      <c r="F82" s="8"/>
      <c r="G82" s="8"/>
      <c r="H82" s="8"/>
      <c r="I82" s="76"/>
    </row>
    <row r="83">
      <c r="A83" s="8"/>
      <c r="B83" s="8"/>
      <c r="C83" s="18"/>
      <c r="D83" s="18"/>
      <c r="E83" s="8"/>
      <c r="F83" s="8"/>
      <c r="G83" s="8"/>
      <c r="H83" s="8"/>
      <c r="I83" s="76"/>
    </row>
    <row r="84">
      <c r="A84" s="8"/>
      <c r="B84" s="8"/>
      <c r="C84" s="18"/>
      <c r="D84" s="18"/>
      <c r="E84" s="8"/>
      <c r="F84" s="8"/>
      <c r="G84" s="8"/>
      <c r="H84" s="8"/>
      <c r="I84" s="76"/>
    </row>
    <row r="85">
      <c r="A85" s="8"/>
      <c r="B85" s="8"/>
      <c r="C85" s="18"/>
      <c r="D85" s="18"/>
      <c r="E85" s="8"/>
      <c r="F85" s="8"/>
      <c r="G85" s="8"/>
      <c r="H85" s="8"/>
      <c r="I85" s="76"/>
    </row>
    <row r="86">
      <c r="A86" s="8"/>
      <c r="B86" s="8"/>
      <c r="C86" s="18"/>
      <c r="D86" s="18"/>
      <c r="E86" s="8"/>
      <c r="F86" s="8"/>
      <c r="G86" s="8"/>
      <c r="H86" s="8"/>
      <c r="I86" s="76"/>
    </row>
    <row r="87">
      <c r="A87" s="8"/>
      <c r="B87" s="8"/>
      <c r="C87" s="18"/>
      <c r="D87" s="18"/>
      <c r="E87" s="8"/>
      <c r="F87" s="8"/>
      <c r="G87" s="8"/>
      <c r="H87" s="8"/>
      <c r="I87" s="76"/>
    </row>
    <row r="88">
      <c r="A88" s="8"/>
      <c r="B88" s="8"/>
      <c r="C88" s="18"/>
      <c r="D88" s="18"/>
      <c r="E88" s="8"/>
      <c r="F88" s="8"/>
      <c r="G88" s="8"/>
      <c r="H88" s="8"/>
      <c r="I88" s="76"/>
    </row>
    <row r="89">
      <c r="A89" s="8"/>
      <c r="B89" s="8"/>
      <c r="C89" s="18"/>
      <c r="D89" s="18"/>
      <c r="E89" s="8"/>
      <c r="F89" s="8"/>
      <c r="G89" s="8"/>
      <c r="H89" s="8"/>
      <c r="I89" s="76"/>
    </row>
    <row r="90">
      <c r="A90" s="8"/>
      <c r="B90" s="8"/>
      <c r="C90" s="18"/>
      <c r="D90" s="18"/>
      <c r="E90" s="8"/>
      <c r="F90" s="8"/>
      <c r="G90" s="8"/>
      <c r="H90" s="8"/>
      <c r="I90" s="76"/>
    </row>
    <row r="91">
      <c r="A91" s="8"/>
      <c r="B91" s="8"/>
      <c r="C91" s="18"/>
      <c r="D91" s="18"/>
      <c r="E91" s="8"/>
      <c r="F91" s="8"/>
      <c r="G91" s="8"/>
      <c r="H91" s="8"/>
      <c r="I91" s="76"/>
    </row>
    <row r="92">
      <c r="A92" s="8"/>
      <c r="B92" s="8"/>
      <c r="C92" s="18"/>
      <c r="D92" s="18"/>
      <c r="E92" s="8"/>
      <c r="F92" s="8"/>
      <c r="G92" s="8"/>
      <c r="H92" s="8"/>
      <c r="I92" s="76"/>
    </row>
    <row r="93">
      <c r="A93" s="8"/>
      <c r="B93" s="8"/>
      <c r="C93" s="18"/>
      <c r="D93" s="18"/>
      <c r="E93" s="8"/>
      <c r="F93" s="8"/>
      <c r="G93" s="8"/>
      <c r="H93" s="8"/>
      <c r="I93" s="76"/>
    </row>
    <row r="94">
      <c r="A94" s="8"/>
      <c r="B94" s="8"/>
      <c r="C94" s="18"/>
      <c r="D94" s="18"/>
      <c r="E94" s="8"/>
      <c r="F94" s="8"/>
      <c r="G94" s="8"/>
      <c r="H94" s="8"/>
      <c r="I94" s="76"/>
    </row>
    <row r="95">
      <c r="A95" s="8"/>
      <c r="B95" s="8"/>
      <c r="C95" s="18"/>
      <c r="D95" s="18"/>
      <c r="E95" s="8"/>
      <c r="F95" s="8"/>
      <c r="G95" s="8"/>
      <c r="H95" s="8"/>
      <c r="I95" s="76"/>
    </row>
    <row r="96">
      <c r="A96" s="8"/>
      <c r="B96" s="8"/>
      <c r="C96" s="18"/>
      <c r="D96" s="18"/>
      <c r="E96" s="8"/>
      <c r="F96" s="8"/>
      <c r="G96" s="8"/>
      <c r="H96" s="8"/>
      <c r="I96" s="76"/>
    </row>
    <row r="97">
      <c r="A97" s="8"/>
      <c r="B97" s="8"/>
      <c r="C97" s="18"/>
      <c r="D97" s="18"/>
      <c r="E97" s="8"/>
      <c r="F97" s="8"/>
      <c r="G97" s="8"/>
      <c r="H97" s="8"/>
      <c r="I97" s="76"/>
    </row>
    <row r="98">
      <c r="A98" s="8"/>
      <c r="B98" s="8"/>
      <c r="C98" s="18"/>
      <c r="D98" s="18"/>
      <c r="E98" s="8"/>
      <c r="F98" s="8"/>
      <c r="G98" s="8"/>
      <c r="H98" s="8"/>
      <c r="I98" s="76"/>
    </row>
    <row r="99">
      <c r="A99" s="8"/>
      <c r="B99" s="8"/>
      <c r="C99" s="18"/>
      <c r="D99" s="18"/>
      <c r="E99" s="8"/>
      <c r="F99" s="8"/>
      <c r="G99" s="8"/>
      <c r="H99" s="8"/>
      <c r="I99" s="76"/>
    </row>
    <row r="100">
      <c r="A100" s="8"/>
      <c r="B100" s="8"/>
      <c r="C100" s="18"/>
      <c r="D100" s="18"/>
      <c r="E100" s="8"/>
      <c r="F100" s="8"/>
      <c r="G100" s="8"/>
      <c r="H100" s="8"/>
      <c r="I100" s="76"/>
    </row>
    <row r="101">
      <c r="A101" s="8"/>
      <c r="B101" s="8"/>
      <c r="C101" s="18"/>
      <c r="D101" s="18"/>
      <c r="E101" s="8"/>
      <c r="F101" s="8"/>
      <c r="G101" s="8"/>
      <c r="H101" s="8"/>
      <c r="I101" s="76"/>
    </row>
    <row r="102">
      <c r="A102" s="8"/>
      <c r="B102" s="8"/>
      <c r="C102" s="18"/>
      <c r="D102" s="18"/>
      <c r="E102" s="8"/>
      <c r="F102" s="8"/>
      <c r="G102" s="8"/>
      <c r="H102" s="8"/>
      <c r="I102" s="76"/>
    </row>
    <row r="103">
      <c r="A103" s="8"/>
      <c r="B103" s="8"/>
      <c r="C103" s="18"/>
      <c r="D103" s="18"/>
      <c r="E103" s="8"/>
      <c r="F103" s="8"/>
      <c r="G103" s="8"/>
      <c r="H103" s="8"/>
      <c r="I103" s="76"/>
    </row>
    <row r="104">
      <c r="A104" s="8"/>
      <c r="B104" s="8"/>
      <c r="C104" s="18"/>
      <c r="D104" s="18"/>
      <c r="E104" s="8"/>
      <c r="F104" s="8"/>
      <c r="G104" s="8"/>
      <c r="H104" s="8"/>
      <c r="I104" s="76"/>
    </row>
    <row r="105">
      <c r="A105" s="8"/>
      <c r="B105" s="8"/>
      <c r="C105" s="18"/>
      <c r="D105" s="18"/>
      <c r="E105" s="8"/>
      <c r="F105" s="8"/>
      <c r="G105" s="8"/>
      <c r="H105" s="8"/>
      <c r="I105" s="76"/>
    </row>
    <row r="106">
      <c r="A106" s="8"/>
      <c r="B106" s="8"/>
      <c r="C106" s="18"/>
      <c r="D106" s="18"/>
      <c r="E106" s="8"/>
      <c r="F106" s="8"/>
      <c r="G106" s="8"/>
      <c r="H106" s="8"/>
      <c r="I106" s="76"/>
    </row>
    <row r="107">
      <c r="A107" s="8"/>
      <c r="B107" s="8"/>
      <c r="C107" s="18"/>
      <c r="D107" s="18"/>
      <c r="E107" s="8"/>
      <c r="F107" s="8"/>
      <c r="G107" s="8"/>
      <c r="H107" s="8"/>
      <c r="I107" s="76"/>
    </row>
    <row r="108">
      <c r="A108" s="8"/>
      <c r="B108" s="8"/>
      <c r="C108" s="18"/>
      <c r="D108" s="18"/>
      <c r="E108" s="8"/>
      <c r="F108" s="8"/>
      <c r="G108" s="8"/>
      <c r="H108" s="8"/>
      <c r="I108" s="76"/>
    </row>
    <row r="109">
      <c r="A109" s="8"/>
      <c r="B109" s="8"/>
      <c r="C109" s="18"/>
      <c r="D109" s="18"/>
      <c r="E109" s="8"/>
      <c r="F109" s="8"/>
      <c r="G109" s="8"/>
      <c r="H109" s="8"/>
      <c r="I109" s="76"/>
    </row>
    <row r="110">
      <c r="A110" s="8"/>
      <c r="B110" s="8"/>
      <c r="C110" s="18"/>
      <c r="D110" s="18"/>
      <c r="E110" s="8"/>
      <c r="F110" s="8"/>
      <c r="G110" s="8"/>
      <c r="H110" s="8"/>
      <c r="I110" s="76"/>
    </row>
    <row r="111">
      <c r="A111" s="8"/>
      <c r="B111" s="8"/>
      <c r="C111" s="18"/>
      <c r="D111" s="18"/>
      <c r="E111" s="8"/>
      <c r="F111" s="8"/>
      <c r="G111" s="8"/>
      <c r="H111" s="8"/>
      <c r="I111" s="76"/>
    </row>
    <row r="112">
      <c r="A112" s="8"/>
      <c r="B112" s="8"/>
      <c r="C112" s="18"/>
      <c r="D112" s="18"/>
      <c r="E112" s="8"/>
      <c r="F112" s="8"/>
      <c r="G112" s="8"/>
      <c r="H112" s="8"/>
      <c r="I112" s="76"/>
    </row>
    <row r="113">
      <c r="A113" s="8"/>
      <c r="B113" s="8"/>
      <c r="C113" s="18"/>
      <c r="D113" s="18"/>
      <c r="E113" s="8"/>
      <c r="F113" s="8"/>
      <c r="G113" s="8"/>
      <c r="H113" s="8"/>
      <c r="I113" s="76"/>
    </row>
    <row r="114">
      <c r="A114" s="8"/>
      <c r="B114" s="8"/>
      <c r="C114" s="18"/>
      <c r="D114" s="18"/>
      <c r="E114" s="8"/>
      <c r="F114" s="8"/>
      <c r="G114" s="8"/>
      <c r="H114" s="8"/>
      <c r="I114" s="76"/>
    </row>
    <row r="115">
      <c r="A115" s="8"/>
      <c r="B115" s="8"/>
      <c r="C115" s="18"/>
      <c r="D115" s="18"/>
      <c r="E115" s="8"/>
      <c r="F115" s="8"/>
      <c r="G115" s="8"/>
      <c r="H115" s="8"/>
      <c r="I115" s="76"/>
    </row>
    <row r="116">
      <c r="A116" s="8"/>
      <c r="B116" s="8"/>
      <c r="C116" s="18"/>
      <c r="D116" s="18"/>
      <c r="E116" s="8"/>
      <c r="F116" s="8"/>
      <c r="G116" s="8"/>
      <c r="H116" s="8"/>
      <c r="I116" s="76"/>
    </row>
    <row r="117">
      <c r="A117" s="8"/>
      <c r="B117" s="8"/>
      <c r="C117" s="18"/>
      <c r="D117" s="18"/>
      <c r="E117" s="8"/>
      <c r="F117" s="8"/>
      <c r="G117" s="8"/>
      <c r="H117" s="8"/>
      <c r="I117" s="76"/>
    </row>
    <row r="118">
      <c r="A118" s="8"/>
      <c r="B118" s="8"/>
      <c r="C118" s="18"/>
      <c r="D118" s="18"/>
      <c r="E118" s="8"/>
      <c r="F118" s="8"/>
      <c r="G118" s="8"/>
      <c r="H118" s="8"/>
      <c r="I118" s="76"/>
    </row>
    <row r="119">
      <c r="A119" s="8"/>
      <c r="B119" s="8"/>
      <c r="C119" s="18"/>
      <c r="D119" s="18"/>
      <c r="E119" s="8"/>
      <c r="F119" s="8"/>
      <c r="G119" s="8"/>
      <c r="H119" s="8"/>
      <c r="I119" s="76"/>
    </row>
    <row r="120">
      <c r="A120" s="8"/>
      <c r="B120" s="8"/>
      <c r="C120" s="18"/>
      <c r="D120" s="18"/>
      <c r="E120" s="8"/>
      <c r="F120" s="8"/>
      <c r="G120" s="8"/>
      <c r="H120" s="8"/>
      <c r="I120" s="76"/>
    </row>
    <row r="121">
      <c r="A121" s="8"/>
      <c r="B121" s="8"/>
      <c r="C121" s="18"/>
      <c r="D121" s="18"/>
      <c r="E121" s="8"/>
      <c r="F121" s="8"/>
      <c r="G121" s="8"/>
      <c r="H121" s="8"/>
      <c r="I121" s="76"/>
    </row>
    <row r="122">
      <c r="A122" s="8"/>
      <c r="B122" s="8"/>
      <c r="C122" s="18"/>
      <c r="D122" s="18"/>
      <c r="E122" s="8"/>
      <c r="F122" s="8"/>
      <c r="G122" s="8"/>
      <c r="H122" s="8"/>
      <c r="I122" s="76"/>
    </row>
    <row r="123">
      <c r="A123" s="8"/>
      <c r="B123" s="8"/>
      <c r="C123" s="18"/>
      <c r="D123" s="18"/>
      <c r="E123" s="8"/>
      <c r="F123" s="8"/>
      <c r="G123" s="8"/>
      <c r="H123" s="8"/>
      <c r="I123" s="76"/>
    </row>
    <row r="124">
      <c r="A124" s="8"/>
      <c r="B124" s="8"/>
      <c r="C124" s="18"/>
      <c r="D124" s="18"/>
      <c r="E124" s="8"/>
      <c r="F124" s="8"/>
      <c r="G124" s="8"/>
      <c r="H124" s="8"/>
      <c r="I124" s="76"/>
    </row>
    <row r="125">
      <c r="A125" s="8"/>
      <c r="B125" s="8"/>
      <c r="C125" s="18"/>
      <c r="D125" s="18"/>
      <c r="E125" s="8"/>
      <c r="F125" s="8"/>
      <c r="G125" s="8"/>
      <c r="H125" s="8"/>
      <c r="I125" s="76"/>
    </row>
    <row r="126">
      <c r="A126" s="8"/>
      <c r="B126" s="8"/>
      <c r="C126" s="18"/>
      <c r="D126" s="18"/>
      <c r="E126" s="8"/>
      <c r="F126" s="8"/>
      <c r="G126" s="8"/>
      <c r="H126" s="8"/>
      <c r="I126" s="76"/>
    </row>
    <row r="127">
      <c r="A127" s="8"/>
      <c r="B127" s="8"/>
      <c r="C127" s="18"/>
      <c r="D127" s="18"/>
      <c r="E127" s="8"/>
      <c r="F127" s="8"/>
      <c r="G127" s="8"/>
      <c r="H127" s="8"/>
      <c r="I127" s="76"/>
    </row>
    <row r="128">
      <c r="A128" s="8"/>
      <c r="B128" s="8"/>
      <c r="C128" s="18"/>
      <c r="D128" s="18"/>
      <c r="E128" s="8"/>
      <c r="F128" s="8"/>
      <c r="G128" s="8"/>
      <c r="H128" s="8"/>
      <c r="I128" s="76"/>
    </row>
    <row r="129">
      <c r="A129" s="8"/>
      <c r="B129" s="8"/>
      <c r="C129" s="18"/>
      <c r="D129" s="18"/>
      <c r="E129" s="8"/>
      <c r="F129" s="8"/>
      <c r="G129" s="8"/>
      <c r="H129" s="8"/>
      <c r="I129" s="76"/>
    </row>
    <row r="130">
      <c r="A130" s="8"/>
      <c r="B130" s="8"/>
      <c r="C130" s="18"/>
      <c r="D130" s="18"/>
      <c r="E130" s="8"/>
      <c r="F130" s="8"/>
      <c r="G130" s="8"/>
      <c r="H130" s="8"/>
      <c r="I130" s="76"/>
    </row>
    <row r="131">
      <c r="A131" s="8"/>
      <c r="B131" s="8"/>
      <c r="C131" s="18"/>
      <c r="D131" s="18"/>
      <c r="E131" s="8"/>
      <c r="F131" s="8"/>
      <c r="G131" s="8"/>
      <c r="H131" s="8"/>
      <c r="I131" s="76"/>
    </row>
    <row r="132">
      <c r="A132" s="8"/>
      <c r="B132" s="8"/>
      <c r="C132" s="18"/>
      <c r="D132" s="18"/>
      <c r="E132" s="8"/>
      <c r="F132" s="8"/>
      <c r="G132" s="8"/>
      <c r="H132" s="8"/>
      <c r="I132" s="76"/>
    </row>
    <row r="133">
      <c r="A133" s="8"/>
      <c r="B133" s="8"/>
      <c r="C133" s="18"/>
      <c r="D133" s="18"/>
      <c r="E133" s="8"/>
      <c r="F133" s="8"/>
      <c r="G133" s="8"/>
      <c r="H133" s="8"/>
      <c r="I133" s="76"/>
    </row>
    <row r="134">
      <c r="A134" s="8"/>
      <c r="B134" s="8"/>
      <c r="C134" s="18"/>
      <c r="D134" s="18"/>
      <c r="E134" s="8"/>
      <c r="F134" s="8"/>
      <c r="G134" s="8"/>
      <c r="H134" s="8"/>
      <c r="I134" s="76"/>
    </row>
    <row r="135">
      <c r="A135" s="8"/>
      <c r="B135" s="8"/>
      <c r="C135" s="18"/>
      <c r="D135" s="18"/>
      <c r="E135" s="8"/>
      <c r="F135" s="8"/>
      <c r="G135" s="8"/>
      <c r="H135" s="8"/>
      <c r="I135" s="76"/>
    </row>
    <row r="136">
      <c r="A136" s="8"/>
      <c r="B136" s="8"/>
      <c r="C136" s="18"/>
      <c r="D136" s="18"/>
      <c r="E136" s="8"/>
      <c r="F136" s="8"/>
      <c r="G136" s="8"/>
      <c r="H136" s="8"/>
      <c r="I136" s="76"/>
    </row>
    <row r="137">
      <c r="A137" s="8"/>
      <c r="B137" s="8"/>
      <c r="C137" s="18"/>
      <c r="D137" s="18"/>
      <c r="E137" s="8"/>
      <c r="F137" s="8"/>
      <c r="G137" s="8"/>
      <c r="H137" s="8"/>
      <c r="I137" s="76"/>
    </row>
    <row r="138">
      <c r="A138" s="8"/>
      <c r="B138" s="8"/>
      <c r="C138" s="18"/>
      <c r="D138" s="18"/>
      <c r="E138" s="8"/>
      <c r="F138" s="8"/>
      <c r="G138" s="8"/>
      <c r="H138" s="8"/>
      <c r="I138" s="76"/>
    </row>
    <row r="139">
      <c r="A139" s="8"/>
      <c r="B139" s="8"/>
      <c r="C139" s="18"/>
      <c r="D139" s="18"/>
      <c r="E139" s="8"/>
      <c r="F139" s="8"/>
      <c r="G139" s="8"/>
      <c r="H139" s="8"/>
      <c r="I139" s="76"/>
    </row>
    <row r="140">
      <c r="A140" s="8"/>
      <c r="B140" s="8"/>
      <c r="C140" s="18"/>
      <c r="D140" s="18"/>
      <c r="E140" s="8"/>
      <c r="F140" s="8"/>
      <c r="G140" s="8"/>
      <c r="H140" s="8"/>
      <c r="I140" s="76"/>
    </row>
    <row r="141">
      <c r="A141" s="8"/>
      <c r="B141" s="8"/>
      <c r="C141" s="18"/>
      <c r="D141" s="18"/>
      <c r="E141" s="8"/>
      <c r="F141" s="8"/>
      <c r="G141" s="8"/>
      <c r="H141" s="8"/>
      <c r="I141" s="76"/>
    </row>
    <row r="142">
      <c r="A142" s="8"/>
      <c r="B142" s="8"/>
      <c r="C142" s="18"/>
      <c r="D142" s="18"/>
      <c r="E142" s="8"/>
      <c r="F142" s="8"/>
      <c r="G142" s="8"/>
      <c r="H142" s="8"/>
      <c r="I142" s="76"/>
    </row>
    <row r="143">
      <c r="A143" s="8"/>
      <c r="B143" s="8"/>
      <c r="C143" s="18"/>
      <c r="D143" s="18"/>
      <c r="E143" s="8"/>
      <c r="F143" s="8"/>
      <c r="G143" s="8"/>
      <c r="H143" s="8"/>
      <c r="I143" s="76"/>
    </row>
    <row r="144">
      <c r="A144" s="8"/>
      <c r="B144" s="8"/>
      <c r="C144" s="18"/>
      <c r="D144" s="18"/>
      <c r="E144" s="8"/>
      <c r="F144" s="8"/>
      <c r="G144" s="8"/>
      <c r="H144" s="8"/>
      <c r="I144" s="76"/>
    </row>
    <row r="145">
      <c r="A145" s="8"/>
      <c r="B145" s="8"/>
      <c r="C145" s="18"/>
      <c r="D145" s="18"/>
      <c r="E145" s="8"/>
      <c r="F145" s="8"/>
      <c r="G145" s="8"/>
      <c r="H145" s="8"/>
      <c r="I145" s="76"/>
    </row>
    <row r="146">
      <c r="A146" s="8"/>
      <c r="B146" s="8"/>
      <c r="C146" s="18"/>
      <c r="D146" s="18"/>
      <c r="E146" s="8"/>
      <c r="F146" s="8"/>
      <c r="G146" s="8"/>
      <c r="H146" s="8"/>
      <c r="I146" s="76"/>
    </row>
    <row r="147">
      <c r="A147" s="8"/>
      <c r="B147" s="8"/>
      <c r="C147" s="18"/>
      <c r="D147" s="18"/>
      <c r="E147" s="8"/>
      <c r="F147" s="8"/>
      <c r="G147" s="8"/>
      <c r="H147" s="8"/>
      <c r="I147" s="76"/>
    </row>
    <row r="148">
      <c r="A148" s="8"/>
      <c r="B148" s="8"/>
      <c r="C148" s="18"/>
      <c r="D148" s="18"/>
      <c r="E148" s="8"/>
      <c r="F148" s="8"/>
      <c r="G148" s="8"/>
      <c r="H148" s="8"/>
      <c r="I148" s="76"/>
    </row>
    <row r="149">
      <c r="A149" s="8"/>
      <c r="B149" s="8"/>
      <c r="C149" s="18"/>
      <c r="D149" s="18"/>
      <c r="E149" s="8"/>
      <c r="F149" s="8"/>
      <c r="G149" s="8"/>
      <c r="H149" s="8"/>
      <c r="I149" s="76"/>
    </row>
    <row r="150">
      <c r="A150" s="8"/>
      <c r="B150" s="8"/>
      <c r="C150" s="18"/>
      <c r="D150" s="18"/>
      <c r="E150" s="8"/>
      <c r="F150" s="8"/>
      <c r="G150" s="8"/>
      <c r="H150" s="8"/>
      <c r="I150" s="76"/>
    </row>
    <row r="151">
      <c r="A151" s="8"/>
      <c r="B151" s="8"/>
      <c r="C151" s="18"/>
      <c r="D151" s="18"/>
      <c r="E151" s="8"/>
      <c r="F151" s="8"/>
      <c r="G151" s="8"/>
      <c r="H151" s="8"/>
      <c r="I151" s="76"/>
    </row>
    <row r="152">
      <c r="A152" s="8"/>
      <c r="B152" s="8"/>
      <c r="C152" s="18"/>
      <c r="D152" s="18"/>
      <c r="E152" s="8"/>
      <c r="F152" s="8"/>
      <c r="G152" s="8"/>
      <c r="H152" s="8"/>
      <c r="I152" s="76"/>
    </row>
    <row r="153">
      <c r="A153" s="8"/>
      <c r="B153" s="8"/>
      <c r="C153" s="18"/>
      <c r="D153" s="18"/>
      <c r="E153" s="8"/>
      <c r="F153" s="8"/>
      <c r="G153" s="8"/>
      <c r="H153" s="8"/>
      <c r="I153" s="76"/>
    </row>
    <row r="154">
      <c r="A154" s="8"/>
      <c r="B154" s="8"/>
      <c r="C154" s="18"/>
      <c r="D154" s="18"/>
      <c r="E154" s="8"/>
      <c r="F154" s="8"/>
      <c r="G154" s="8"/>
      <c r="H154" s="8"/>
      <c r="I154" s="76"/>
    </row>
    <row r="155">
      <c r="A155" s="8"/>
      <c r="B155" s="8"/>
      <c r="C155" s="18"/>
      <c r="D155" s="18"/>
      <c r="E155" s="8"/>
      <c r="F155" s="8"/>
      <c r="G155" s="8"/>
      <c r="H155" s="8"/>
      <c r="I155" s="76"/>
    </row>
    <row r="156">
      <c r="A156" s="8"/>
      <c r="B156" s="8"/>
      <c r="C156" s="18"/>
      <c r="D156" s="18"/>
      <c r="E156" s="8"/>
      <c r="F156" s="8"/>
      <c r="G156" s="8"/>
      <c r="H156" s="8"/>
      <c r="I156" s="76"/>
    </row>
    <row r="157">
      <c r="A157" s="8"/>
      <c r="B157" s="8"/>
      <c r="C157" s="18"/>
      <c r="D157" s="18"/>
      <c r="E157" s="8"/>
      <c r="F157" s="8"/>
      <c r="G157" s="8"/>
      <c r="H157" s="8"/>
      <c r="I157" s="76"/>
    </row>
    <row r="158">
      <c r="A158" s="8"/>
      <c r="B158" s="8"/>
      <c r="C158" s="18"/>
      <c r="D158" s="18"/>
      <c r="E158" s="8"/>
      <c r="F158" s="8"/>
      <c r="G158" s="8"/>
      <c r="H158" s="8"/>
      <c r="I158" s="76"/>
    </row>
    <row r="159">
      <c r="A159" s="8"/>
      <c r="B159" s="8"/>
      <c r="C159" s="18"/>
      <c r="D159" s="18"/>
      <c r="E159" s="8"/>
      <c r="F159" s="8"/>
      <c r="G159" s="8"/>
      <c r="H159" s="8"/>
      <c r="I159" s="76"/>
    </row>
    <row r="160">
      <c r="A160" s="8"/>
      <c r="B160" s="8"/>
      <c r="C160" s="18"/>
      <c r="D160" s="18"/>
      <c r="E160" s="8"/>
      <c r="F160" s="8"/>
      <c r="G160" s="8"/>
      <c r="H160" s="8"/>
      <c r="I160" s="76"/>
    </row>
    <row r="161">
      <c r="A161" s="8"/>
      <c r="B161" s="8"/>
      <c r="C161" s="18"/>
      <c r="D161" s="18"/>
      <c r="E161" s="8"/>
      <c r="F161" s="8"/>
      <c r="G161" s="8"/>
      <c r="H161" s="8"/>
      <c r="I161" s="76"/>
    </row>
    <row r="162">
      <c r="A162" s="8"/>
      <c r="B162" s="8"/>
      <c r="C162" s="18"/>
      <c r="D162" s="18"/>
      <c r="E162" s="8"/>
      <c r="F162" s="8"/>
      <c r="G162" s="8"/>
      <c r="H162" s="8"/>
      <c r="I162" s="76"/>
    </row>
    <row r="163">
      <c r="A163" s="8"/>
      <c r="B163" s="8"/>
      <c r="C163" s="18"/>
      <c r="D163" s="18"/>
      <c r="E163" s="8"/>
      <c r="F163" s="8"/>
      <c r="G163" s="8"/>
      <c r="H163" s="8"/>
      <c r="I163" s="76"/>
    </row>
    <row r="164">
      <c r="A164" s="8"/>
      <c r="B164" s="8"/>
      <c r="C164" s="18"/>
      <c r="D164" s="18"/>
      <c r="E164" s="8"/>
      <c r="F164" s="8"/>
      <c r="G164" s="8"/>
      <c r="H164" s="8"/>
      <c r="I164" s="76"/>
    </row>
    <row r="165">
      <c r="A165" s="8"/>
      <c r="B165" s="8"/>
      <c r="C165" s="18"/>
      <c r="D165" s="18"/>
      <c r="E165" s="8"/>
      <c r="F165" s="8"/>
      <c r="G165" s="8"/>
      <c r="H165" s="8"/>
      <c r="I165" s="76"/>
    </row>
    <row r="166">
      <c r="A166" s="8"/>
      <c r="B166" s="8"/>
      <c r="C166" s="18"/>
      <c r="D166" s="18"/>
      <c r="E166" s="8"/>
      <c r="F166" s="8"/>
      <c r="G166" s="8"/>
      <c r="H166" s="8"/>
      <c r="I166" s="76"/>
    </row>
    <row r="167">
      <c r="A167" s="8"/>
      <c r="B167" s="8"/>
      <c r="C167" s="18"/>
      <c r="D167" s="18"/>
      <c r="E167" s="8"/>
      <c r="F167" s="8"/>
      <c r="G167" s="8"/>
      <c r="H167" s="8"/>
      <c r="I167" s="76"/>
    </row>
    <row r="168">
      <c r="A168" s="8"/>
      <c r="B168" s="8"/>
      <c r="C168" s="18"/>
      <c r="D168" s="18"/>
      <c r="E168" s="8"/>
      <c r="F168" s="8"/>
      <c r="G168" s="8"/>
      <c r="H168" s="8"/>
      <c r="I168" s="76"/>
    </row>
    <row r="169">
      <c r="A169" s="8"/>
      <c r="B169" s="8"/>
      <c r="C169" s="18"/>
      <c r="D169" s="18"/>
      <c r="E169" s="8"/>
      <c r="F169" s="8"/>
      <c r="G169" s="8"/>
      <c r="H169" s="8"/>
      <c r="I169" s="76"/>
    </row>
    <row r="170">
      <c r="A170" s="8"/>
      <c r="B170" s="8"/>
      <c r="C170" s="18"/>
      <c r="D170" s="18"/>
      <c r="E170" s="8"/>
      <c r="F170" s="8"/>
      <c r="G170" s="8"/>
      <c r="H170" s="8"/>
      <c r="I170" s="76"/>
    </row>
    <row r="171">
      <c r="A171" s="8"/>
      <c r="B171" s="8"/>
      <c r="C171" s="18"/>
      <c r="D171" s="18"/>
      <c r="E171" s="8"/>
      <c r="F171" s="8"/>
      <c r="G171" s="8"/>
      <c r="H171" s="8"/>
      <c r="I171" s="76"/>
    </row>
    <row r="172">
      <c r="A172" s="8"/>
      <c r="B172" s="8"/>
      <c r="C172" s="18"/>
      <c r="D172" s="18"/>
      <c r="E172" s="8"/>
      <c r="F172" s="8"/>
      <c r="G172" s="8"/>
      <c r="H172" s="8"/>
      <c r="I172" s="76"/>
    </row>
    <row r="173">
      <c r="A173" s="8"/>
      <c r="B173" s="8"/>
      <c r="C173" s="18"/>
      <c r="D173" s="18"/>
      <c r="E173" s="8"/>
      <c r="F173" s="8"/>
      <c r="G173" s="8"/>
      <c r="H173" s="8"/>
      <c r="I173" s="76"/>
    </row>
    <row r="174">
      <c r="A174" s="8"/>
      <c r="B174" s="8"/>
      <c r="C174" s="18"/>
      <c r="D174" s="18"/>
      <c r="E174" s="8"/>
      <c r="F174" s="8"/>
      <c r="G174" s="8"/>
      <c r="H174" s="8"/>
      <c r="I174" s="76"/>
    </row>
    <row r="175">
      <c r="A175" s="8"/>
      <c r="B175" s="8"/>
      <c r="C175" s="18"/>
      <c r="D175" s="18"/>
      <c r="E175" s="8"/>
      <c r="F175" s="8"/>
      <c r="G175" s="8"/>
      <c r="H175" s="8"/>
      <c r="I175" s="76"/>
    </row>
    <row r="176">
      <c r="A176" s="8"/>
      <c r="B176" s="8"/>
      <c r="C176" s="18"/>
      <c r="D176" s="18"/>
      <c r="E176" s="8"/>
      <c r="F176" s="8"/>
      <c r="G176" s="8"/>
      <c r="H176" s="8"/>
      <c r="I176" s="76"/>
    </row>
    <row r="177">
      <c r="A177" s="8"/>
      <c r="B177" s="8"/>
      <c r="C177" s="18"/>
      <c r="D177" s="18"/>
      <c r="E177" s="8"/>
      <c r="F177" s="8"/>
      <c r="G177" s="8"/>
      <c r="H177" s="8"/>
      <c r="I177" s="76"/>
    </row>
    <row r="178">
      <c r="A178" s="8"/>
      <c r="B178" s="8"/>
      <c r="C178" s="18"/>
      <c r="D178" s="18"/>
      <c r="E178" s="8"/>
      <c r="F178" s="8"/>
      <c r="G178" s="8"/>
      <c r="H178" s="8"/>
      <c r="I178" s="76"/>
    </row>
    <row r="179">
      <c r="A179" s="8"/>
      <c r="B179" s="8"/>
      <c r="C179" s="18"/>
      <c r="D179" s="18"/>
      <c r="E179" s="8"/>
      <c r="F179" s="8"/>
      <c r="G179" s="8"/>
      <c r="H179" s="8"/>
      <c r="I179" s="76"/>
    </row>
    <row r="180">
      <c r="A180" s="8"/>
      <c r="B180" s="8"/>
      <c r="C180" s="18"/>
      <c r="D180" s="18"/>
      <c r="E180" s="8"/>
      <c r="F180" s="8"/>
      <c r="G180" s="8"/>
      <c r="H180" s="8"/>
      <c r="I180" s="76"/>
    </row>
    <row r="181">
      <c r="A181" s="8"/>
      <c r="B181" s="8"/>
      <c r="C181" s="18"/>
      <c r="D181" s="18"/>
      <c r="E181" s="8"/>
      <c r="F181" s="8"/>
      <c r="G181" s="8"/>
      <c r="H181" s="8"/>
      <c r="I181" s="76"/>
    </row>
    <row r="182">
      <c r="A182" s="8"/>
      <c r="B182" s="8"/>
      <c r="C182" s="18"/>
      <c r="D182" s="18"/>
      <c r="E182" s="8"/>
      <c r="F182" s="8"/>
      <c r="G182" s="8"/>
      <c r="H182" s="8"/>
      <c r="I182" s="76"/>
    </row>
    <row r="183">
      <c r="A183" s="8"/>
      <c r="B183" s="8"/>
      <c r="C183" s="18"/>
      <c r="D183" s="18"/>
      <c r="E183" s="8"/>
      <c r="F183" s="8"/>
      <c r="G183" s="8"/>
      <c r="H183" s="8"/>
      <c r="I183" s="76"/>
    </row>
    <row r="184">
      <c r="A184" s="8"/>
      <c r="B184" s="8"/>
      <c r="C184" s="18"/>
      <c r="D184" s="18"/>
      <c r="E184" s="8"/>
      <c r="F184" s="8"/>
      <c r="G184" s="8"/>
      <c r="H184" s="8"/>
      <c r="I184" s="76"/>
    </row>
    <row r="185">
      <c r="A185" s="8"/>
      <c r="B185" s="8"/>
      <c r="C185" s="18"/>
      <c r="D185" s="18"/>
      <c r="E185" s="8"/>
      <c r="F185" s="8"/>
      <c r="G185" s="8"/>
      <c r="H185" s="8"/>
      <c r="I185" s="76"/>
    </row>
    <row r="186">
      <c r="A186" s="8"/>
      <c r="B186" s="8"/>
      <c r="C186" s="18"/>
      <c r="D186" s="18"/>
      <c r="E186" s="8"/>
      <c r="F186" s="8"/>
      <c r="G186" s="8"/>
      <c r="H186" s="8"/>
      <c r="I186" s="76"/>
    </row>
    <row r="187">
      <c r="A187" s="8"/>
      <c r="B187" s="8"/>
      <c r="C187" s="18"/>
      <c r="D187" s="18"/>
      <c r="E187" s="8"/>
      <c r="F187" s="8"/>
      <c r="G187" s="8"/>
      <c r="H187" s="8"/>
      <c r="I187" s="76"/>
    </row>
    <row r="188">
      <c r="A188" s="8"/>
      <c r="B188" s="8"/>
      <c r="C188" s="18"/>
      <c r="D188" s="18"/>
      <c r="E188" s="8"/>
      <c r="F188" s="8"/>
      <c r="G188" s="8"/>
      <c r="H188" s="8"/>
      <c r="I188" s="76"/>
    </row>
    <row r="189">
      <c r="A189" s="8"/>
      <c r="B189" s="8"/>
      <c r="C189" s="18"/>
      <c r="D189" s="18"/>
      <c r="E189" s="8"/>
      <c r="F189" s="8"/>
      <c r="G189" s="8"/>
      <c r="H189" s="8"/>
      <c r="I189" s="76"/>
    </row>
    <row r="190">
      <c r="A190" s="8"/>
      <c r="B190" s="8"/>
      <c r="C190" s="18"/>
      <c r="D190" s="18"/>
      <c r="E190" s="8"/>
      <c r="F190" s="8"/>
      <c r="G190" s="8"/>
      <c r="H190" s="8"/>
      <c r="I190" s="76"/>
    </row>
    <row r="191">
      <c r="A191" s="8"/>
      <c r="B191" s="8"/>
      <c r="C191" s="18"/>
      <c r="D191" s="18"/>
      <c r="E191" s="8"/>
      <c r="F191" s="8"/>
      <c r="G191" s="8"/>
      <c r="H191" s="8"/>
      <c r="I191" s="76"/>
    </row>
    <row r="192">
      <c r="A192" s="8"/>
      <c r="B192" s="8"/>
      <c r="C192" s="18"/>
      <c r="D192" s="18"/>
      <c r="E192" s="8"/>
      <c r="F192" s="8"/>
      <c r="G192" s="8"/>
      <c r="H192" s="8"/>
      <c r="I192" s="76"/>
    </row>
    <row r="193">
      <c r="A193" s="8"/>
      <c r="B193" s="8"/>
      <c r="C193" s="18"/>
      <c r="D193" s="18"/>
      <c r="E193" s="8"/>
      <c r="F193" s="8"/>
      <c r="G193" s="8"/>
      <c r="H193" s="8"/>
      <c r="I193" s="76"/>
    </row>
    <row r="194">
      <c r="A194" s="8"/>
      <c r="B194" s="8"/>
      <c r="C194" s="18"/>
      <c r="D194" s="18"/>
      <c r="E194" s="8"/>
      <c r="F194" s="8"/>
      <c r="G194" s="8"/>
      <c r="H194" s="8"/>
      <c r="I194" s="76"/>
    </row>
    <row r="195">
      <c r="A195" s="8"/>
      <c r="B195" s="8"/>
      <c r="C195" s="18"/>
      <c r="D195" s="18"/>
      <c r="E195" s="8"/>
      <c r="F195" s="8"/>
      <c r="G195" s="8"/>
      <c r="H195" s="8"/>
      <c r="I195" s="76"/>
    </row>
    <row r="196">
      <c r="A196" s="8"/>
      <c r="B196" s="8"/>
      <c r="C196" s="18"/>
      <c r="D196" s="18"/>
      <c r="E196" s="8"/>
      <c r="F196" s="8"/>
      <c r="G196" s="8"/>
      <c r="H196" s="8"/>
      <c r="I196" s="76"/>
    </row>
    <row r="197">
      <c r="A197" s="8"/>
      <c r="B197" s="8"/>
      <c r="C197" s="18"/>
      <c r="D197" s="18"/>
      <c r="E197" s="8"/>
      <c r="F197" s="8"/>
      <c r="G197" s="8"/>
      <c r="H197" s="8"/>
      <c r="I197" s="76"/>
    </row>
    <row r="198">
      <c r="A198" s="8"/>
      <c r="B198" s="8"/>
      <c r="C198" s="18"/>
      <c r="D198" s="18"/>
      <c r="E198" s="8"/>
      <c r="F198" s="8"/>
      <c r="G198" s="8"/>
      <c r="H198" s="8"/>
      <c r="I198" s="76"/>
    </row>
    <row r="199">
      <c r="A199" s="8"/>
      <c r="B199" s="8"/>
      <c r="C199" s="18"/>
      <c r="D199" s="18"/>
      <c r="E199" s="8"/>
      <c r="F199" s="8"/>
      <c r="G199" s="8"/>
      <c r="H199" s="8"/>
      <c r="I199" s="76"/>
    </row>
    <row r="200">
      <c r="A200" s="8"/>
      <c r="B200" s="8"/>
      <c r="C200" s="18"/>
      <c r="D200" s="18"/>
      <c r="E200" s="8"/>
      <c r="F200" s="8"/>
      <c r="G200" s="8"/>
      <c r="H200" s="8"/>
      <c r="I200" s="76"/>
    </row>
    <row r="201">
      <c r="A201" s="8"/>
      <c r="B201" s="8"/>
      <c r="C201" s="18"/>
      <c r="D201" s="18"/>
      <c r="E201" s="8"/>
      <c r="F201" s="8"/>
      <c r="G201" s="8"/>
      <c r="H201" s="8"/>
      <c r="I201" s="76"/>
    </row>
    <row r="202">
      <c r="A202" s="8"/>
      <c r="B202" s="8"/>
      <c r="C202" s="18"/>
      <c r="D202" s="18"/>
      <c r="E202" s="8"/>
      <c r="F202" s="8"/>
      <c r="G202" s="8"/>
      <c r="H202" s="8"/>
      <c r="I202" s="76"/>
    </row>
    <row r="203">
      <c r="A203" s="8"/>
      <c r="B203" s="8"/>
      <c r="C203" s="18"/>
      <c r="D203" s="18"/>
      <c r="E203" s="8"/>
      <c r="F203" s="8"/>
      <c r="G203" s="8"/>
      <c r="H203" s="8"/>
      <c r="I203" s="76"/>
    </row>
    <row r="204">
      <c r="A204" s="8"/>
      <c r="B204" s="8"/>
      <c r="C204" s="18"/>
      <c r="D204" s="18"/>
      <c r="E204" s="8"/>
      <c r="F204" s="8"/>
      <c r="G204" s="8"/>
      <c r="H204" s="8"/>
      <c r="I204" s="76"/>
    </row>
    <row r="205">
      <c r="A205" s="8"/>
      <c r="B205" s="8"/>
      <c r="C205" s="18"/>
      <c r="D205" s="18"/>
      <c r="E205" s="8"/>
      <c r="F205" s="8"/>
      <c r="G205" s="8"/>
      <c r="H205" s="8"/>
      <c r="I205" s="76"/>
    </row>
    <row r="206">
      <c r="A206" s="8"/>
      <c r="B206" s="8"/>
      <c r="C206" s="18"/>
      <c r="D206" s="18"/>
      <c r="E206" s="8"/>
      <c r="F206" s="8"/>
      <c r="G206" s="8"/>
      <c r="H206" s="8"/>
      <c r="I206" s="76"/>
    </row>
    <row r="207">
      <c r="A207" s="8"/>
      <c r="B207" s="8"/>
      <c r="C207" s="18"/>
      <c r="D207" s="18"/>
      <c r="E207" s="8"/>
      <c r="F207" s="8"/>
      <c r="G207" s="8"/>
      <c r="H207" s="8"/>
      <c r="I207" s="76"/>
    </row>
    <row r="208">
      <c r="A208" s="8"/>
      <c r="B208" s="8"/>
      <c r="C208" s="18"/>
      <c r="D208" s="18"/>
      <c r="E208" s="8"/>
      <c r="F208" s="8"/>
      <c r="G208" s="8"/>
      <c r="H208" s="8"/>
      <c r="I208" s="76"/>
    </row>
    <row r="209">
      <c r="A209" s="8"/>
      <c r="B209" s="8"/>
      <c r="C209" s="18"/>
      <c r="D209" s="18"/>
      <c r="E209" s="8"/>
      <c r="F209" s="8"/>
      <c r="G209" s="8"/>
      <c r="H209" s="8"/>
      <c r="I209" s="76"/>
    </row>
    <row r="210">
      <c r="A210" s="8"/>
      <c r="B210" s="8"/>
      <c r="C210" s="18"/>
      <c r="D210" s="18"/>
      <c r="E210" s="8"/>
      <c r="F210" s="8"/>
      <c r="G210" s="8"/>
      <c r="H210" s="8"/>
      <c r="I210" s="76"/>
    </row>
    <row r="211">
      <c r="A211" s="8"/>
      <c r="B211" s="8"/>
      <c r="C211" s="18"/>
      <c r="D211" s="18"/>
      <c r="E211" s="8"/>
      <c r="F211" s="8"/>
      <c r="G211" s="8"/>
      <c r="H211" s="8"/>
      <c r="I211" s="76"/>
    </row>
    <row r="212">
      <c r="A212" s="8"/>
      <c r="B212" s="8"/>
      <c r="C212" s="18"/>
      <c r="D212" s="18"/>
      <c r="E212" s="8"/>
      <c r="F212" s="8"/>
      <c r="G212" s="8"/>
      <c r="H212" s="8"/>
      <c r="I212" s="76"/>
    </row>
    <row r="213">
      <c r="A213" s="8"/>
      <c r="B213" s="8"/>
      <c r="C213" s="18"/>
      <c r="D213" s="18"/>
      <c r="E213" s="8"/>
      <c r="F213" s="8"/>
      <c r="G213" s="8"/>
      <c r="H213" s="8"/>
      <c r="I213" s="76"/>
    </row>
    <row r="214">
      <c r="A214" s="8"/>
      <c r="B214" s="8"/>
      <c r="C214" s="18"/>
      <c r="D214" s="18"/>
      <c r="E214" s="8"/>
      <c r="F214" s="8"/>
      <c r="G214" s="8"/>
      <c r="H214" s="8"/>
      <c r="I214" s="76"/>
    </row>
    <row r="215">
      <c r="A215" s="8"/>
      <c r="B215" s="8"/>
      <c r="C215" s="18"/>
      <c r="D215" s="18"/>
      <c r="E215" s="8"/>
      <c r="F215" s="8"/>
      <c r="G215" s="8"/>
      <c r="H215" s="8"/>
      <c r="I215" s="76"/>
    </row>
    <row r="216">
      <c r="A216" s="8"/>
      <c r="B216" s="8"/>
      <c r="C216" s="18"/>
      <c r="D216" s="18"/>
      <c r="E216" s="8"/>
      <c r="F216" s="8"/>
      <c r="G216" s="8"/>
      <c r="H216" s="8"/>
      <c r="I216" s="76"/>
    </row>
    <row r="217">
      <c r="A217" s="8"/>
      <c r="B217" s="8"/>
      <c r="C217" s="18"/>
      <c r="D217" s="18"/>
      <c r="E217" s="8"/>
      <c r="F217" s="8"/>
      <c r="G217" s="8"/>
      <c r="H217" s="8"/>
      <c r="I217" s="76"/>
    </row>
    <row r="218">
      <c r="A218" s="8"/>
      <c r="B218" s="8"/>
      <c r="C218" s="18"/>
      <c r="D218" s="18"/>
      <c r="E218" s="8"/>
      <c r="F218" s="8"/>
      <c r="G218" s="8"/>
      <c r="H218" s="8"/>
      <c r="I218" s="76"/>
    </row>
    <row r="219">
      <c r="A219" s="8"/>
      <c r="B219" s="8"/>
      <c r="C219" s="18"/>
      <c r="D219" s="18"/>
      <c r="E219" s="8"/>
      <c r="F219" s="8"/>
      <c r="G219" s="8"/>
      <c r="H219" s="8"/>
      <c r="I219" s="76"/>
    </row>
    <row r="220">
      <c r="A220" s="8"/>
      <c r="B220" s="8"/>
      <c r="C220" s="18"/>
      <c r="D220" s="18"/>
      <c r="E220" s="8"/>
      <c r="F220" s="8"/>
      <c r="G220" s="8"/>
      <c r="H220" s="8"/>
      <c r="I220" s="76"/>
    </row>
    <row r="221">
      <c r="A221" s="8"/>
      <c r="B221" s="8"/>
      <c r="C221" s="18"/>
      <c r="D221" s="18"/>
      <c r="E221" s="8"/>
      <c r="F221" s="8"/>
      <c r="G221" s="8"/>
      <c r="H221" s="8"/>
      <c r="I221" s="76"/>
    </row>
    <row r="222">
      <c r="A222" s="8"/>
      <c r="B222" s="8"/>
      <c r="C222" s="18"/>
      <c r="D222" s="18"/>
      <c r="E222" s="8"/>
      <c r="F222" s="8"/>
      <c r="G222" s="8"/>
      <c r="H222" s="8"/>
      <c r="I222" s="76"/>
    </row>
    <row r="223">
      <c r="A223" s="8"/>
      <c r="B223" s="8"/>
      <c r="C223" s="18"/>
      <c r="D223" s="18"/>
      <c r="E223" s="8"/>
      <c r="F223" s="8"/>
      <c r="G223" s="8"/>
      <c r="H223" s="8"/>
      <c r="I223" s="76"/>
    </row>
    <row r="224">
      <c r="A224" s="8"/>
      <c r="B224" s="8"/>
      <c r="C224" s="18"/>
      <c r="D224" s="18"/>
      <c r="E224" s="8"/>
      <c r="F224" s="8"/>
      <c r="G224" s="8"/>
      <c r="H224" s="8"/>
      <c r="I224" s="76"/>
    </row>
    <row r="225">
      <c r="A225" s="8"/>
      <c r="B225" s="8"/>
      <c r="C225" s="18"/>
      <c r="D225" s="18"/>
      <c r="E225" s="8"/>
      <c r="F225" s="8"/>
      <c r="G225" s="8"/>
      <c r="H225" s="8"/>
      <c r="I225" s="76"/>
    </row>
    <row r="226">
      <c r="A226" s="8"/>
      <c r="B226" s="8"/>
      <c r="C226" s="18"/>
      <c r="D226" s="18"/>
      <c r="E226" s="8"/>
      <c r="F226" s="8"/>
      <c r="G226" s="8"/>
      <c r="H226" s="8"/>
      <c r="I226" s="76"/>
    </row>
    <row r="227">
      <c r="A227" s="8"/>
      <c r="B227" s="8"/>
      <c r="C227" s="18"/>
      <c r="D227" s="18"/>
      <c r="E227" s="8"/>
      <c r="F227" s="8"/>
      <c r="G227" s="8"/>
      <c r="H227" s="8"/>
      <c r="I227" s="76"/>
    </row>
    <row r="228">
      <c r="A228" s="8"/>
      <c r="B228" s="8"/>
      <c r="C228" s="18"/>
      <c r="D228" s="18"/>
      <c r="E228" s="8"/>
      <c r="F228" s="8"/>
      <c r="G228" s="8"/>
      <c r="H228" s="8"/>
      <c r="I228" s="76"/>
    </row>
    <row r="229">
      <c r="A229" s="8"/>
      <c r="B229" s="8"/>
      <c r="C229" s="18"/>
      <c r="D229" s="18"/>
      <c r="E229" s="8"/>
      <c r="F229" s="8"/>
      <c r="G229" s="8"/>
      <c r="H229" s="8"/>
      <c r="I229" s="76"/>
    </row>
    <row r="230">
      <c r="A230" s="8"/>
      <c r="B230" s="8"/>
      <c r="C230" s="18"/>
      <c r="D230" s="18"/>
      <c r="E230" s="8"/>
      <c r="F230" s="8"/>
      <c r="G230" s="8"/>
      <c r="H230" s="8"/>
      <c r="I230" s="76"/>
    </row>
    <row r="231">
      <c r="A231" s="8"/>
      <c r="B231" s="8"/>
      <c r="C231" s="18"/>
      <c r="D231" s="18"/>
      <c r="E231" s="8"/>
      <c r="F231" s="8"/>
      <c r="G231" s="8"/>
      <c r="H231" s="8"/>
      <c r="I231" s="76"/>
    </row>
    <row r="232">
      <c r="A232" s="8"/>
      <c r="B232" s="8"/>
      <c r="C232" s="18"/>
      <c r="D232" s="18"/>
      <c r="E232" s="8"/>
      <c r="F232" s="8"/>
      <c r="G232" s="8"/>
      <c r="H232" s="8"/>
      <c r="I232" s="76"/>
    </row>
    <row r="233">
      <c r="A233" s="8"/>
      <c r="B233" s="8"/>
      <c r="C233" s="18"/>
      <c r="D233" s="18"/>
      <c r="E233" s="8"/>
      <c r="F233" s="8"/>
      <c r="G233" s="8"/>
      <c r="H233" s="8"/>
      <c r="I233" s="76"/>
    </row>
    <row r="234">
      <c r="A234" s="8"/>
      <c r="B234" s="8"/>
      <c r="C234" s="18"/>
      <c r="D234" s="18"/>
      <c r="E234" s="8"/>
      <c r="F234" s="8"/>
      <c r="G234" s="8"/>
      <c r="H234" s="8"/>
      <c r="I234" s="76"/>
    </row>
    <row r="235">
      <c r="A235" s="8"/>
      <c r="B235" s="8"/>
      <c r="C235" s="18"/>
      <c r="D235" s="18"/>
      <c r="E235" s="8"/>
      <c r="F235" s="8"/>
      <c r="G235" s="8"/>
      <c r="H235" s="8"/>
      <c r="I235" s="76"/>
    </row>
    <row r="236">
      <c r="A236" s="8"/>
      <c r="B236" s="8"/>
      <c r="C236" s="18"/>
      <c r="D236" s="18"/>
      <c r="E236" s="8"/>
      <c r="F236" s="8"/>
      <c r="G236" s="8"/>
      <c r="H236" s="8"/>
      <c r="I236" s="76"/>
    </row>
    <row r="237">
      <c r="A237" s="8"/>
      <c r="B237" s="8"/>
      <c r="C237" s="18"/>
      <c r="D237" s="18"/>
      <c r="E237" s="8"/>
      <c r="F237" s="8"/>
      <c r="G237" s="8"/>
      <c r="H237" s="8"/>
      <c r="I237" s="76"/>
    </row>
    <row r="238">
      <c r="A238" s="8"/>
      <c r="B238" s="8"/>
      <c r="C238" s="18"/>
      <c r="D238" s="18"/>
      <c r="E238" s="8"/>
      <c r="F238" s="8"/>
      <c r="G238" s="8"/>
      <c r="H238" s="8"/>
      <c r="I238" s="76"/>
    </row>
    <row r="239">
      <c r="A239" s="8"/>
      <c r="B239" s="8"/>
      <c r="C239" s="18"/>
      <c r="D239" s="18"/>
      <c r="E239" s="8"/>
      <c r="F239" s="8"/>
      <c r="G239" s="8"/>
      <c r="H239" s="8"/>
      <c r="I239" s="76"/>
    </row>
    <row r="240">
      <c r="A240" s="8"/>
      <c r="B240" s="8"/>
      <c r="C240" s="18"/>
      <c r="D240" s="18"/>
      <c r="E240" s="8"/>
      <c r="F240" s="8"/>
      <c r="G240" s="8"/>
      <c r="H240" s="8"/>
      <c r="I240" s="76"/>
    </row>
    <row r="241">
      <c r="A241" s="8"/>
      <c r="B241" s="8"/>
      <c r="C241" s="18"/>
      <c r="D241" s="18"/>
      <c r="E241" s="8"/>
      <c r="F241" s="8"/>
      <c r="G241" s="8"/>
      <c r="H241" s="8"/>
      <c r="I241" s="76"/>
    </row>
    <row r="242">
      <c r="A242" s="8"/>
      <c r="B242" s="8"/>
      <c r="C242" s="18"/>
      <c r="D242" s="18"/>
      <c r="E242" s="8"/>
      <c r="F242" s="8"/>
      <c r="G242" s="8"/>
      <c r="H242" s="8"/>
      <c r="I242" s="76"/>
    </row>
    <row r="243">
      <c r="A243" s="8"/>
      <c r="B243" s="8"/>
      <c r="C243" s="18"/>
      <c r="D243" s="18"/>
      <c r="E243" s="8"/>
      <c r="F243" s="8"/>
      <c r="G243" s="8"/>
      <c r="H243" s="8"/>
      <c r="I243" s="76"/>
    </row>
    <row r="244">
      <c r="A244" s="8"/>
      <c r="B244" s="8"/>
      <c r="C244" s="18"/>
      <c r="D244" s="18"/>
      <c r="E244" s="8"/>
      <c r="F244" s="8"/>
      <c r="G244" s="8"/>
      <c r="H244" s="8"/>
      <c r="I244" s="76"/>
    </row>
    <row r="245">
      <c r="A245" s="8"/>
      <c r="B245" s="8"/>
      <c r="C245" s="18"/>
      <c r="D245" s="18"/>
      <c r="E245" s="8"/>
      <c r="F245" s="8"/>
      <c r="G245" s="8"/>
      <c r="H245" s="8"/>
      <c r="I245" s="76"/>
    </row>
    <row r="246">
      <c r="A246" s="8"/>
      <c r="B246" s="8"/>
      <c r="C246" s="18"/>
      <c r="D246" s="18"/>
      <c r="E246" s="8"/>
      <c r="F246" s="8"/>
      <c r="G246" s="8"/>
      <c r="H246" s="8"/>
      <c r="I246" s="76"/>
    </row>
    <row r="247">
      <c r="A247" s="8"/>
      <c r="B247" s="8"/>
      <c r="C247" s="18"/>
      <c r="D247" s="18"/>
      <c r="E247" s="8"/>
      <c r="F247" s="8"/>
      <c r="G247" s="8"/>
      <c r="H247" s="8"/>
      <c r="I247" s="76"/>
    </row>
    <row r="248">
      <c r="A248" s="8"/>
      <c r="B248" s="8"/>
      <c r="C248" s="18"/>
      <c r="D248" s="18"/>
      <c r="E248" s="8"/>
      <c r="F248" s="8"/>
      <c r="G248" s="8"/>
      <c r="H248" s="8"/>
      <c r="I248" s="76"/>
    </row>
    <row r="249">
      <c r="A249" s="8"/>
      <c r="B249" s="8"/>
      <c r="C249" s="18"/>
      <c r="D249" s="18"/>
      <c r="E249" s="8"/>
      <c r="F249" s="8"/>
      <c r="G249" s="8"/>
      <c r="H249" s="8"/>
      <c r="I249" s="76"/>
    </row>
    <row r="250">
      <c r="A250" s="8"/>
      <c r="B250" s="8"/>
      <c r="C250" s="18"/>
      <c r="D250" s="18"/>
      <c r="E250" s="8"/>
      <c r="F250" s="8"/>
      <c r="G250" s="8"/>
      <c r="H250" s="8"/>
      <c r="I250" s="76"/>
    </row>
    <row r="251">
      <c r="A251" s="8"/>
      <c r="B251" s="8"/>
      <c r="C251" s="18"/>
      <c r="D251" s="18"/>
      <c r="E251" s="8"/>
      <c r="F251" s="8"/>
      <c r="G251" s="8"/>
      <c r="H251" s="8"/>
      <c r="I251" s="76"/>
    </row>
    <row r="252">
      <c r="A252" s="8"/>
      <c r="B252" s="8"/>
      <c r="C252" s="18"/>
      <c r="D252" s="18"/>
      <c r="E252" s="8"/>
      <c r="F252" s="8"/>
      <c r="G252" s="8"/>
      <c r="H252" s="8"/>
      <c r="I252" s="76"/>
    </row>
    <row r="253">
      <c r="A253" s="8"/>
      <c r="B253" s="8"/>
      <c r="C253" s="18"/>
      <c r="D253" s="18"/>
      <c r="E253" s="8"/>
      <c r="F253" s="8"/>
      <c r="G253" s="8"/>
      <c r="H253" s="8"/>
      <c r="I253" s="76"/>
    </row>
    <row r="254">
      <c r="A254" s="8"/>
      <c r="B254" s="8"/>
      <c r="C254" s="18"/>
      <c r="D254" s="18"/>
      <c r="E254" s="8"/>
      <c r="F254" s="8"/>
      <c r="G254" s="8"/>
      <c r="H254" s="8"/>
      <c r="I254" s="76"/>
    </row>
    <row r="255">
      <c r="A255" s="8"/>
      <c r="B255" s="8"/>
      <c r="C255" s="18"/>
      <c r="D255" s="18"/>
      <c r="E255" s="8"/>
      <c r="F255" s="8"/>
      <c r="G255" s="8"/>
      <c r="H255" s="8"/>
      <c r="I255" s="76"/>
    </row>
    <row r="256">
      <c r="A256" s="8"/>
      <c r="B256" s="8"/>
      <c r="C256" s="18"/>
      <c r="D256" s="18"/>
      <c r="E256" s="8"/>
      <c r="F256" s="8"/>
      <c r="G256" s="8"/>
      <c r="H256" s="8"/>
      <c r="I256" s="76"/>
    </row>
    <row r="257">
      <c r="A257" s="8"/>
      <c r="B257" s="8"/>
      <c r="C257" s="18"/>
      <c r="D257" s="18"/>
      <c r="E257" s="8"/>
      <c r="F257" s="8"/>
      <c r="G257" s="8"/>
      <c r="H257" s="8"/>
      <c r="I257" s="76"/>
    </row>
    <row r="258">
      <c r="A258" s="8"/>
      <c r="B258" s="8"/>
      <c r="C258" s="18"/>
      <c r="D258" s="18"/>
      <c r="E258" s="8"/>
      <c r="F258" s="8"/>
      <c r="G258" s="8"/>
      <c r="H258" s="8"/>
      <c r="I258" s="76"/>
    </row>
    <row r="259">
      <c r="A259" s="8"/>
      <c r="B259" s="8"/>
      <c r="C259" s="18"/>
      <c r="D259" s="18"/>
      <c r="E259" s="8"/>
      <c r="F259" s="8"/>
      <c r="G259" s="8"/>
      <c r="H259" s="8"/>
      <c r="I259" s="76"/>
    </row>
    <row r="260">
      <c r="A260" s="8"/>
      <c r="B260" s="8"/>
      <c r="C260" s="18"/>
      <c r="D260" s="18"/>
      <c r="E260" s="8"/>
      <c r="F260" s="8"/>
      <c r="G260" s="8"/>
      <c r="H260" s="8"/>
      <c r="I260" s="76"/>
    </row>
    <row r="261">
      <c r="A261" s="8"/>
      <c r="B261" s="8"/>
      <c r="C261" s="18"/>
      <c r="D261" s="18"/>
      <c r="E261" s="8"/>
      <c r="F261" s="8"/>
      <c r="G261" s="8"/>
      <c r="H261" s="8"/>
      <c r="I261" s="76"/>
    </row>
    <row r="262">
      <c r="A262" s="8"/>
      <c r="B262" s="8"/>
      <c r="C262" s="18"/>
      <c r="D262" s="18"/>
      <c r="E262" s="8"/>
      <c r="F262" s="8"/>
      <c r="G262" s="8"/>
      <c r="H262" s="8"/>
      <c r="I262" s="76"/>
    </row>
    <row r="263">
      <c r="A263" s="8"/>
      <c r="B263" s="8"/>
      <c r="C263" s="18"/>
      <c r="D263" s="18"/>
      <c r="E263" s="8"/>
      <c r="F263" s="8"/>
      <c r="G263" s="8"/>
      <c r="H263" s="8"/>
      <c r="I263" s="76"/>
    </row>
    <row r="264">
      <c r="A264" s="8"/>
      <c r="B264" s="8"/>
      <c r="C264" s="18"/>
      <c r="D264" s="18"/>
      <c r="E264" s="8"/>
      <c r="F264" s="8"/>
      <c r="G264" s="8"/>
      <c r="H264" s="8"/>
      <c r="I264" s="76"/>
    </row>
    <row r="265">
      <c r="A265" s="8"/>
      <c r="B265" s="8"/>
      <c r="C265" s="18"/>
      <c r="D265" s="18"/>
      <c r="E265" s="8"/>
      <c r="F265" s="8"/>
      <c r="G265" s="8"/>
      <c r="H265" s="8"/>
      <c r="I265" s="76"/>
    </row>
    <row r="266">
      <c r="A266" s="8"/>
      <c r="B266" s="8"/>
      <c r="C266" s="18"/>
      <c r="D266" s="18"/>
      <c r="E266" s="8"/>
      <c r="F266" s="8"/>
      <c r="G266" s="8"/>
      <c r="H266" s="8"/>
      <c r="I266" s="76"/>
    </row>
    <row r="267">
      <c r="A267" s="8"/>
      <c r="B267" s="8"/>
      <c r="C267" s="18"/>
      <c r="D267" s="18"/>
      <c r="E267" s="8"/>
      <c r="F267" s="8"/>
      <c r="G267" s="8"/>
      <c r="H267" s="8"/>
      <c r="I267" s="76"/>
    </row>
    <row r="268">
      <c r="A268" s="8"/>
      <c r="B268" s="8"/>
      <c r="C268" s="18"/>
      <c r="D268" s="18"/>
      <c r="E268" s="8"/>
      <c r="F268" s="8"/>
      <c r="G268" s="8"/>
      <c r="H268" s="8"/>
      <c r="I268" s="76"/>
    </row>
    <row r="269">
      <c r="A269" s="8"/>
      <c r="B269" s="8"/>
      <c r="C269" s="18"/>
      <c r="D269" s="18"/>
      <c r="E269" s="8"/>
      <c r="F269" s="8"/>
      <c r="G269" s="8"/>
      <c r="H269" s="8"/>
      <c r="I269" s="76"/>
    </row>
    <row r="270">
      <c r="A270" s="8"/>
      <c r="B270" s="8"/>
      <c r="C270" s="18"/>
      <c r="D270" s="18"/>
      <c r="E270" s="8"/>
      <c r="F270" s="8"/>
      <c r="G270" s="8"/>
      <c r="H270" s="8"/>
      <c r="I270" s="76"/>
    </row>
    <row r="271">
      <c r="A271" s="8"/>
      <c r="B271" s="8"/>
      <c r="C271" s="18"/>
      <c r="D271" s="18"/>
      <c r="E271" s="8"/>
      <c r="F271" s="8"/>
      <c r="G271" s="8"/>
      <c r="H271" s="8"/>
      <c r="I271" s="76"/>
    </row>
    <row r="272">
      <c r="A272" s="8"/>
      <c r="B272" s="8"/>
      <c r="C272" s="18"/>
      <c r="D272" s="18"/>
      <c r="E272" s="8"/>
      <c r="F272" s="8"/>
      <c r="G272" s="8"/>
      <c r="H272" s="8"/>
      <c r="I272" s="76"/>
    </row>
    <row r="273">
      <c r="A273" s="8"/>
      <c r="B273" s="8"/>
      <c r="C273" s="18"/>
      <c r="D273" s="18"/>
      <c r="E273" s="8"/>
      <c r="F273" s="8"/>
      <c r="G273" s="8"/>
      <c r="H273" s="8"/>
      <c r="I273" s="76"/>
    </row>
    <row r="274">
      <c r="A274" s="8"/>
      <c r="B274" s="8"/>
      <c r="C274" s="18"/>
      <c r="D274" s="18"/>
      <c r="E274" s="8"/>
      <c r="F274" s="8"/>
      <c r="G274" s="8"/>
      <c r="H274" s="8"/>
      <c r="I274" s="76"/>
    </row>
    <row r="275">
      <c r="A275" s="8"/>
      <c r="B275" s="8"/>
      <c r="C275" s="18"/>
      <c r="D275" s="18"/>
      <c r="E275" s="8"/>
      <c r="F275" s="8"/>
      <c r="G275" s="8"/>
      <c r="H275" s="8"/>
      <c r="I275" s="76"/>
    </row>
    <row r="276">
      <c r="A276" s="8"/>
      <c r="B276" s="8"/>
      <c r="C276" s="18"/>
      <c r="D276" s="18"/>
      <c r="E276" s="8"/>
      <c r="F276" s="8"/>
      <c r="G276" s="8"/>
      <c r="H276" s="8"/>
      <c r="I276" s="76"/>
    </row>
    <row r="277">
      <c r="A277" s="8"/>
      <c r="B277" s="8"/>
      <c r="C277" s="18"/>
      <c r="D277" s="18"/>
      <c r="E277" s="8"/>
      <c r="F277" s="8"/>
      <c r="G277" s="8"/>
      <c r="H277" s="8"/>
      <c r="I277" s="76"/>
    </row>
    <row r="278">
      <c r="A278" s="8"/>
      <c r="B278" s="8"/>
      <c r="C278" s="18"/>
      <c r="D278" s="18"/>
      <c r="E278" s="8"/>
      <c r="F278" s="8"/>
      <c r="G278" s="8"/>
      <c r="H278" s="8"/>
      <c r="I278" s="76"/>
    </row>
    <row r="279">
      <c r="A279" s="8"/>
      <c r="B279" s="8"/>
      <c r="C279" s="18"/>
      <c r="D279" s="18"/>
      <c r="E279" s="8"/>
      <c r="F279" s="8"/>
      <c r="G279" s="8"/>
      <c r="H279" s="8"/>
      <c r="I279" s="76"/>
    </row>
    <row r="280">
      <c r="A280" s="8"/>
      <c r="B280" s="8"/>
      <c r="C280" s="18"/>
      <c r="D280" s="18"/>
      <c r="E280" s="8"/>
      <c r="F280" s="8"/>
      <c r="G280" s="8"/>
      <c r="H280" s="8"/>
      <c r="I280" s="76"/>
    </row>
    <row r="281">
      <c r="A281" s="8"/>
      <c r="B281" s="8"/>
      <c r="C281" s="18"/>
      <c r="D281" s="18"/>
      <c r="E281" s="8"/>
      <c r="F281" s="8"/>
      <c r="G281" s="8"/>
      <c r="H281" s="8"/>
      <c r="I281" s="76"/>
    </row>
    <row r="282">
      <c r="A282" s="8"/>
      <c r="B282" s="8"/>
      <c r="C282" s="18"/>
      <c r="D282" s="18"/>
      <c r="E282" s="8"/>
      <c r="F282" s="8"/>
      <c r="G282" s="8"/>
      <c r="H282" s="8"/>
      <c r="I282" s="76"/>
    </row>
    <row r="283">
      <c r="A283" s="8"/>
      <c r="B283" s="8"/>
      <c r="C283" s="18"/>
      <c r="D283" s="18"/>
      <c r="E283" s="8"/>
      <c r="F283" s="8"/>
      <c r="G283" s="8"/>
      <c r="H283" s="8"/>
      <c r="I283" s="76"/>
    </row>
    <row r="284">
      <c r="A284" s="8"/>
      <c r="B284" s="8"/>
      <c r="C284" s="18"/>
      <c r="D284" s="18"/>
      <c r="E284" s="8"/>
      <c r="F284" s="8"/>
      <c r="G284" s="8"/>
      <c r="H284" s="8"/>
      <c r="I284" s="76"/>
    </row>
    <row r="285">
      <c r="A285" s="8"/>
      <c r="B285" s="8"/>
      <c r="C285" s="18"/>
      <c r="D285" s="18"/>
      <c r="E285" s="8"/>
      <c r="F285" s="8"/>
      <c r="G285" s="8"/>
      <c r="H285" s="8"/>
      <c r="I285" s="76"/>
    </row>
    <row r="286">
      <c r="A286" s="8"/>
      <c r="B286" s="8"/>
      <c r="C286" s="18"/>
      <c r="D286" s="18"/>
      <c r="E286" s="8"/>
      <c r="F286" s="8"/>
      <c r="G286" s="8"/>
      <c r="H286" s="8"/>
      <c r="I286" s="76"/>
    </row>
    <row r="287">
      <c r="A287" s="8"/>
      <c r="B287" s="8"/>
      <c r="C287" s="18"/>
      <c r="D287" s="18"/>
      <c r="E287" s="8"/>
      <c r="F287" s="8"/>
      <c r="G287" s="8"/>
      <c r="H287" s="8"/>
      <c r="I287" s="76"/>
    </row>
    <row r="288">
      <c r="A288" s="8"/>
      <c r="B288" s="8"/>
      <c r="C288" s="18"/>
      <c r="D288" s="18"/>
      <c r="E288" s="8"/>
      <c r="F288" s="8"/>
      <c r="G288" s="8"/>
      <c r="H288" s="8"/>
      <c r="I288" s="76"/>
    </row>
    <row r="289">
      <c r="A289" s="8"/>
      <c r="B289" s="8"/>
      <c r="C289" s="18"/>
      <c r="D289" s="18"/>
      <c r="E289" s="8"/>
      <c r="F289" s="8"/>
      <c r="G289" s="8"/>
      <c r="H289" s="8"/>
      <c r="I289" s="76"/>
    </row>
    <row r="290">
      <c r="A290" s="8"/>
      <c r="B290" s="8"/>
      <c r="C290" s="18"/>
      <c r="D290" s="18"/>
      <c r="E290" s="8"/>
      <c r="F290" s="8"/>
      <c r="G290" s="8"/>
      <c r="H290" s="8"/>
      <c r="I290" s="76"/>
    </row>
    <row r="291">
      <c r="A291" s="8"/>
      <c r="B291" s="8"/>
      <c r="C291" s="18"/>
      <c r="D291" s="18"/>
      <c r="E291" s="8"/>
      <c r="F291" s="8"/>
      <c r="G291" s="8"/>
      <c r="H291" s="8"/>
      <c r="I291" s="76"/>
    </row>
    <row r="292">
      <c r="A292" s="8"/>
      <c r="B292" s="8"/>
      <c r="C292" s="18"/>
      <c r="D292" s="18"/>
      <c r="E292" s="8"/>
      <c r="F292" s="8"/>
      <c r="G292" s="8"/>
      <c r="H292" s="8"/>
      <c r="I292" s="76"/>
    </row>
    <row r="293">
      <c r="A293" s="8"/>
      <c r="B293" s="8"/>
      <c r="C293" s="18"/>
      <c r="D293" s="18"/>
      <c r="E293" s="8"/>
      <c r="F293" s="8"/>
      <c r="G293" s="8"/>
      <c r="H293" s="8"/>
      <c r="I293" s="76"/>
    </row>
    <row r="294">
      <c r="A294" s="8"/>
      <c r="B294" s="8"/>
      <c r="C294" s="18"/>
      <c r="D294" s="18"/>
      <c r="E294" s="8"/>
      <c r="F294" s="8"/>
      <c r="G294" s="8"/>
      <c r="H294" s="8"/>
      <c r="I294" s="76"/>
    </row>
    <row r="295">
      <c r="A295" s="8"/>
      <c r="B295" s="8"/>
      <c r="C295" s="18"/>
      <c r="D295" s="18"/>
      <c r="E295" s="8"/>
      <c r="F295" s="8"/>
      <c r="G295" s="8"/>
      <c r="H295" s="8"/>
      <c r="I295" s="76"/>
    </row>
    <row r="296">
      <c r="A296" s="8"/>
      <c r="B296" s="8"/>
      <c r="C296" s="18"/>
      <c r="D296" s="18"/>
      <c r="E296" s="8"/>
      <c r="F296" s="8"/>
      <c r="G296" s="8"/>
      <c r="H296" s="8"/>
      <c r="I296" s="76"/>
    </row>
    <row r="297">
      <c r="A297" s="8"/>
      <c r="B297" s="8"/>
      <c r="C297" s="18"/>
      <c r="D297" s="18"/>
      <c r="E297" s="8"/>
      <c r="F297" s="8"/>
      <c r="G297" s="8"/>
      <c r="H297" s="8"/>
      <c r="I297" s="76"/>
    </row>
    <row r="298">
      <c r="A298" s="8"/>
      <c r="B298" s="8"/>
      <c r="C298" s="18"/>
      <c r="D298" s="18"/>
      <c r="E298" s="8"/>
      <c r="F298" s="8"/>
      <c r="G298" s="8"/>
      <c r="H298" s="8"/>
      <c r="I298" s="76"/>
    </row>
    <row r="299">
      <c r="A299" s="8"/>
      <c r="B299" s="8"/>
      <c r="C299" s="18"/>
      <c r="D299" s="18"/>
      <c r="E299" s="8"/>
      <c r="F299" s="8"/>
      <c r="G299" s="8"/>
      <c r="H299" s="8"/>
      <c r="I299" s="76"/>
    </row>
    <row r="300">
      <c r="A300" s="8"/>
      <c r="B300" s="8"/>
      <c r="C300" s="18"/>
      <c r="D300" s="18"/>
      <c r="E300" s="8"/>
      <c r="F300" s="8"/>
      <c r="G300" s="8"/>
      <c r="H300" s="8"/>
      <c r="I300" s="76"/>
    </row>
    <row r="301">
      <c r="A301" s="8"/>
      <c r="B301" s="8"/>
      <c r="C301" s="18"/>
      <c r="D301" s="18"/>
      <c r="E301" s="8"/>
      <c r="F301" s="8"/>
      <c r="G301" s="8"/>
      <c r="H301" s="8"/>
      <c r="I301" s="76"/>
    </row>
    <row r="302">
      <c r="A302" s="8"/>
      <c r="B302" s="8"/>
      <c r="C302" s="18"/>
      <c r="D302" s="18"/>
      <c r="E302" s="8"/>
      <c r="F302" s="8"/>
      <c r="G302" s="8"/>
      <c r="H302" s="8"/>
      <c r="I302" s="76"/>
    </row>
    <row r="303">
      <c r="A303" s="8"/>
      <c r="B303" s="8"/>
      <c r="C303" s="18"/>
      <c r="D303" s="18"/>
      <c r="E303" s="8"/>
      <c r="F303" s="8"/>
      <c r="G303" s="8"/>
      <c r="H303" s="8"/>
      <c r="I303" s="76"/>
    </row>
    <row r="304">
      <c r="A304" s="8"/>
      <c r="B304" s="8"/>
      <c r="C304" s="18"/>
      <c r="D304" s="18"/>
      <c r="E304" s="8"/>
      <c r="F304" s="8"/>
      <c r="G304" s="8"/>
      <c r="H304" s="8"/>
      <c r="I304" s="76"/>
    </row>
    <row r="305">
      <c r="A305" s="8"/>
      <c r="B305" s="8"/>
      <c r="C305" s="18"/>
      <c r="D305" s="18"/>
      <c r="E305" s="8"/>
      <c r="F305" s="8"/>
      <c r="G305" s="8"/>
      <c r="H305" s="8"/>
      <c r="I305" s="76"/>
    </row>
    <row r="306">
      <c r="A306" s="8"/>
      <c r="B306" s="8"/>
      <c r="C306" s="18"/>
      <c r="D306" s="18"/>
      <c r="E306" s="8"/>
      <c r="F306" s="8"/>
      <c r="G306" s="8"/>
      <c r="H306" s="8"/>
      <c r="I306" s="76"/>
    </row>
    <row r="307">
      <c r="A307" s="8"/>
      <c r="B307" s="8"/>
      <c r="C307" s="18"/>
      <c r="D307" s="18"/>
      <c r="E307" s="8"/>
      <c r="F307" s="8"/>
      <c r="G307" s="8"/>
      <c r="H307" s="8"/>
      <c r="I307" s="76"/>
    </row>
    <row r="308">
      <c r="A308" s="8"/>
      <c r="B308" s="8"/>
      <c r="C308" s="18"/>
      <c r="D308" s="18"/>
      <c r="E308" s="8"/>
      <c r="F308" s="8"/>
      <c r="G308" s="8"/>
      <c r="H308" s="8"/>
      <c r="I308" s="76"/>
    </row>
    <row r="309">
      <c r="A309" s="8"/>
      <c r="B309" s="8"/>
      <c r="C309" s="18"/>
      <c r="D309" s="18"/>
      <c r="E309" s="8"/>
      <c r="F309" s="8"/>
      <c r="G309" s="8"/>
      <c r="H309" s="8"/>
      <c r="I309" s="76"/>
    </row>
    <row r="310">
      <c r="A310" s="8"/>
      <c r="B310" s="8"/>
      <c r="C310" s="18"/>
      <c r="D310" s="18"/>
      <c r="E310" s="8"/>
      <c r="F310" s="8"/>
      <c r="G310" s="8"/>
      <c r="H310" s="8"/>
      <c r="I310" s="76"/>
    </row>
    <row r="311">
      <c r="A311" s="8"/>
      <c r="B311" s="8"/>
      <c r="C311" s="18"/>
      <c r="D311" s="18"/>
      <c r="E311" s="8"/>
      <c r="F311" s="8"/>
      <c r="G311" s="8"/>
      <c r="H311" s="8"/>
      <c r="I311" s="76"/>
    </row>
    <row r="312">
      <c r="A312" s="8"/>
      <c r="B312" s="8"/>
      <c r="C312" s="18"/>
      <c r="D312" s="18"/>
      <c r="E312" s="8"/>
      <c r="F312" s="8"/>
      <c r="G312" s="8"/>
      <c r="H312" s="8"/>
      <c r="I312" s="76"/>
    </row>
    <row r="313">
      <c r="A313" s="8"/>
      <c r="B313" s="8"/>
      <c r="C313" s="18"/>
      <c r="D313" s="18"/>
      <c r="E313" s="8"/>
      <c r="F313" s="8"/>
      <c r="G313" s="8"/>
      <c r="H313" s="8"/>
      <c r="I313" s="76"/>
    </row>
    <row r="314">
      <c r="A314" s="8"/>
      <c r="B314" s="8"/>
      <c r="C314" s="18"/>
      <c r="D314" s="18"/>
      <c r="E314" s="8"/>
      <c r="F314" s="8"/>
      <c r="G314" s="8"/>
      <c r="H314" s="8"/>
      <c r="I314" s="76"/>
    </row>
    <row r="315">
      <c r="A315" s="8"/>
      <c r="B315" s="8"/>
      <c r="C315" s="18"/>
      <c r="D315" s="18"/>
      <c r="E315" s="8"/>
      <c r="F315" s="8"/>
      <c r="G315" s="8"/>
      <c r="H315" s="8"/>
      <c r="I315" s="76"/>
    </row>
    <row r="316">
      <c r="A316" s="8"/>
      <c r="B316" s="8"/>
      <c r="C316" s="18"/>
      <c r="D316" s="18"/>
      <c r="E316" s="8"/>
      <c r="F316" s="8"/>
      <c r="G316" s="8"/>
      <c r="H316" s="8"/>
      <c r="I316" s="76"/>
    </row>
    <row r="317">
      <c r="A317" s="8"/>
      <c r="B317" s="8"/>
      <c r="C317" s="18"/>
      <c r="D317" s="18"/>
      <c r="E317" s="8"/>
      <c r="F317" s="8"/>
      <c r="G317" s="8"/>
      <c r="H317" s="8"/>
      <c r="I317" s="76"/>
    </row>
    <row r="318">
      <c r="A318" s="8"/>
      <c r="B318" s="8"/>
      <c r="C318" s="18"/>
      <c r="D318" s="18"/>
      <c r="E318" s="8"/>
      <c r="F318" s="8"/>
      <c r="G318" s="8"/>
      <c r="H318" s="8"/>
      <c r="I318" s="76"/>
    </row>
    <row r="319">
      <c r="A319" s="8"/>
      <c r="B319" s="8"/>
      <c r="C319" s="18"/>
      <c r="D319" s="18"/>
      <c r="E319" s="8"/>
      <c r="F319" s="8"/>
      <c r="G319" s="8"/>
      <c r="H319" s="8"/>
      <c r="I319" s="76"/>
    </row>
    <row r="320">
      <c r="A320" s="8"/>
      <c r="B320" s="8"/>
      <c r="C320" s="18"/>
      <c r="D320" s="18"/>
      <c r="E320" s="8"/>
      <c r="F320" s="8"/>
      <c r="G320" s="8"/>
      <c r="H320" s="8"/>
      <c r="I320" s="76"/>
    </row>
    <row r="321">
      <c r="A321" s="8"/>
      <c r="B321" s="8"/>
      <c r="C321" s="18"/>
      <c r="D321" s="18"/>
      <c r="E321" s="8"/>
      <c r="F321" s="8"/>
      <c r="G321" s="8"/>
      <c r="H321" s="8"/>
      <c r="I321" s="76"/>
    </row>
    <row r="322">
      <c r="A322" s="8"/>
      <c r="B322" s="8"/>
      <c r="C322" s="18"/>
      <c r="D322" s="18"/>
      <c r="E322" s="8"/>
      <c r="F322" s="8"/>
      <c r="G322" s="8"/>
      <c r="H322" s="8"/>
      <c r="I322" s="76"/>
    </row>
    <row r="323">
      <c r="A323" s="8"/>
      <c r="B323" s="8"/>
      <c r="C323" s="18"/>
      <c r="D323" s="18"/>
      <c r="E323" s="8"/>
      <c r="F323" s="8"/>
      <c r="G323" s="8"/>
      <c r="H323" s="8"/>
      <c r="I323" s="76"/>
    </row>
    <row r="324">
      <c r="A324" s="8"/>
      <c r="B324" s="8"/>
      <c r="C324" s="18"/>
      <c r="D324" s="18"/>
      <c r="E324" s="8"/>
      <c r="F324" s="8"/>
      <c r="G324" s="8"/>
      <c r="H324" s="8"/>
      <c r="I324" s="76"/>
    </row>
    <row r="325">
      <c r="A325" s="8"/>
      <c r="B325" s="8"/>
      <c r="C325" s="18"/>
      <c r="D325" s="18"/>
      <c r="E325" s="8"/>
      <c r="F325" s="8"/>
      <c r="G325" s="8"/>
      <c r="H325" s="8"/>
      <c r="I325" s="76"/>
    </row>
    <row r="326">
      <c r="A326" s="8"/>
      <c r="B326" s="8"/>
      <c r="C326" s="18"/>
      <c r="D326" s="18"/>
      <c r="E326" s="8"/>
      <c r="F326" s="8"/>
      <c r="G326" s="8"/>
      <c r="H326" s="8"/>
      <c r="I326" s="76"/>
    </row>
    <row r="327">
      <c r="A327" s="8"/>
      <c r="B327" s="8"/>
      <c r="C327" s="18"/>
      <c r="D327" s="18"/>
      <c r="E327" s="8"/>
      <c r="F327" s="8"/>
      <c r="G327" s="8"/>
      <c r="H327" s="8"/>
      <c r="I327" s="76"/>
    </row>
    <row r="328">
      <c r="A328" s="8"/>
      <c r="B328" s="8"/>
      <c r="C328" s="18"/>
      <c r="D328" s="18"/>
      <c r="E328" s="8"/>
      <c r="F328" s="8"/>
      <c r="G328" s="8"/>
      <c r="H328" s="8"/>
      <c r="I328" s="76"/>
    </row>
    <row r="329">
      <c r="A329" s="8"/>
      <c r="B329" s="8"/>
      <c r="C329" s="18"/>
      <c r="D329" s="18"/>
      <c r="E329" s="8"/>
      <c r="F329" s="8"/>
      <c r="G329" s="8"/>
      <c r="H329" s="8"/>
      <c r="I329" s="76"/>
    </row>
    <row r="330">
      <c r="A330" s="8"/>
      <c r="B330" s="8"/>
      <c r="C330" s="18"/>
      <c r="D330" s="18"/>
      <c r="E330" s="8"/>
      <c r="F330" s="8"/>
      <c r="G330" s="8"/>
      <c r="H330" s="8"/>
      <c r="I330" s="76"/>
    </row>
    <row r="331">
      <c r="A331" s="8"/>
      <c r="B331" s="8"/>
      <c r="C331" s="18"/>
      <c r="D331" s="18"/>
      <c r="E331" s="8"/>
      <c r="F331" s="8"/>
      <c r="G331" s="8"/>
      <c r="H331" s="8"/>
      <c r="I331" s="76"/>
    </row>
    <row r="332">
      <c r="A332" s="8"/>
      <c r="B332" s="8"/>
      <c r="C332" s="18"/>
      <c r="D332" s="18"/>
      <c r="E332" s="8"/>
      <c r="F332" s="8"/>
      <c r="G332" s="8"/>
      <c r="H332" s="8"/>
      <c r="I332" s="76"/>
    </row>
    <row r="333">
      <c r="A333" s="8"/>
      <c r="B333" s="8"/>
      <c r="C333" s="18"/>
      <c r="D333" s="18"/>
      <c r="E333" s="8"/>
      <c r="F333" s="8"/>
      <c r="G333" s="8"/>
      <c r="H333" s="8"/>
      <c r="I333" s="76"/>
    </row>
    <row r="334">
      <c r="A334" s="8"/>
      <c r="B334" s="8"/>
      <c r="C334" s="18"/>
      <c r="D334" s="18"/>
      <c r="E334" s="8"/>
      <c r="F334" s="8"/>
      <c r="G334" s="8"/>
      <c r="H334" s="8"/>
      <c r="I334" s="76"/>
    </row>
    <row r="335">
      <c r="A335" s="8"/>
      <c r="B335" s="8"/>
      <c r="C335" s="18"/>
      <c r="D335" s="18"/>
      <c r="E335" s="8"/>
      <c r="F335" s="8"/>
      <c r="G335" s="8"/>
      <c r="H335" s="8"/>
      <c r="I335" s="76"/>
    </row>
    <row r="336">
      <c r="A336" s="8"/>
      <c r="B336" s="8"/>
      <c r="C336" s="18"/>
      <c r="D336" s="18"/>
      <c r="E336" s="8"/>
      <c r="F336" s="8"/>
      <c r="G336" s="8"/>
      <c r="H336" s="8"/>
      <c r="I336" s="76"/>
    </row>
    <row r="337">
      <c r="A337" s="8"/>
      <c r="B337" s="8"/>
      <c r="C337" s="18"/>
      <c r="D337" s="18"/>
      <c r="E337" s="8"/>
      <c r="F337" s="8"/>
      <c r="G337" s="8"/>
      <c r="H337" s="8"/>
      <c r="I337" s="76"/>
    </row>
    <row r="338">
      <c r="A338" s="8"/>
      <c r="B338" s="8"/>
      <c r="C338" s="18"/>
      <c r="D338" s="18"/>
      <c r="E338" s="8"/>
      <c r="F338" s="8"/>
      <c r="G338" s="8"/>
      <c r="H338" s="8"/>
      <c r="I338" s="76"/>
    </row>
    <row r="339">
      <c r="A339" s="8"/>
      <c r="B339" s="8"/>
      <c r="C339" s="18"/>
      <c r="D339" s="18"/>
      <c r="E339" s="8"/>
      <c r="F339" s="8"/>
      <c r="G339" s="8"/>
      <c r="H339" s="8"/>
      <c r="I339" s="76"/>
    </row>
    <row r="340">
      <c r="A340" s="8"/>
      <c r="B340" s="8"/>
      <c r="C340" s="18"/>
      <c r="D340" s="18"/>
      <c r="E340" s="8"/>
      <c r="F340" s="8"/>
      <c r="G340" s="8"/>
      <c r="H340" s="8"/>
      <c r="I340" s="76"/>
    </row>
    <row r="341">
      <c r="A341" s="8"/>
      <c r="B341" s="8"/>
      <c r="C341" s="18"/>
      <c r="D341" s="18"/>
      <c r="E341" s="8"/>
      <c r="F341" s="8"/>
      <c r="G341" s="8"/>
      <c r="H341" s="8"/>
      <c r="I341" s="76"/>
    </row>
    <row r="342">
      <c r="A342" s="8"/>
      <c r="B342" s="8"/>
      <c r="C342" s="18"/>
      <c r="D342" s="18"/>
      <c r="E342" s="8"/>
      <c r="F342" s="8"/>
      <c r="G342" s="8"/>
      <c r="H342" s="8"/>
      <c r="I342" s="76"/>
    </row>
    <row r="343">
      <c r="A343" s="8"/>
      <c r="B343" s="8"/>
      <c r="C343" s="18"/>
      <c r="D343" s="18"/>
      <c r="E343" s="8"/>
      <c r="F343" s="8"/>
      <c r="G343" s="8"/>
      <c r="H343" s="8"/>
      <c r="I343" s="76"/>
    </row>
    <row r="344">
      <c r="A344" s="8"/>
      <c r="B344" s="8"/>
      <c r="C344" s="18"/>
      <c r="D344" s="18"/>
      <c r="E344" s="8"/>
      <c r="F344" s="8"/>
      <c r="G344" s="8"/>
      <c r="H344" s="8"/>
      <c r="I344" s="76"/>
    </row>
    <row r="345">
      <c r="A345" s="8"/>
      <c r="B345" s="8"/>
      <c r="C345" s="18"/>
      <c r="D345" s="18"/>
      <c r="E345" s="8"/>
      <c r="F345" s="8"/>
      <c r="G345" s="8"/>
      <c r="H345" s="8"/>
      <c r="I345" s="76"/>
    </row>
    <row r="346">
      <c r="A346" s="8"/>
      <c r="B346" s="8"/>
      <c r="C346" s="18"/>
      <c r="D346" s="18"/>
      <c r="E346" s="8"/>
      <c r="F346" s="8"/>
      <c r="G346" s="8"/>
      <c r="H346" s="8"/>
      <c r="I346" s="76"/>
    </row>
    <row r="347">
      <c r="A347" s="8"/>
      <c r="B347" s="8"/>
      <c r="C347" s="18"/>
      <c r="D347" s="18"/>
      <c r="E347" s="8"/>
      <c r="F347" s="8"/>
      <c r="G347" s="8"/>
      <c r="H347" s="8"/>
      <c r="I347" s="76"/>
    </row>
    <row r="348">
      <c r="A348" s="8"/>
      <c r="B348" s="8"/>
      <c r="C348" s="18"/>
      <c r="D348" s="18"/>
      <c r="E348" s="8"/>
      <c r="F348" s="8"/>
      <c r="G348" s="8"/>
      <c r="H348" s="8"/>
      <c r="I348" s="76"/>
    </row>
    <row r="349">
      <c r="A349" s="8"/>
      <c r="B349" s="8"/>
      <c r="C349" s="18"/>
      <c r="D349" s="18"/>
      <c r="E349" s="8"/>
      <c r="F349" s="8"/>
      <c r="G349" s="8"/>
      <c r="H349" s="8"/>
      <c r="I349" s="76"/>
    </row>
    <row r="350">
      <c r="A350" s="8"/>
      <c r="B350" s="8"/>
      <c r="C350" s="18"/>
      <c r="D350" s="18"/>
      <c r="E350" s="8"/>
      <c r="F350" s="8"/>
      <c r="G350" s="8"/>
      <c r="H350" s="8"/>
      <c r="I350" s="76"/>
    </row>
    <row r="351">
      <c r="A351" s="8"/>
      <c r="B351" s="8"/>
      <c r="C351" s="18"/>
      <c r="D351" s="18"/>
      <c r="E351" s="8"/>
      <c r="F351" s="8"/>
      <c r="G351" s="8"/>
      <c r="H351" s="8"/>
      <c r="I351" s="76"/>
    </row>
    <row r="352">
      <c r="A352" s="8"/>
      <c r="B352" s="8"/>
      <c r="C352" s="18"/>
      <c r="D352" s="18"/>
      <c r="E352" s="8"/>
      <c r="F352" s="8"/>
      <c r="G352" s="8"/>
      <c r="H352" s="8"/>
      <c r="I352" s="76"/>
    </row>
    <row r="353">
      <c r="A353" s="8"/>
      <c r="B353" s="8"/>
      <c r="C353" s="18"/>
      <c r="D353" s="18"/>
      <c r="E353" s="8"/>
      <c r="F353" s="8"/>
      <c r="G353" s="8"/>
      <c r="H353" s="8"/>
      <c r="I353" s="76"/>
    </row>
    <row r="354">
      <c r="A354" s="8"/>
      <c r="B354" s="8"/>
      <c r="C354" s="18"/>
      <c r="D354" s="18"/>
      <c r="E354" s="8"/>
      <c r="F354" s="8"/>
      <c r="G354" s="8"/>
      <c r="H354" s="8"/>
      <c r="I354" s="76"/>
    </row>
    <row r="355">
      <c r="A355" s="8"/>
      <c r="B355" s="8"/>
      <c r="C355" s="18"/>
      <c r="D355" s="18"/>
      <c r="E355" s="8"/>
      <c r="F355" s="8"/>
      <c r="G355" s="8"/>
      <c r="H355" s="8"/>
      <c r="I355" s="76"/>
    </row>
    <row r="356">
      <c r="A356" s="8"/>
      <c r="B356" s="8"/>
      <c r="C356" s="18"/>
      <c r="D356" s="18"/>
      <c r="E356" s="8"/>
      <c r="F356" s="8"/>
      <c r="G356" s="8"/>
      <c r="H356" s="8"/>
      <c r="I356" s="76"/>
    </row>
    <row r="357">
      <c r="A357" s="8"/>
      <c r="B357" s="8"/>
      <c r="C357" s="18"/>
      <c r="D357" s="18"/>
      <c r="E357" s="8"/>
      <c r="F357" s="8"/>
      <c r="G357" s="8"/>
      <c r="H357" s="8"/>
      <c r="I357" s="76"/>
    </row>
    <row r="358">
      <c r="A358" s="8"/>
      <c r="B358" s="8"/>
      <c r="C358" s="18"/>
      <c r="D358" s="18"/>
      <c r="E358" s="8"/>
      <c r="F358" s="8"/>
      <c r="G358" s="8"/>
      <c r="H358" s="8"/>
      <c r="I358" s="76"/>
    </row>
    <row r="359">
      <c r="A359" s="8"/>
      <c r="B359" s="8"/>
      <c r="C359" s="18"/>
      <c r="D359" s="18"/>
      <c r="E359" s="8"/>
      <c r="F359" s="8"/>
      <c r="G359" s="8"/>
      <c r="H359" s="8"/>
      <c r="I359" s="76"/>
    </row>
    <row r="360">
      <c r="A360" s="8"/>
      <c r="B360" s="8"/>
      <c r="C360" s="18"/>
      <c r="D360" s="18"/>
      <c r="E360" s="8"/>
      <c r="F360" s="8"/>
      <c r="G360" s="8"/>
      <c r="H360" s="8"/>
      <c r="I360" s="76"/>
    </row>
    <row r="361">
      <c r="A361" s="8"/>
      <c r="B361" s="8"/>
      <c r="C361" s="18"/>
      <c r="D361" s="18"/>
      <c r="E361" s="8"/>
      <c r="F361" s="8"/>
      <c r="G361" s="8"/>
      <c r="H361" s="8"/>
      <c r="I361" s="76"/>
    </row>
    <row r="362">
      <c r="A362" s="8"/>
      <c r="B362" s="8"/>
      <c r="C362" s="18"/>
      <c r="D362" s="18"/>
      <c r="E362" s="8"/>
      <c r="F362" s="8"/>
      <c r="G362" s="8"/>
      <c r="H362" s="8"/>
      <c r="I362" s="76"/>
    </row>
    <row r="363">
      <c r="A363" s="8"/>
      <c r="B363" s="8"/>
      <c r="C363" s="18"/>
      <c r="D363" s="18"/>
      <c r="E363" s="8"/>
      <c r="F363" s="8"/>
      <c r="G363" s="8"/>
      <c r="H363" s="8"/>
      <c r="I363" s="76"/>
    </row>
    <row r="364">
      <c r="A364" s="8"/>
      <c r="B364" s="8"/>
      <c r="C364" s="18"/>
      <c r="D364" s="18"/>
      <c r="E364" s="8"/>
      <c r="F364" s="8"/>
      <c r="G364" s="8"/>
      <c r="H364" s="8"/>
      <c r="I364" s="76"/>
    </row>
    <row r="365">
      <c r="A365" s="8"/>
      <c r="B365" s="8"/>
      <c r="C365" s="18"/>
      <c r="D365" s="18"/>
      <c r="E365" s="8"/>
      <c r="F365" s="8"/>
      <c r="G365" s="8"/>
      <c r="H365" s="8"/>
      <c r="I365" s="76"/>
    </row>
    <row r="366">
      <c r="A366" s="8"/>
      <c r="B366" s="8"/>
      <c r="C366" s="18"/>
      <c r="D366" s="18"/>
      <c r="E366" s="8"/>
      <c r="F366" s="8"/>
      <c r="G366" s="8"/>
      <c r="H366" s="8"/>
      <c r="I366" s="76"/>
    </row>
    <row r="367">
      <c r="A367" s="8"/>
      <c r="B367" s="8"/>
      <c r="C367" s="18"/>
      <c r="D367" s="18"/>
      <c r="E367" s="8"/>
      <c r="F367" s="8"/>
      <c r="G367" s="8"/>
      <c r="H367" s="8"/>
      <c r="I367" s="76"/>
    </row>
    <row r="368">
      <c r="A368" s="8"/>
      <c r="B368" s="8"/>
      <c r="C368" s="18"/>
      <c r="D368" s="18"/>
      <c r="E368" s="8"/>
      <c r="F368" s="8"/>
      <c r="G368" s="8"/>
      <c r="H368" s="8"/>
      <c r="I368" s="76"/>
    </row>
    <row r="369">
      <c r="A369" s="8"/>
      <c r="B369" s="8"/>
      <c r="C369" s="18"/>
      <c r="D369" s="18"/>
      <c r="E369" s="8"/>
      <c r="F369" s="8"/>
      <c r="G369" s="8"/>
      <c r="H369" s="8"/>
      <c r="I369" s="76"/>
    </row>
    <row r="370">
      <c r="A370" s="8"/>
      <c r="B370" s="8"/>
      <c r="C370" s="18"/>
      <c r="D370" s="18"/>
      <c r="E370" s="8"/>
      <c r="F370" s="8"/>
      <c r="G370" s="8"/>
      <c r="H370" s="8"/>
      <c r="I370" s="76"/>
    </row>
    <row r="371">
      <c r="A371" s="8"/>
      <c r="B371" s="8"/>
      <c r="C371" s="18"/>
      <c r="D371" s="18"/>
      <c r="E371" s="8"/>
      <c r="F371" s="8"/>
      <c r="G371" s="8"/>
      <c r="H371" s="8"/>
      <c r="I371" s="76"/>
    </row>
    <row r="372">
      <c r="A372" s="8"/>
      <c r="B372" s="8"/>
      <c r="C372" s="18"/>
      <c r="D372" s="18"/>
      <c r="E372" s="8"/>
      <c r="F372" s="8"/>
      <c r="G372" s="8"/>
      <c r="H372" s="8"/>
      <c r="I372" s="76"/>
    </row>
    <row r="373">
      <c r="A373" s="8"/>
      <c r="B373" s="8"/>
      <c r="C373" s="18"/>
      <c r="D373" s="18"/>
      <c r="E373" s="8"/>
      <c r="F373" s="8"/>
      <c r="G373" s="8"/>
      <c r="H373" s="8"/>
      <c r="I373" s="76"/>
    </row>
    <row r="374">
      <c r="A374" s="8"/>
      <c r="B374" s="8"/>
      <c r="C374" s="18"/>
      <c r="D374" s="18"/>
      <c r="E374" s="8"/>
      <c r="F374" s="8"/>
      <c r="G374" s="8"/>
      <c r="H374" s="8"/>
      <c r="I374" s="76"/>
    </row>
    <row r="375">
      <c r="A375" s="8"/>
      <c r="B375" s="8"/>
      <c r="C375" s="18"/>
      <c r="D375" s="18"/>
      <c r="E375" s="8"/>
      <c r="F375" s="8"/>
      <c r="G375" s="8"/>
      <c r="H375" s="8"/>
      <c r="I375" s="76"/>
    </row>
    <row r="376">
      <c r="A376" s="8"/>
      <c r="B376" s="8"/>
      <c r="C376" s="18"/>
      <c r="D376" s="18"/>
      <c r="E376" s="8"/>
      <c r="F376" s="8"/>
      <c r="G376" s="8"/>
      <c r="H376" s="8"/>
      <c r="I376" s="76"/>
    </row>
    <row r="377">
      <c r="A377" s="8"/>
      <c r="B377" s="8"/>
      <c r="C377" s="18"/>
      <c r="D377" s="18"/>
      <c r="E377" s="8"/>
      <c r="F377" s="8"/>
      <c r="G377" s="8"/>
      <c r="H377" s="8"/>
      <c r="I377" s="76"/>
    </row>
    <row r="378">
      <c r="A378" s="8"/>
      <c r="B378" s="8"/>
      <c r="C378" s="18"/>
      <c r="D378" s="18"/>
      <c r="E378" s="8"/>
      <c r="F378" s="8"/>
      <c r="G378" s="8"/>
      <c r="H378" s="8"/>
      <c r="I378" s="76"/>
    </row>
    <row r="379">
      <c r="A379" s="8"/>
      <c r="B379" s="8"/>
      <c r="C379" s="18"/>
      <c r="D379" s="18"/>
      <c r="E379" s="8"/>
      <c r="F379" s="8"/>
      <c r="G379" s="8"/>
      <c r="H379" s="8"/>
      <c r="I379" s="76"/>
    </row>
    <row r="380">
      <c r="A380" s="8"/>
      <c r="B380" s="8"/>
      <c r="C380" s="18"/>
      <c r="D380" s="18"/>
      <c r="E380" s="8"/>
      <c r="F380" s="8"/>
      <c r="G380" s="8"/>
      <c r="H380" s="8"/>
      <c r="I380" s="76"/>
    </row>
    <row r="381">
      <c r="A381" s="8"/>
      <c r="B381" s="8"/>
      <c r="C381" s="18"/>
      <c r="D381" s="18"/>
      <c r="E381" s="8"/>
      <c r="F381" s="8"/>
      <c r="G381" s="8"/>
      <c r="H381" s="8"/>
      <c r="I381" s="76"/>
    </row>
    <row r="382">
      <c r="A382" s="8"/>
      <c r="B382" s="8"/>
      <c r="C382" s="18"/>
      <c r="D382" s="18"/>
      <c r="E382" s="8"/>
      <c r="F382" s="8"/>
      <c r="G382" s="8"/>
      <c r="H382" s="8"/>
      <c r="I382" s="76"/>
    </row>
    <row r="383">
      <c r="A383" s="8"/>
      <c r="B383" s="8"/>
      <c r="C383" s="18"/>
      <c r="D383" s="18"/>
      <c r="E383" s="8"/>
      <c r="F383" s="8"/>
      <c r="G383" s="8"/>
      <c r="H383" s="8"/>
      <c r="I383" s="76"/>
    </row>
    <row r="384">
      <c r="A384" s="8"/>
      <c r="B384" s="8"/>
      <c r="C384" s="18"/>
      <c r="D384" s="18"/>
      <c r="E384" s="8"/>
      <c r="F384" s="8"/>
      <c r="G384" s="8"/>
      <c r="H384" s="8"/>
      <c r="I384" s="76"/>
    </row>
    <row r="385">
      <c r="A385" s="8"/>
      <c r="B385" s="8"/>
      <c r="C385" s="18"/>
      <c r="D385" s="18"/>
      <c r="E385" s="8"/>
      <c r="F385" s="8"/>
      <c r="G385" s="8"/>
      <c r="H385" s="8"/>
      <c r="I385" s="76"/>
    </row>
    <row r="386">
      <c r="A386" s="8"/>
      <c r="B386" s="8"/>
      <c r="C386" s="18"/>
      <c r="D386" s="18"/>
      <c r="E386" s="8"/>
      <c r="F386" s="8"/>
      <c r="G386" s="8"/>
      <c r="H386" s="8"/>
      <c r="I386" s="76"/>
    </row>
    <row r="387">
      <c r="A387" s="8"/>
      <c r="B387" s="8"/>
      <c r="C387" s="18"/>
      <c r="D387" s="18"/>
      <c r="E387" s="8"/>
      <c r="F387" s="8"/>
      <c r="G387" s="8"/>
      <c r="H387" s="8"/>
      <c r="I387" s="76"/>
    </row>
    <row r="388">
      <c r="A388" s="8"/>
      <c r="B388" s="8"/>
      <c r="C388" s="18"/>
      <c r="D388" s="18"/>
      <c r="E388" s="8"/>
      <c r="F388" s="8"/>
      <c r="G388" s="8"/>
      <c r="H388" s="8"/>
      <c r="I388" s="76"/>
    </row>
    <row r="389">
      <c r="A389" s="8"/>
      <c r="B389" s="8"/>
      <c r="C389" s="18"/>
      <c r="D389" s="18"/>
      <c r="E389" s="8"/>
      <c r="F389" s="8"/>
      <c r="G389" s="8"/>
      <c r="H389" s="8"/>
      <c r="I389" s="76"/>
    </row>
    <row r="390">
      <c r="A390" s="8"/>
      <c r="B390" s="8"/>
      <c r="C390" s="18"/>
      <c r="D390" s="18"/>
      <c r="E390" s="8"/>
      <c r="F390" s="8"/>
      <c r="G390" s="8"/>
      <c r="H390" s="8"/>
      <c r="I390" s="76"/>
    </row>
    <row r="391">
      <c r="A391" s="8"/>
      <c r="B391" s="8"/>
      <c r="C391" s="18"/>
      <c r="D391" s="18"/>
      <c r="E391" s="8"/>
      <c r="F391" s="8"/>
      <c r="G391" s="8"/>
      <c r="H391" s="8"/>
      <c r="I391" s="76"/>
    </row>
    <row r="392">
      <c r="A392" s="8"/>
      <c r="B392" s="8"/>
      <c r="C392" s="18"/>
      <c r="D392" s="18"/>
      <c r="E392" s="8"/>
      <c r="F392" s="8"/>
      <c r="G392" s="8"/>
      <c r="H392" s="8"/>
      <c r="I392" s="76"/>
    </row>
    <row r="393">
      <c r="A393" s="8"/>
      <c r="B393" s="8"/>
      <c r="C393" s="18"/>
      <c r="D393" s="18"/>
      <c r="E393" s="8"/>
      <c r="F393" s="8"/>
      <c r="G393" s="8"/>
      <c r="H393" s="8"/>
      <c r="I393" s="76"/>
    </row>
    <row r="394">
      <c r="A394" s="8"/>
      <c r="B394" s="8"/>
      <c r="C394" s="18"/>
      <c r="D394" s="18"/>
      <c r="E394" s="8"/>
      <c r="F394" s="8"/>
      <c r="G394" s="8"/>
      <c r="H394" s="8"/>
      <c r="I394" s="76"/>
    </row>
    <row r="395">
      <c r="A395" s="8"/>
      <c r="B395" s="8"/>
      <c r="C395" s="18"/>
      <c r="D395" s="18"/>
      <c r="E395" s="8"/>
      <c r="F395" s="8"/>
      <c r="G395" s="8"/>
      <c r="H395" s="8"/>
      <c r="I395" s="76"/>
    </row>
    <row r="396">
      <c r="A396" s="8"/>
      <c r="B396" s="8"/>
      <c r="C396" s="18"/>
      <c r="D396" s="18"/>
      <c r="E396" s="8"/>
      <c r="F396" s="8"/>
      <c r="G396" s="8"/>
      <c r="H396" s="8"/>
      <c r="I396" s="76"/>
    </row>
    <row r="397">
      <c r="A397" s="8"/>
      <c r="B397" s="8"/>
      <c r="C397" s="18"/>
      <c r="D397" s="18"/>
      <c r="E397" s="8"/>
      <c r="F397" s="8"/>
      <c r="G397" s="8"/>
      <c r="H397" s="8"/>
      <c r="I397" s="76"/>
    </row>
    <row r="398">
      <c r="A398" s="8"/>
      <c r="B398" s="8"/>
      <c r="C398" s="18"/>
      <c r="D398" s="18"/>
      <c r="E398" s="8"/>
      <c r="F398" s="8"/>
      <c r="G398" s="8"/>
      <c r="H398" s="8"/>
      <c r="I398" s="76"/>
    </row>
    <row r="399">
      <c r="A399" s="8"/>
      <c r="B399" s="8"/>
      <c r="C399" s="18"/>
      <c r="D399" s="18"/>
      <c r="E399" s="8"/>
      <c r="F399" s="8"/>
      <c r="G399" s="8"/>
      <c r="H399" s="8"/>
      <c r="I399" s="76"/>
    </row>
    <row r="400">
      <c r="A400" s="8"/>
      <c r="B400" s="8"/>
      <c r="C400" s="18"/>
      <c r="D400" s="18"/>
      <c r="E400" s="8"/>
      <c r="F400" s="8"/>
      <c r="G400" s="8"/>
      <c r="H400" s="8"/>
      <c r="I400" s="76"/>
    </row>
    <row r="401">
      <c r="A401" s="8"/>
      <c r="B401" s="8"/>
      <c r="C401" s="18"/>
      <c r="D401" s="18"/>
      <c r="E401" s="8"/>
      <c r="F401" s="8"/>
      <c r="G401" s="8"/>
      <c r="H401" s="8"/>
      <c r="I401" s="76"/>
    </row>
    <row r="402">
      <c r="A402" s="8"/>
      <c r="B402" s="8"/>
      <c r="C402" s="18"/>
      <c r="D402" s="18"/>
      <c r="E402" s="8"/>
      <c r="F402" s="8"/>
      <c r="G402" s="8"/>
      <c r="H402" s="8"/>
      <c r="I402" s="76"/>
    </row>
    <row r="403">
      <c r="A403" s="8"/>
      <c r="B403" s="8"/>
      <c r="C403" s="18"/>
      <c r="D403" s="18"/>
      <c r="E403" s="8"/>
      <c r="F403" s="8"/>
      <c r="G403" s="8"/>
      <c r="H403" s="8"/>
      <c r="I403" s="76"/>
    </row>
    <row r="404">
      <c r="A404" s="8"/>
      <c r="B404" s="8"/>
      <c r="C404" s="18"/>
      <c r="D404" s="18"/>
      <c r="E404" s="8"/>
      <c r="F404" s="8"/>
      <c r="G404" s="8"/>
      <c r="H404" s="8"/>
      <c r="I404" s="76"/>
    </row>
    <row r="405">
      <c r="A405" s="8"/>
      <c r="B405" s="8"/>
      <c r="C405" s="18"/>
      <c r="D405" s="18"/>
      <c r="E405" s="8"/>
      <c r="F405" s="8"/>
      <c r="G405" s="8"/>
      <c r="H405" s="8"/>
      <c r="I405" s="76"/>
    </row>
    <row r="406">
      <c r="A406" s="8"/>
      <c r="B406" s="8"/>
      <c r="C406" s="18"/>
      <c r="D406" s="18"/>
      <c r="E406" s="8"/>
      <c r="F406" s="8"/>
      <c r="G406" s="8"/>
      <c r="H406" s="8"/>
      <c r="I406" s="76"/>
    </row>
    <row r="407">
      <c r="A407" s="8"/>
      <c r="B407" s="8"/>
      <c r="C407" s="18"/>
      <c r="D407" s="18"/>
      <c r="E407" s="8"/>
      <c r="F407" s="8"/>
      <c r="G407" s="8"/>
      <c r="H407" s="8"/>
      <c r="I407" s="76"/>
    </row>
    <row r="408">
      <c r="A408" s="8"/>
      <c r="B408" s="8"/>
      <c r="C408" s="18"/>
      <c r="D408" s="18"/>
      <c r="E408" s="8"/>
      <c r="F408" s="8"/>
      <c r="G408" s="8"/>
      <c r="H408" s="8"/>
      <c r="I408" s="76"/>
    </row>
    <row r="409">
      <c r="A409" s="8"/>
      <c r="B409" s="8"/>
      <c r="C409" s="18"/>
      <c r="D409" s="18"/>
      <c r="E409" s="8"/>
      <c r="F409" s="8"/>
      <c r="G409" s="8"/>
      <c r="H409" s="8"/>
      <c r="I409" s="76"/>
    </row>
    <row r="410">
      <c r="A410" s="8"/>
      <c r="B410" s="8"/>
      <c r="C410" s="18"/>
      <c r="D410" s="18"/>
      <c r="E410" s="8"/>
      <c r="F410" s="8"/>
      <c r="G410" s="8"/>
      <c r="H410" s="8"/>
      <c r="I410" s="76"/>
    </row>
    <row r="411">
      <c r="A411" s="8"/>
      <c r="B411" s="8"/>
      <c r="C411" s="18"/>
      <c r="D411" s="18"/>
      <c r="E411" s="8"/>
      <c r="F411" s="8"/>
      <c r="G411" s="8"/>
      <c r="H411" s="8"/>
      <c r="I411" s="76"/>
    </row>
    <row r="412">
      <c r="A412" s="8"/>
      <c r="B412" s="8"/>
      <c r="C412" s="18"/>
      <c r="D412" s="18"/>
      <c r="E412" s="8"/>
      <c r="F412" s="8"/>
      <c r="G412" s="8"/>
      <c r="H412" s="8"/>
      <c r="I412" s="76"/>
    </row>
    <row r="413">
      <c r="A413" s="8"/>
      <c r="B413" s="8"/>
      <c r="C413" s="18"/>
      <c r="D413" s="18"/>
      <c r="E413" s="8"/>
      <c r="F413" s="8"/>
      <c r="G413" s="8"/>
      <c r="H413" s="8"/>
      <c r="I413" s="76"/>
    </row>
    <row r="414">
      <c r="A414" s="8"/>
      <c r="B414" s="8"/>
      <c r="C414" s="18"/>
      <c r="D414" s="18"/>
      <c r="E414" s="8"/>
      <c r="F414" s="8"/>
      <c r="G414" s="8"/>
      <c r="H414" s="8"/>
      <c r="I414" s="76"/>
    </row>
    <row r="415">
      <c r="A415" s="8"/>
      <c r="B415" s="8"/>
      <c r="C415" s="18"/>
      <c r="D415" s="18"/>
      <c r="E415" s="8"/>
      <c r="F415" s="8"/>
      <c r="G415" s="8"/>
      <c r="H415" s="8"/>
      <c r="I415" s="76"/>
    </row>
    <row r="416">
      <c r="A416" s="8"/>
      <c r="B416" s="8"/>
      <c r="C416" s="18"/>
      <c r="D416" s="18"/>
      <c r="E416" s="8"/>
      <c r="F416" s="8"/>
      <c r="G416" s="8"/>
      <c r="H416" s="8"/>
      <c r="I416" s="76"/>
    </row>
    <row r="417">
      <c r="A417" s="8"/>
      <c r="B417" s="8"/>
      <c r="C417" s="18"/>
      <c r="D417" s="18"/>
      <c r="E417" s="8"/>
      <c r="F417" s="8"/>
      <c r="G417" s="8"/>
      <c r="H417" s="8"/>
      <c r="I417" s="76"/>
    </row>
    <row r="418">
      <c r="A418" s="8"/>
      <c r="B418" s="8"/>
      <c r="C418" s="18"/>
      <c r="D418" s="18"/>
      <c r="E418" s="8"/>
      <c r="F418" s="8"/>
      <c r="G418" s="8"/>
      <c r="H418" s="8"/>
      <c r="I418" s="76"/>
    </row>
    <row r="419">
      <c r="A419" s="8"/>
      <c r="B419" s="8"/>
      <c r="C419" s="18"/>
      <c r="D419" s="18"/>
      <c r="E419" s="8"/>
      <c r="F419" s="8"/>
      <c r="G419" s="8"/>
      <c r="H419" s="8"/>
      <c r="I419" s="76"/>
    </row>
    <row r="420">
      <c r="A420" s="8"/>
      <c r="B420" s="8"/>
      <c r="C420" s="18"/>
      <c r="D420" s="18"/>
      <c r="E420" s="8"/>
      <c r="F420" s="8"/>
      <c r="G420" s="8"/>
      <c r="H420" s="8"/>
      <c r="I420" s="76"/>
    </row>
    <row r="421">
      <c r="A421" s="8"/>
      <c r="B421" s="8"/>
      <c r="C421" s="18"/>
      <c r="D421" s="18"/>
      <c r="E421" s="8"/>
      <c r="F421" s="8"/>
      <c r="G421" s="8"/>
      <c r="H421" s="8"/>
      <c r="I421" s="76"/>
    </row>
    <row r="422">
      <c r="A422" s="8"/>
      <c r="B422" s="8"/>
      <c r="C422" s="18"/>
      <c r="D422" s="18"/>
      <c r="E422" s="8"/>
      <c r="F422" s="8"/>
      <c r="G422" s="8"/>
      <c r="H422" s="8"/>
      <c r="I422" s="76"/>
    </row>
    <row r="423">
      <c r="A423" s="8"/>
      <c r="B423" s="8"/>
      <c r="C423" s="18"/>
      <c r="D423" s="18"/>
      <c r="E423" s="8"/>
      <c r="F423" s="8"/>
      <c r="G423" s="8"/>
      <c r="H423" s="8"/>
      <c r="I423" s="76"/>
    </row>
    <row r="424">
      <c r="A424" s="8"/>
      <c r="B424" s="8"/>
      <c r="C424" s="18"/>
      <c r="D424" s="18"/>
      <c r="E424" s="8"/>
      <c r="F424" s="8"/>
      <c r="G424" s="8"/>
      <c r="H424" s="8"/>
      <c r="I424" s="76"/>
    </row>
    <row r="425">
      <c r="A425" s="8"/>
      <c r="B425" s="8"/>
      <c r="C425" s="18"/>
      <c r="D425" s="18"/>
      <c r="E425" s="8"/>
      <c r="F425" s="8"/>
      <c r="G425" s="8"/>
      <c r="H425" s="8"/>
      <c r="I425" s="76"/>
    </row>
    <row r="426">
      <c r="A426" s="8"/>
      <c r="B426" s="8"/>
      <c r="C426" s="18"/>
      <c r="D426" s="18"/>
      <c r="E426" s="8"/>
      <c r="F426" s="8"/>
      <c r="G426" s="8"/>
      <c r="H426" s="8"/>
      <c r="I426" s="76"/>
    </row>
    <row r="427">
      <c r="A427" s="8"/>
      <c r="B427" s="8"/>
      <c r="C427" s="18"/>
      <c r="D427" s="18"/>
      <c r="E427" s="8"/>
      <c r="F427" s="8"/>
      <c r="G427" s="8"/>
      <c r="H427" s="8"/>
      <c r="I427" s="76"/>
    </row>
    <row r="428">
      <c r="A428" s="8"/>
      <c r="B428" s="8"/>
      <c r="C428" s="18"/>
      <c r="D428" s="18"/>
      <c r="E428" s="8"/>
      <c r="F428" s="8"/>
      <c r="G428" s="8"/>
      <c r="H428" s="8"/>
      <c r="I428" s="76"/>
    </row>
    <row r="429">
      <c r="A429" s="8"/>
      <c r="B429" s="8"/>
      <c r="C429" s="18"/>
      <c r="D429" s="18"/>
      <c r="E429" s="8"/>
      <c r="F429" s="8"/>
      <c r="G429" s="8"/>
      <c r="H429" s="8"/>
      <c r="I429" s="76"/>
    </row>
    <row r="430">
      <c r="A430" s="8"/>
      <c r="B430" s="8"/>
      <c r="C430" s="18"/>
      <c r="D430" s="18"/>
      <c r="E430" s="8"/>
      <c r="F430" s="8"/>
      <c r="G430" s="8"/>
      <c r="H430" s="8"/>
      <c r="I430" s="76"/>
    </row>
    <row r="431">
      <c r="A431" s="8"/>
      <c r="B431" s="8"/>
      <c r="C431" s="18"/>
      <c r="D431" s="18"/>
      <c r="E431" s="8"/>
      <c r="F431" s="8"/>
      <c r="G431" s="8"/>
      <c r="H431" s="8"/>
      <c r="I431" s="76"/>
    </row>
    <row r="432">
      <c r="A432" s="8"/>
      <c r="B432" s="8"/>
      <c r="C432" s="18"/>
      <c r="D432" s="18"/>
      <c r="E432" s="8"/>
      <c r="F432" s="8"/>
      <c r="G432" s="8"/>
      <c r="H432" s="8"/>
      <c r="I432" s="76"/>
    </row>
    <row r="433">
      <c r="A433" s="8"/>
      <c r="B433" s="8"/>
      <c r="C433" s="18"/>
      <c r="D433" s="18"/>
      <c r="E433" s="8"/>
      <c r="F433" s="8"/>
      <c r="G433" s="8"/>
      <c r="H433" s="8"/>
      <c r="I433" s="76"/>
    </row>
    <row r="434">
      <c r="A434" s="8"/>
      <c r="B434" s="8"/>
      <c r="C434" s="18"/>
      <c r="D434" s="18"/>
      <c r="E434" s="8"/>
      <c r="F434" s="8"/>
      <c r="G434" s="8"/>
      <c r="H434" s="8"/>
      <c r="I434" s="76"/>
    </row>
    <row r="435">
      <c r="A435" s="8"/>
      <c r="B435" s="8"/>
      <c r="C435" s="18"/>
      <c r="D435" s="18"/>
      <c r="E435" s="8"/>
      <c r="F435" s="8"/>
      <c r="G435" s="8"/>
      <c r="H435" s="8"/>
      <c r="I435" s="76"/>
    </row>
    <row r="436">
      <c r="A436" s="8"/>
      <c r="B436" s="8"/>
      <c r="C436" s="18"/>
      <c r="D436" s="18"/>
      <c r="E436" s="8"/>
      <c r="F436" s="8"/>
      <c r="G436" s="8"/>
      <c r="H436" s="8"/>
      <c r="I436" s="76"/>
    </row>
    <row r="437">
      <c r="A437" s="8"/>
      <c r="B437" s="8"/>
      <c r="C437" s="18"/>
      <c r="D437" s="18"/>
      <c r="E437" s="8"/>
      <c r="F437" s="8"/>
      <c r="G437" s="8"/>
      <c r="H437" s="8"/>
      <c r="I437" s="76"/>
    </row>
    <row r="438">
      <c r="A438" s="8"/>
      <c r="B438" s="8"/>
      <c r="C438" s="18"/>
      <c r="D438" s="18"/>
      <c r="E438" s="8"/>
      <c r="F438" s="8"/>
      <c r="G438" s="8"/>
      <c r="H438" s="8"/>
      <c r="I438" s="76"/>
    </row>
    <row r="439">
      <c r="A439" s="8"/>
      <c r="B439" s="8"/>
      <c r="C439" s="18"/>
      <c r="D439" s="18"/>
      <c r="E439" s="8"/>
      <c r="F439" s="8"/>
      <c r="G439" s="8"/>
      <c r="H439" s="8"/>
      <c r="I439" s="76"/>
    </row>
    <row r="440">
      <c r="A440" s="8"/>
      <c r="B440" s="8"/>
      <c r="C440" s="18"/>
      <c r="D440" s="18"/>
      <c r="E440" s="8"/>
      <c r="F440" s="8"/>
      <c r="G440" s="8"/>
      <c r="H440" s="8"/>
      <c r="I440" s="76"/>
    </row>
    <row r="441">
      <c r="A441" s="8"/>
      <c r="B441" s="8"/>
      <c r="C441" s="18"/>
      <c r="D441" s="18"/>
      <c r="E441" s="8"/>
      <c r="F441" s="8"/>
      <c r="G441" s="8"/>
      <c r="H441" s="8"/>
      <c r="I441" s="76"/>
    </row>
    <row r="442">
      <c r="A442" s="8"/>
      <c r="B442" s="8"/>
      <c r="C442" s="18"/>
      <c r="D442" s="18"/>
      <c r="E442" s="8"/>
      <c r="F442" s="8"/>
      <c r="G442" s="8"/>
      <c r="H442" s="8"/>
      <c r="I442" s="76"/>
    </row>
    <row r="443">
      <c r="A443" s="8"/>
      <c r="B443" s="8"/>
      <c r="C443" s="18"/>
      <c r="D443" s="18"/>
      <c r="E443" s="8"/>
      <c r="F443" s="8"/>
      <c r="G443" s="8"/>
      <c r="H443" s="8"/>
      <c r="I443" s="76"/>
    </row>
    <row r="444">
      <c r="A444" s="8"/>
      <c r="B444" s="8"/>
      <c r="C444" s="18"/>
      <c r="D444" s="18"/>
      <c r="E444" s="8"/>
      <c r="F444" s="8"/>
      <c r="G444" s="8"/>
      <c r="H444" s="8"/>
      <c r="I444" s="76"/>
    </row>
    <row r="445">
      <c r="A445" s="8"/>
      <c r="B445" s="8"/>
      <c r="C445" s="18"/>
      <c r="D445" s="18"/>
      <c r="E445" s="8"/>
      <c r="F445" s="8"/>
      <c r="G445" s="8"/>
      <c r="H445" s="8"/>
      <c r="I445" s="76"/>
    </row>
    <row r="446">
      <c r="A446" s="8"/>
      <c r="B446" s="8"/>
      <c r="C446" s="18"/>
      <c r="D446" s="18"/>
      <c r="E446" s="8"/>
      <c r="F446" s="8"/>
      <c r="G446" s="8"/>
      <c r="H446" s="8"/>
      <c r="I446" s="76"/>
    </row>
    <row r="447">
      <c r="A447" s="8"/>
      <c r="B447" s="8"/>
      <c r="C447" s="18"/>
      <c r="D447" s="18"/>
      <c r="E447" s="8"/>
      <c r="F447" s="8"/>
      <c r="G447" s="8"/>
      <c r="H447" s="8"/>
      <c r="I447" s="76"/>
    </row>
    <row r="448">
      <c r="A448" s="8"/>
      <c r="B448" s="8"/>
      <c r="C448" s="18"/>
      <c r="D448" s="18"/>
      <c r="E448" s="8"/>
      <c r="F448" s="8"/>
      <c r="G448" s="8"/>
      <c r="H448" s="8"/>
      <c r="I448" s="76"/>
    </row>
    <row r="449">
      <c r="A449" s="8"/>
      <c r="B449" s="8"/>
      <c r="C449" s="18"/>
      <c r="D449" s="18"/>
      <c r="E449" s="8"/>
      <c r="F449" s="8"/>
      <c r="G449" s="8"/>
      <c r="H449" s="8"/>
      <c r="I449" s="76"/>
    </row>
    <row r="450">
      <c r="A450" s="8"/>
      <c r="B450" s="8"/>
      <c r="C450" s="18"/>
      <c r="D450" s="18"/>
      <c r="E450" s="8"/>
      <c r="F450" s="8"/>
      <c r="G450" s="8"/>
      <c r="H450" s="8"/>
      <c r="I450" s="76"/>
    </row>
    <row r="451">
      <c r="A451" s="8"/>
      <c r="B451" s="8"/>
      <c r="C451" s="18"/>
      <c r="D451" s="18"/>
      <c r="E451" s="8"/>
      <c r="F451" s="8"/>
      <c r="G451" s="8"/>
      <c r="H451" s="8"/>
      <c r="I451" s="76"/>
    </row>
    <row r="452">
      <c r="A452" s="8"/>
      <c r="B452" s="8"/>
      <c r="C452" s="18"/>
      <c r="D452" s="18"/>
      <c r="E452" s="8"/>
      <c r="F452" s="8"/>
      <c r="G452" s="8"/>
      <c r="H452" s="8"/>
      <c r="I452" s="76"/>
    </row>
    <row r="453">
      <c r="A453" s="8"/>
      <c r="B453" s="8"/>
      <c r="C453" s="18"/>
      <c r="D453" s="18"/>
      <c r="E453" s="8"/>
      <c r="F453" s="8"/>
      <c r="G453" s="8"/>
      <c r="H453" s="8"/>
      <c r="I453" s="76"/>
    </row>
    <row r="454">
      <c r="A454" s="8"/>
      <c r="B454" s="8"/>
      <c r="C454" s="18"/>
      <c r="D454" s="18"/>
      <c r="E454" s="8"/>
      <c r="F454" s="8"/>
      <c r="G454" s="8"/>
      <c r="H454" s="8"/>
      <c r="I454" s="76"/>
    </row>
    <row r="455">
      <c r="A455" s="8"/>
      <c r="B455" s="8"/>
      <c r="C455" s="18"/>
      <c r="D455" s="18"/>
      <c r="E455" s="8"/>
      <c r="F455" s="8"/>
      <c r="G455" s="8"/>
      <c r="H455" s="8"/>
      <c r="I455" s="76"/>
    </row>
    <row r="456">
      <c r="A456" s="8"/>
      <c r="B456" s="8"/>
      <c r="C456" s="18"/>
      <c r="D456" s="18"/>
      <c r="E456" s="8"/>
      <c r="F456" s="8"/>
      <c r="G456" s="8"/>
      <c r="H456" s="8"/>
      <c r="I456" s="76"/>
    </row>
    <row r="457">
      <c r="A457" s="8"/>
      <c r="B457" s="8"/>
      <c r="C457" s="18"/>
      <c r="D457" s="18"/>
      <c r="E457" s="8"/>
      <c r="F457" s="8"/>
      <c r="G457" s="8"/>
      <c r="H457" s="8"/>
      <c r="I457" s="76"/>
    </row>
    <row r="458">
      <c r="A458" s="8"/>
      <c r="B458" s="8"/>
      <c r="C458" s="18"/>
      <c r="D458" s="18"/>
      <c r="E458" s="8"/>
      <c r="F458" s="8"/>
      <c r="G458" s="8"/>
      <c r="H458" s="8"/>
      <c r="I458" s="76"/>
    </row>
    <row r="459">
      <c r="A459" s="8"/>
      <c r="B459" s="8"/>
      <c r="C459" s="18"/>
      <c r="D459" s="18"/>
      <c r="E459" s="8"/>
      <c r="F459" s="8"/>
      <c r="G459" s="8"/>
      <c r="H459" s="8"/>
      <c r="I459" s="76"/>
    </row>
    <row r="460">
      <c r="A460" s="8"/>
      <c r="B460" s="8"/>
      <c r="C460" s="18"/>
      <c r="D460" s="18"/>
      <c r="E460" s="8"/>
      <c r="F460" s="8"/>
      <c r="G460" s="8"/>
      <c r="H460" s="8"/>
      <c r="I460" s="76"/>
    </row>
    <row r="461">
      <c r="A461" s="8"/>
      <c r="B461" s="8"/>
      <c r="C461" s="18"/>
      <c r="D461" s="18"/>
      <c r="E461" s="8"/>
      <c r="F461" s="8"/>
      <c r="G461" s="8"/>
      <c r="H461" s="8"/>
      <c r="I461" s="76"/>
    </row>
    <row r="462">
      <c r="A462" s="8"/>
      <c r="B462" s="8"/>
      <c r="C462" s="18"/>
      <c r="D462" s="18"/>
      <c r="E462" s="8"/>
      <c r="F462" s="8"/>
      <c r="G462" s="8"/>
      <c r="H462" s="8"/>
      <c r="I462" s="76"/>
    </row>
    <row r="463">
      <c r="A463" s="8"/>
      <c r="B463" s="8"/>
      <c r="C463" s="18"/>
      <c r="D463" s="18"/>
      <c r="E463" s="8"/>
      <c r="F463" s="8"/>
      <c r="G463" s="8"/>
      <c r="H463" s="8"/>
      <c r="I463" s="76"/>
    </row>
    <row r="464">
      <c r="A464" s="8"/>
      <c r="B464" s="8"/>
      <c r="C464" s="18"/>
      <c r="D464" s="18"/>
      <c r="E464" s="8"/>
      <c r="F464" s="8"/>
      <c r="G464" s="8"/>
      <c r="H464" s="8"/>
      <c r="I464" s="76"/>
    </row>
    <row r="465">
      <c r="A465" s="8"/>
      <c r="B465" s="8"/>
      <c r="C465" s="18"/>
      <c r="D465" s="18"/>
      <c r="E465" s="8"/>
      <c r="F465" s="8"/>
      <c r="G465" s="8"/>
      <c r="H465" s="8"/>
      <c r="I465" s="76"/>
    </row>
    <row r="466">
      <c r="A466" s="8"/>
      <c r="B466" s="8"/>
      <c r="C466" s="18"/>
      <c r="D466" s="18"/>
      <c r="E466" s="8"/>
      <c r="F466" s="8"/>
      <c r="G466" s="8"/>
      <c r="H466" s="8"/>
      <c r="I466" s="76"/>
    </row>
    <row r="467">
      <c r="A467" s="8"/>
      <c r="B467" s="8"/>
      <c r="C467" s="18"/>
      <c r="D467" s="18"/>
      <c r="E467" s="8"/>
      <c r="F467" s="8"/>
      <c r="G467" s="8"/>
      <c r="H467" s="8"/>
      <c r="I467" s="76"/>
    </row>
    <row r="468">
      <c r="A468" s="8"/>
      <c r="B468" s="8"/>
      <c r="C468" s="18"/>
      <c r="D468" s="18"/>
      <c r="E468" s="8"/>
      <c r="F468" s="8"/>
      <c r="G468" s="8"/>
      <c r="H468" s="8"/>
      <c r="I468" s="76"/>
    </row>
    <row r="469">
      <c r="A469" s="8"/>
      <c r="B469" s="8"/>
      <c r="C469" s="18"/>
      <c r="D469" s="18"/>
      <c r="E469" s="8"/>
      <c r="F469" s="8"/>
      <c r="G469" s="8"/>
      <c r="H469" s="8"/>
      <c r="I469" s="76"/>
    </row>
    <row r="470">
      <c r="A470" s="8"/>
      <c r="B470" s="8"/>
      <c r="C470" s="18"/>
      <c r="D470" s="18"/>
      <c r="E470" s="8"/>
      <c r="F470" s="8"/>
      <c r="G470" s="8"/>
      <c r="H470" s="8"/>
      <c r="I470" s="76"/>
    </row>
    <row r="471">
      <c r="A471" s="8"/>
      <c r="B471" s="8"/>
      <c r="C471" s="18"/>
      <c r="D471" s="18"/>
      <c r="E471" s="8"/>
      <c r="F471" s="8"/>
      <c r="G471" s="8"/>
      <c r="H471" s="8"/>
      <c r="I471" s="76"/>
    </row>
    <row r="472">
      <c r="A472" s="8"/>
      <c r="B472" s="8"/>
      <c r="C472" s="18"/>
      <c r="D472" s="18"/>
      <c r="E472" s="8"/>
      <c r="F472" s="8"/>
      <c r="G472" s="8"/>
      <c r="H472" s="8"/>
      <c r="I472" s="76"/>
    </row>
    <row r="473">
      <c r="A473" s="8"/>
      <c r="B473" s="8"/>
      <c r="C473" s="18"/>
      <c r="D473" s="18"/>
      <c r="E473" s="8"/>
      <c r="F473" s="8"/>
      <c r="G473" s="8"/>
      <c r="H473" s="8"/>
      <c r="I473" s="76"/>
    </row>
    <row r="474">
      <c r="A474" s="8"/>
      <c r="B474" s="8"/>
      <c r="C474" s="18"/>
      <c r="D474" s="18"/>
      <c r="E474" s="8"/>
      <c r="F474" s="8"/>
      <c r="G474" s="8"/>
      <c r="H474" s="8"/>
      <c r="I474" s="76"/>
    </row>
    <row r="475">
      <c r="A475" s="8"/>
      <c r="B475" s="8"/>
      <c r="C475" s="18"/>
      <c r="D475" s="18"/>
      <c r="E475" s="8"/>
      <c r="F475" s="8"/>
      <c r="G475" s="8"/>
      <c r="H475" s="8"/>
      <c r="I475" s="76"/>
    </row>
    <row r="476">
      <c r="A476" s="8"/>
      <c r="B476" s="8"/>
      <c r="C476" s="18"/>
      <c r="D476" s="18"/>
      <c r="E476" s="8"/>
      <c r="F476" s="8"/>
      <c r="G476" s="8"/>
      <c r="H476" s="8"/>
      <c r="I476" s="76"/>
    </row>
    <row r="477">
      <c r="A477" s="8"/>
      <c r="B477" s="8"/>
      <c r="C477" s="18"/>
      <c r="D477" s="18"/>
      <c r="E477" s="8"/>
      <c r="F477" s="8"/>
      <c r="G477" s="8"/>
      <c r="H477" s="8"/>
      <c r="I477" s="76"/>
    </row>
    <row r="478">
      <c r="A478" s="8"/>
      <c r="B478" s="8"/>
      <c r="C478" s="18"/>
      <c r="D478" s="18"/>
      <c r="E478" s="8"/>
      <c r="F478" s="8"/>
      <c r="G478" s="8"/>
      <c r="H478" s="8"/>
      <c r="I478" s="76"/>
    </row>
    <row r="479">
      <c r="A479" s="8"/>
      <c r="B479" s="8"/>
      <c r="C479" s="18"/>
      <c r="D479" s="18"/>
      <c r="E479" s="8"/>
      <c r="F479" s="8"/>
      <c r="G479" s="8"/>
      <c r="H479" s="8"/>
      <c r="I479" s="76"/>
    </row>
    <row r="480">
      <c r="A480" s="8"/>
      <c r="B480" s="8"/>
      <c r="C480" s="18"/>
      <c r="D480" s="18"/>
      <c r="E480" s="8"/>
      <c r="F480" s="8"/>
      <c r="G480" s="8"/>
      <c r="H480" s="8"/>
      <c r="I480" s="76"/>
    </row>
    <row r="481">
      <c r="A481" s="8"/>
      <c r="B481" s="8"/>
      <c r="C481" s="18"/>
      <c r="D481" s="18"/>
      <c r="E481" s="8"/>
      <c r="F481" s="8"/>
      <c r="G481" s="8"/>
      <c r="H481" s="8"/>
      <c r="I481" s="76"/>
    </row>
    <row r="482">
      <c r="A482" s="8"/>
      <c r="B482" s="8"/>
      <c r="C482" s="18"/>
      <c r="D482" s="18"/>
      <c r="E482" s="8"/>
      <c r="F482" s="8"/>
      <c r="G482" s="8"/>
      <c r="H482" s="8"/>
      <c r="I482" s="76"/>
    </row>
    <row r="483">
      <c r="A483" s="8"/>
      <c r="B483" s="8"/>
      <c r="C483" s="18"/>
      <c r="D483" s="18"/>
      <c r="E483" s="8"/>
      <c r="F483" s="8"/>
      <c r="G483" s="8"/>
      <c r="H483" s="8"/>
      <c r="I483" s="76"/>
    </row>
    <row r="484">
      <c r="A484" s="8"/>
      <c r="B484" s="8"/>
      <c r="C484" s="18"/>
      <c r="D484" s="18"/>
      <c r="E484" s="8"/>
      <c r="F484" s="8"/>
      <c r="G484" s="8"/>
      <c r="H484" s="8"/>
      <c r="I484" s="76"/>
    </row>
    <row r="485">
      <c r="A485" s="8"/>
      <c r="B485" s="8"/>
      <c r="C485" s="18"/>
      <c r="D485" s="18"/>
      <c r="E485" s="8"/>
      <c r="F485" s="8"/>
      <c r="G485" s="8"/>
      <c r="H485" s="8"/>
      <c r="I485" s="76"/>
    </row>
    <row r="486">
      <c r="A486" s="8"/>
      <c r="B486" s="8"/>
      <c r="C486" s="18"/>
      <c r="D486" s="18"/>
      <c r="E486" s="8"/>
      <c r="F486" s="8"/>
      <c r="G486" s="8"/>
      <c r="H486" s="8"/>
      <c r="I486" s="76"/>
    </row>
    <row r="487">
      <c r="A487" s="8"/>
      <c r="B487" s="8"/>
      <c r="C487" s="18"/>
      <c r="D487" s="18"/>
      <c r="E487" s="8"/>
      <c r="F487" s="8"/>
      <c r="G487" s="8"/>
      <c r="H487" s="8"/>
      <c r="I487" s="76"/>
    </row>
    <row r="488">
      <c r="A488" s="8"/>
      <c r="B488" s="8"/>
      <c r="C488" s="18"/>
      <c r="D488" s="18"/>
      <c r="E488" s="8"/>
      <c r="F488" s="8"/>
      <c r="G488" s="8"/>
      <c r="H488" s="8"/>
      <c r="I488" s="76"/>
    </row>
    <row r="489">
      <c r="A489" s="8"/>
      <c r="B489" s="8"/>
      <c r="C489" s="18"/>
      <c r="D489" s="18"/>
      <c r="E489" s="8"/>
      <c r="F489" s="8"/>
      <c r="G489" s="8"/>
      <c r="H489" s="8"/>
      <c r="I489" s="76"/>
    </row>
    <row r="490">
      <c r="A490" s="8"/>
      <c r="B490" s="8"/>
      <c r="C490" s="18"/>
      <c r="D490" s="18"/>
      <c r="E490" s="8"/>
      <c r="F490" s="8"/>
      <c r="G490" s="8"/>
      <c r="H490" s="8"/>
      <c r="I490" s="76"/>
    </row>
    <row r="491">
      <c r="A491" s="8"/>
      <c r="B491" s="8"/>
      <c r="C491" s="18"/>
      <c r="D491" s="18"/>
      <c r="E491" s="8"/>
      <c r="F491" s="8"/>
      <c r="G491" s="8"/>
      <c r="H491" s="8"/>
      <c r="I491" s="76"/>
    </row>
    <row r="492">
      <c r="A492" s="8"/>
      <c r="B492" s="8"/>
      <c r="C492" s="18"/>
      <c r="D492" s="18"/>
      <c r="E492" s="8"/>
      <c r="F492" s="8"/>
      <c r="G492" s="8"/>
      <c r="H492" s="8"/>
      <c r="I492" s="76"/>
    </row>
    <row r="493">
      <c r="A493" s="8"/>
      <c r="B493" s="8"/>
      <c r="C493" s="18"/>
      <c r="D493" s="18"/>
      <c r="E493" s="8"/>
      <c r="F493" s="8"/>
      <c r="G493" s="8"/>
      <c r="H493" s="8"/>
      <c r="I493" s="76"/>
    </row>
    <row r="494">
      <c r="A494" s="8"/>
      <c r="B494" s="8"/>
      <c r="C494" s="18"/>
      <c r="D494" s="18"/>
      <c r="E494" s="8"/>
      <c r="F494" s="8"/>
      <c r="G494" s="8"/>
      <c r="H494" s="8"/>
      <c r="I494" s="76"/>
    </row>
    <row r="495">
      <c r="A495" s="8"/>
      <c r="B495" s="8"/>
      <c r="C495" s="18"/>
      <c r="D495" s="18"/>
      <c r="E495" s="8"/>
      <c r="F495" s="8"/>
      <c r="G495" s="8"/>
      <c r="H495" s="8"/>
      <c r="I495" s="76"/>
    </row>
    <row r="496">
      <c r="A496" s="8"/>
      <c r="B496" s="8"/>
      <c r="C496" s="18"/>
      <c r="D496" s="18"/>
      <c r="E496" s="8"/>
      <c r="F496" s="8"/>
      <c r="G496" s="8"/>
      <c r="H496" s="8"/>
      <c r="I496" s="76"/>
    </row>
    <row r="497">
      <c r="A497" s="8"/>
      <c r="B497" s="8"/>
      <c r="C497" s="18"/>
      <c r="D497" s="18"/>
      <c r="E497" s="8"/>
      <c r="F497" s="8"/>
      <c r="G497" s="8"/>
      <c r="H497" s="8"/>
      <c r="I497" s="76"/>
    </row>
    <row r="498">
      <c r="A498" s="8"/>
      <c r="B498" s="8"/>
      <c r="C498" s="18"/>
      <c r="D498" s="18"/>
      <c r="E498" s="8"/>
      <c r="F498" s="8"/>
      <c r="G498" s="8"/>
      <c r="H498" s="8"/>
      <c r="I498" s="76"/>
    </row>
    <row r="499">
      <c r="A499" s="8"/>
      <c r="B499" s="8"/>
      <c r="C499" s="18"/>
      <c r="D499" s="18"/>
      <c r="E499" s="8"/>
      <c r="F499" s="8"/>
      <c r="G499" s="8"/>
      <c r="H499" s="8"/>
      <c r="I499" s="76"/>
    </row>
    <row r="500">
      <c r="A500" s="8"/>
      <c r="B500" s="8"/>
      <c r="C500" s="18"/>
      <c r="D500" s="18"/>
      <c r="E500" s="8"/>
      <c r="F500" s="8"/>
      <c r="G500" s="8"/>
      <c r="H500" s="8"/>
      <c r="I500" s="76"/>
    </row>
  </sheetData>
  <conditionalFormatting sqref="A2:Z500">
    <cfRule type="cellIs" dxfId="3" priority="1" operator="equal">
      <formula>"VRAI"</formula>
    </cfRule>
  </conditionalFormatting>
  <dataValidations>
    <dataValidation type="list" allowBlank="1" showErrorMessage="1" sqref="E2:E500">
      <formula1>'Données'!$G$2:$G1000</formula1>
    </dataValidation>
    <dataValidation type="list" allowBlank="1" showErrorMessage="1" sqref="B2:B500">
      <formula1>'Données'!$A$2:$A1000</formula1>
    </dataValidation>
    <dataValidation type="list" allowBlank="1" showErrorMessage="1" sqref="H2:H500">
      <formula1>'Données'!$K$2:$K$8</formula1>
    </dataValidation>
    <dataValidation type="list" allowBlank="1" showErrorMessage="1" sqref="G2:G500">
      <formula1>'Données'!$I$2:$I$6</formula1>
    </dataValidation>
    <dataValidation type="list" allowBlank="1" showErrorMessage="1" sqref="F2:F500">
      <formula1>'Données'!$E$2:$E1000</formula1>
    </dataValidation>
    <dataValidation type="custom" allowBlank="1" showDropDown="1" sqref="I2:I500">
      <formula1>OR(NOT(ISERROR(DATEVALUE(I2))), AND(ISNUMBER(I2), LEFT(CELL("format", I2))="D"))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3" max="3" width="28.63"/>
    <col customWidth="1" min="5" max="5" width="43.5"/>
    <col customWidth="1" min="7" max="7" width="48.63"/>
    <col customWidth="1" min="9" max="9" width="31.38"/>
    <col customWidth="1" min="11" max="11" width="28.75"/>
    <col customWidth="1" min="13" max="13" width="27.5"/>
    <col customWidth="1" min="15" max="15" width="31.0"/>
  </cols>
  <sheetData>
    <row r="1">
      <c r="A1" s="5" t="s">
        <v>245</v>
      </c>
      <c r="E1" s="5" t="s">
        <v>5</v>
      </c>
      <c r="G1" s="5" t="s">
        <v>4</v>
      </c>
      <c r="I1" s="5" t="s">
        <v>6</v>
      </c>
      <c r="K1" s="5" t="s">
        <v>7</v>
      </c>
      <c r="M1" s="5" t="s">
        <v>246</v>
      </c>
      <c r="O1" s="8" t="str">
        <f>IFERROR(__xludf.DUMMYFUNCTION("SORT(FILTER(Effectifs!C2:C1000&amp;"" ""&amp;Effectifs!D2:D1000,Effectifs!C2:C1000&lt;&gt;"""",Effectifs!G2:G1000=""En service actif""))"),"Al'Dran ")</f>
        <v>Al'Dran </v>
      </c>
    </row>
    <row r="2">
      <c r="A2" s="114" t="s">
        <v>17</v>
      </c>
      <c r="C2" s="8">
        <f t="array" ref="C2:C1000">IF(A2:A1000="",,MATCH(A2:A1000,'Données'!A$2:A1000,0))</f>
        <v>1</v>
      </c>
      <c r="E2" s="5" t="s">
        <v>69</v>
      </c>
      <c r="G2" s="5" t="s">
        <v>31</v>
      </c>
      <c r="I2" s="5" t="s">
        <v>36</v>
      </c>
      <c r="K2" s="5" t="s">
        <v>97</v>
      </c>
      <c r="M2" s="5" t="s">
        <v>15</v>
      </c>
      <c r="O2" s="8" t="str">
        <f>IFERROR(__xludf.DUMMYFUNCTION("""COMPUTED_VALUE"""),"Aldric Cendre-coeur")</f>
        <v>Aldric Cendre-coeur</v>
      </c>
    </row>
    <row r="3">
      <c r="A3" s="114" t="s">
        <v>41</v>
      </c>
      <c r="C3" s="8">
        <v>2.0</v>
      </c>
      <c r="E3" s="5" t="s">
        <v>34</v>
      </c>
      <c r="G3" s="5" t="s">
        <v>60</v>
      </c>
      <c r="I3" s="5" t="s">
        <v>54</v>
      </c>
      <c r="K3" s="5" t="s">
        <v>61</v>
      </c>
      <c r="M3" s="5" t="s">
        <v>16</v>
      </c>
      <c r="O3" s="8" t="str">
        <f>IFERROR(__xludf.DUMMYFUNCTION("""COMPUTED_VALUE"""),"Andor Viraes")</f>
        <v>Andor Viraes</v>
      </c>
    </row>
    <row r="4">
      <c r="A4" s="117" t="s">
        <v>51</v>
      </c>
      <c r="C4" s="8">
        <v>3.0</v>
      </c>
      <c r="E4" s="5" t="s">
        <v>64</v>
      </c>
      <c r="G4" s="5" t="s">
        <v>75</v>
      </c>
      <c r="I4" s="5" t="s">
        <v>80</v>
      </c>
      <c r="K4" s="5" t="s">
        <v>322</v>
      </c>
      <c r="M4" s="5" t="s">
        <v>18</v>
      </c>
      <c r="O4" s="8" t="str">
        <f>IFERROR(__xludf.DUMMYFUNCTION("""COMPUTED_VALUE"""),"Armand De Valclair")</f>
        <v>Armand De Valclair</v>
      </c>
    </row>
    <row r="5">
      <c r="A5" s="118" t="s">
        <v>44</v>
      </c>
      <c r="C5" s="8">
        <v>4.0</v>
      </c>
      <c r="E5" s="5" t="s">
        <v>326</v>
      </c>
      <c r="G5" s="5" t="s">
        <v>84</v>
      </c>
      <c r="I5" s="5" t="s">
        <v>139</v>
      </c>
      <c r="K5" s="5" t="s">
        <v>328</v>
      </c>
      <c r="O5" s="8" t="str">
        <f>IFERROR(__xludf.DUMMYFUNCTION("""COMPUTED_VALUE"""),"Astrid Lame-Fine")</f>
        <v>Astrid Lame-Fine</v>
      </c>
    </row>
    <row r="6">
      <c r="A6" s="119" t="s">
        <v>48</v>
      </c>
      <c r="C6" s="8">
        <v>5.0</v>
      </c>
      <c r="E6" s="5" t="s">
        <v>331</v>
      </c>
      <c r="G6" s="5" t="s">
        <v>170</v>
      </c>
      <c r="I6" s="5" t="s">
        <v>332</v>
      </c>
      <c r="K6" s="5" t="s">
        <v>121</v>
      </c>
      <c r="O6" s="8" t="str">
        <f>IFERROR(__xludf.DUMMYFUNCTION("""COMPUTED_VALUE"""),"Astrild ")</f>
        <v>Astrild </v>
      </c>
    </row>
    <row r="7">
      <c r="A7" s="120" t="s">
        <v>91</v>
      </c>
      <c r="C7" s="8">
        <v>6.0</v>
      </c>
      <c r="E7" s="5" t="s">
        <v>338</v>
      </c>
      <c r="G7" s="5" t="s">
        <v>32</v>
      </c>
      <c r="I7" s="5" t="s">
        <v>127</v>
      </c>
      <c r="K7" s="5" t="s">
        <v>339</v>
      </c>
      <c r="O7" s="8" t="str">
        <f>IFERROR(__xludf.DUMMYFUNCTION("""COMPUTED_VALUE"""),"Bakhir ")</f>
        <v>Bakhir </v>
      </c>
    </row>
    <row r="8">
      <c r="A8" s="121" t="s">
        <v>104</v>
      </c>
      <c r="C8" s="8">
        <v>7.0</v>
      </c>
      <c r="E8" s="5" t="s">
        <v>344</v>
      </c>
      <c r="G8" s="5" t="s">
        <v>64</v>
      </c>
      <c r="K8" s="5" t="s">
        <v>137</v>
      </c>
      <c r="O8" s="8" t="str">
        <f>IFERROR(__xludf.DUMMYFUNCTION("""COMPUTED_VALUE"""),"Barnabas Tharmr")</f>
        <v>Barnabas Tharmr</v>
      </c>
    </row>
    <row r="9">
      <c r="A9" s="122" t="s">
        <v>87</v>
      </c>
      <c r="C9" s="8">
        <v>8.0</v>
      </c>
      <c r="G9" s="5" t="s">
        <v>133</v>
      </c>
      <c r="O9" s="8" t="str">
        <f>IFERROR(__xludf.DUMMYFUNCTION("""COMPUTED_VALUE"""),"Bernis ")</f>
        <v>Bernis </v>
      </c>
    </row>
    <row r="10">
      <c r="A10" s="123" t="s">
        <v>108</v>
      </c>
      <c r="C10" s="8">
        <v>9.0</v>
      </c>
      <c r="O10" s="8" t="str">
        <f>IFERROR(__xludf.DUMMYFUNCTION("""COMPUTED_VALUE"""),"Bjorn Kornseen")</f>
        <v>Bjorn Kornseen</v>
      </c>
    </row>
    <row r="11">
      <c r="A11" s="124" t="s">
        <v>358</v>
      </c>
      <c r="C11" s="8">
        <v>10.0</v>
      </c>
      <c r="O11" s="8" t="str">
        <f>IFERROR(__xludf.DUMMYFUNCTION("""COMPUTED_VALUE"""),"Brand Grisetoison")</f>
        <v>Brand Grisetoison</v>
      </c>
    </row>
    <row r="12">
      <c r="A12" s="125" t="s">
        <v>34</v>
      </c>
      <c r="C12" s="8">
        <v>11.0</v>
      </c>
      <c r="O12" s="8" t="str">
        <f>IFERROR(__xludf.DUMMYFUNCTION("""COMPUTED_VALUE"""),"Daric ")</f>
        <v>Daric </v>
      </c>
    </row>
    <row r="13">
      <c r="A13" s="126" t="s">
        <v>138</v>
      </c>
      <c r="C13" s="8">
        <v>12.0</v>
      </c>
      <c r="O13" s="8" t="str">
        <f>IFERROR(__xludf.DUMMYFUNCTION("""COMPUTED_VALUE"""),"Darina ")</f>
        <v>Darina </v>
      </c>
    </row>
    <row r="14">
      <c r="A14" s="127" t="s">
        <v>70</v>
      </c>
      <c r="C14" s="8">
        <v>13.0</v>
      </c>
      <c r="O14" s="8" t="str">
        <f>IFERROR(__xludf.DUMMYFUNCTION("""COMPUTED_VALUE"""),"Darius Blacktorn")</f>
        <v>Darius Blacktorn</v>
      </c>
    </row>
    <row r="15">
      <c r="C15" s="8"/>
      <c r="O15" s="8" t="str">
        <f>IFERROR(__xludf.DUMMYFUNCTION("""COMPUTED_VALUE"""),"Do'Rhazir ")</f>
        <v>Do'Rhazir </v>
      </c>
    </row>
    <row r="16">
      <c r="C16" s="8"/>
      <c r="O16" s="8" t="str">
        <f>IFERROR(__xludf.DUMMYFUNCTION("""COMPUTED_VALUE"""),"Drakgor gro-Drakar")</f>
        <v>Drakgor gro-Drakar</v>
      </c>
      <c r="R16" s="5" t="s">
        <v>378</v>
      </c>
    </row>
    <row r="17">
      <c r="C17" s="8"/>
      <c r="O17" s="8" t="str">
        <f>IFERROR(__xludf.DUMMYFUNCTION("""COMPUTED_VALUE"""),"Eldrim Hache-Grise")</f>
        <v>Eldrim Hache-Grise</v>
      </c>
    </row>
    <row r="18">
      <c r="C18" s="8"/>
      <c r="O18" s="8" t="str">
        <f>IFERROR(__xludf.DUMMYFUNCTION("""COMPUTED_VALUE"""),"Encore-Un-Espoir ")</f>
        <v>Encore-Un-Espoir </v>
      </c>
    </row>
    <row r="19">
      <c r="C19" s="8"/>
      <c r="O19" s="8" t="str">
        <f>IFERROR(__xludf.DUMMYFUNCTION("""COMPUTED_VALUE"""),"Erwan ")</f>
        <v>Erwan </v>
      </c>
    </row>
    <row r="20">
      <c r="C20" s="8"/>
      <c r="O20" s="8" t="str">
        <f>IFERROR(__xludf.DUMMYFUNCTION("""COMPUTED_VALUE"""),"Faynir ")</f>
        <v>Faynir </v>
      </c>
    </row>
    <row r="21">
      <c r="C21" s="8"/>
      <c r="O21" s="8" t="str">
        <f>IFERROR(__xludf.DUMMYFUNCTION("""COMPUTED_VALUE"""),"Filoki ")</f>
        <v>Filoki </v>
      </c>
    </row>
    <row r="22">
      <c r="C22" s="8"/>
      <c r="O22" s="8" t="str">
        <f>IFERROR(__xludf.DUMMYFUNCTION("""COMPUTED_VALUE"""),"Gisbern Isenbjorn")</f>
        <v>Gisbern Isenbjorn</v>
      </c>
    </row>
    <row r="23">
      <c r="C23" s="8"/>
      <c r="O23" s="8" t="str">
        <f>IFERROR(__xludf.DUMMYFUNCTION("""COMPUTED_VALUE"""),"Glaemorandir Oeil-Perçant")</f>
        <v>Glaemorandir Oeil-Perçant</v>
      </c>
    </row>
    <row r="24">
      <c r="C24" s="8"/>
      <c r="O24" s="8" t="str">
        <f>IFERROR(__xludf.DUMMYFUNCTION("""COMPUTED_VALUE"""),"Gorbash Tête-de-Pierre")</f>
        <v>Gorbash Tête-de-Pierre</v>
      </c>
    </row>
    <row r="25">
      <c r="C25" s="8"/>
      <c r="O25" s="8" t="str">
        <f>IFERROR(__xludf.DUMMYFUNCTION("""COMPUTED_VALUE"""),"Gorvin Le-Moite")</f>
        <v>Gorvin Le-Moite</v>
      </c>
    </row>
    <row r="26">
      <c r="C26" s="8"/>
      <c r="O26" s="8" t="str">
        <f>IFERROR(__xludf.DUMMYFUNCTION("""COMPUTED_VALUE"""),"Gronk Grognon")</f>
        <v>Gronk Grognon</v>
      </c>
    </row>
    <row r="27">
      <c r="C27" s="8"/>
      <c r="O27" s="8" t="str">
        <f>IFERROR(__xludf.DUMMYFUNCTION("""COMPUTED_VALUE"""),"Hakon Grisetoison")</f>
        <v>Hakon Grisetoison</v>
      </c>
    </row>
    <row r="28">
      <c r="C28" s="8"/>
      <c r="O28" s="8" t="str">
        <f>IFERROR(__xludf.DUMMYFUNCTION("""COMPUTED_VALUE"""),"Hastelvin ")</f>
        <v>Hastelvin </v>
      </c>
    </row>
    <row r="29">
      <c r="C29" s="8"/>
      <c r="O29" s="8" t="str">
        <f>IFERROR(__xludf.DUMMYFUNCTION("""COMPUTED_VALUE"""),"Il-draz  De Chasse-au-bois")</f>
        <v>Il-draz  De Chasse-au-bois</v>
      </c>
    </row>
    <row r="30">
      <c r="C30" s="8"/>
      <c r="O30" s="8" t="str">
        <f>IFERROR(__xludf.DUMMYFUNCTION("""COMPUTED_VALUE"""),"Ilflynn ")</f>
        <v>Ilflynn </v>
      </c>
    </row>
    <row r="31">
      <c r="C31" s="8"/>
      <c r="O31" s="8" t="str">
        <f>IFERROR(__xludf.DUMMYFUNCTION("""COMPUTED_VALUE"""),"Ina'ra ")</f>
        <v>Ina'ra </v>
      </c>
    </row>
    <row r="32">
      <c r="C32" s="8"/>
      <c r="O32" s="8" t="str">
        <f>IFERROR(__xludf.DUMMYFUNCTION("""COMPUTED_VALUE"""),"Jeebam-dee ")</f>
        <v>Jeebam-dee </v>
      </c>
    </row>
    <row r="33">
      <c r="C33" s="8"/>
      <c r="O33" s="8" t="str">
        <f>IFERROR(__xludf.DUMMYFUNCTION("""COMPUTED_VALUE"""),"Kah-Shir Sombre Griffe")</f>
        <v>Kah-Shir Sombre Griffe</v>
      </c>
    </row>
    <row r="34">
      <c r="C34" s="8"/>
      <c r="O34" s="8" t="str">
        <f>IFERROR(__xludf.DUMMYFUNCTION("""COMPUTED_VALUE"""),"Kendall Delamare")</f>
        <v>Kendall Delamare</v>
      </c>
    </row>
    <row r="35">
      <c r="C35" s="8"/>
      <c r="O35" s="8" t="str">
        <f>IFERROR(__xludf.DUMMYFUNCTION("""COMPUTED_VALUE"""),"Krakan  Valyn")</f>
        <v>Krakan  Valyn</v>
      </c>
    </row>
    <row r="36">
      <c r="C36" s="8"/>
      <c r="O36" s="8" t="str">
        <f>IFERROR(__xludf.DUMMYFUNCTION("""COMPUTED_VALUE"""),"Kronk Grognon")</f>
        <v>Kronk Grognon</v>
      </c>
    </row>
    <row r="37">
      <c r="C37" s="8"/>
      <c r="O37" s="8" t="str">
        <f>IFERROR(__xludf.DUMMYFUNCTION("""COMPUTED_VALUE"""),"Laureen Toison-de-Sang")</f>
        <v>Laureen Toison-de-Sang</v>
      </c>
    </row>
    <row r="38">
      <c r="C38" s="8"/>
      <c r="O38" s="8" t="str">
        <f>IFERROR(__xludf.DUMMYFUNCTION("""COMPUTED_VALUE"""),"Lazabard Jemelred")</f>
        <v>Lazabard Jemelred</v>
      </c>
    </row>
    <row r="39">
      <c r="C39" s="8"/>
      <c r="O39" s="8" t="str">
        <f>IFERROR(__xludf.DUMMYFUNCTION("""COMPUTED_VALUE"""),"Léonce Réve-épine")</f>
        <v>Léonce Réve-épine</v>
      </c>
    </row>
    <row r="40">
      <c r="C40" s="8"/>
      <c r="O40" s="8" t="str">
        <f>IFERROR(__xludf.DUMMYFUNCTION("""COMPUTED_VALUE"""),"Lokh Tar")</f>
        <v>Lokh Tar</v>
      </c>
    </row>
    <row r="41">
      <c r="C41" s="8"/>
      <c r="O41" s="8" t="str">
        <f>IFERROR(__xludf.DUMMYFUNCTION("""COMPUTED_VALUE"""),"Lous Bois")</f>
        <v>Lous Bois</v>
      </c>
    </row>
    <row r="42">
      <c r="C42" s="8"/>
      <c r="O42" s="8" t="str">
        <f>IFERROR(__xludf.DUMMYFUNCTION("""COMPUTED_VALUE"""),"Lucius Ravenshield")</f>
        <v>Lucius Ravenshield</v>
      </c>
    </row>
    <row r="43">
      <c r="C43" s="8"/>
      <c r="O43" s="8" t="str">
        <f>IFERROR(__xludf.DUMMYFUNCTION("""COMPUTED_VALUE"""),"Ma'arl ")</f>
        <v>Ma'arl </v>
      </c>
    </row>
    <row r="44">
      <c r="C44" s="8"/>
      <c r="O44" s="8" t="str">
        <f>IFERROR(__xludf.DUMMYFUNCTION("""COMPUTED_VALUE"""),"Magnar Traquebrume")</f>
        <v>Magnar Traquebrume</v>
      </c>
    </row>
    <row r="45">
      <c r="C45" s="8"/>
      <c r="O45" s="8" t="str">
        <f>IFERROR(__xludf.DUMMYFUNCTION("""COMPUTED_VALUE"""),"Malivor Xernes")</f>
        <v>Malivor Xernes</v>
      </c>
    </row>
    <row r="46">
      <c r="C46" s="8"/>
      <c r="O46" s="8" t="str">
        <f>IFERROR(__xludf.DUMMYFUNCTION("""COMPUTED_VALUE"""),"Njalda ")</f>
        <v>Njalda </v>
      </c>
    </row>
    <row r="47">
      <c r="C47" s="8"/>
      <c r="O47" s="8" t="str">
        <f>IFERROR(__xludf.DUMMYFUNCTION("""COMPUTED_VALUE"""),"Pavis Gurdalval")</f>
        <v>Pavis Gurdalval</v>
      </c>
    </row>
    <row r="48">
      <c r="C48" s="8"/>
      <c r="O48" s="8" t="str">
        <f>IFERROR(__xludf.DUMMYFUNCTION("""COMPUTED_VALUE"""),"Ri'Jhan MoonShadow")</f>
        <v>Ri'Jhan MoonShadow</v>
      </c>
    </row>
    <row r="49">
      <c r="C49" s="8"/>
      <c r="O49" s="8" t="str">
        <f>IFERROR(__xludf.DUMMYFUNCTION("""COMPUTED_VALUE"""),"Ronin ")</f>
        <v>Ronin </v>
      </c>
    </row>
    <row r="50">
      <c r="C50" s="8"/>
      <c r="O50" s="8" t="str">
        <f>IFERROR(__xludf.DUMMYFUNCTION("""COMPUTED_VALUE"""),"Rorik Marche-Hiver")</f>
        <v>Rorik Marche-Hiver</v>
      </c>
    </row>
    <row r="51">
      <c r="C51" s="8"/>
      <c r="O51" s="8" t="str">
        <f>IFERROR(__xludf.DUMMYFUNCTION("""COMPUTED_VALUE"""),"Rusco ")</f>
        <v>Rusco </v>
      </c>
    </row>
    <row r="52">
      <c r="C52" s="8"/>
      <c r="O52" s="8" t="str">
        <f>IFERROR(__xludf.DUMMYFUNCTION("""COMPUTED_VALUE"""),"S'Khar ")</f>
        <v>S'Khar </v>
      </c>
    </row>
    <row r="53">
      <c r="C53" s="8"/>
      <c r="O53" s="8" t="str">
        <f>IFERROR(__xludf.DUMMYFUNCTION("""COMPUTED_VALUE"""),"Si'Yara dite Fou")</f>
        <v>Si'Yara dite Fou</v>
      </c>
    </row>
    <row r="54">
      <c r="C54" s="8"/>
      <c r="O54" s="8" t="str">
        <f>IFERROR(__xludf.DUMMYFUNCTION("""COMPUTED_VALUE"""),"Sigurd Grisetoison")</f>
        <v>Sigurd Grisetoison</v>
      </c>
    </row>
    <row r="55">
      <c r="C55" s="8"/>
      <c r="O55" s="8" t="str">
        <f>IFERROR(__xludf.DUMMYFUNCTION("""COMPUTED_VALUE"""),"Smaug ")</f>
        <v>Smaug </v>
      </c>
    </row>
    <row r="56">
      <c r="C56" s="8"/>
      <c r="O56" s="8" t="str">
        <f>IFERROR(__xludf.DUMMYFUNCTION("""COMPUTED_VALUE"""),"Starkos Coeurebene")</f>
        <v>Starkos Coeurebene</v>
      </c>
    </row>
    <row r="57">
      <c r="C57" s="8"/>
      <c r="O57" s="8" t="str">
        <f>IFERROR(__xludf.DUMMYFUNCTION("""COMPUTED_VALUE"""),"Theodrek Heid")</f>
        <v>Theodrek Heid</v>
      </c>
    </row>
    <row r="58">
      <c r="C58" s="8"/>
      <c r="O58" s="8" t="str">
        <f>IFERROR(__xludf.DUMMYFUNCTION("""COMPUTED_VALUE"""),"Thorin Rivegel")</f>
        <v>Thorin Rivegel</v>
      </c>
    </row>
    <row r="59">
      <c r="C59" s="8"/>
      <c r="O59" s="8" t="str">
        <f>IFERROR(__xludf.DUMMYFUNCTION("""COMPUTED_VALUE"""),"Torald Brise-Roche")</f>
        <v>Torald Brise-Roche</v>
      </c>
    </row>
    <row r="60">
      <c r="C60" s="8"/>
      <c r="O60" s="8" t="str">
        <f>IFERROR(__xludf.DUMMYFUNCTION("""COMPUTED_VALUE"""),"Ulfar ")</f>
        <v>Ulfar </v>
      </c>
    </row>
    <row r="61">
      <c r="C61" s="8"/>
      <c r="O61" s="8" t="str">
        <f>IFERROR(__xludf.DUMMYFUNCTION("""COMPUTED_VALUE"""),"Varaa Uzgar")</f>
        <v>Varaa Uzgar</v>
      </c>
    </row>
    <row r="62">
      <c r="C62" s="8"/>
      <c r="O62" s="8" t="str">
        <f>IFERROR(__xludf.DUMMYFUNCTION("""COMPUTED_VALUE"""),"Vranx Thorgar")</f>
        <v>Vranx Thorgar</v>
      </c>
    </row>
    <row r="63">
      <c r="C63" s="8"/>
      <c r="O63" s="8" t="str">
        <f>IFERROR(__xludf.DUMMYFUNCTION("""COMPUTED_VALUE"""),"Wulfgar Durrock")</f>
        <v>Wulfgar Durrock</v>
      </c>
    </row>
    <row r="64">
      <c r="C64" s="8"/>
      <c r="O64" s="8" t="str">
        <f>IFERROR(__xludf.DUMMYFUNCTION("""COMPUTED_VALUE"""),"Zeid Le Brise-Lames")</f>
        <v>Zeid Le Brise-Lames</v>
      </c>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11.38"/>
    <col customWidth="1" min="3" max="3" width="31.38"/>
    <col customWidth="1" min="4" max="4" width="18.88"/>
    <col customWidth="1" min="5" max="5" width="12.63"/>
    <col customWidth="1" min="6" max="6" width="17.63"/>
    <col customWidth="1" min="7" max="7" width="13.88"/>
    <col customWidth="1" min="8" max="8" width="43.88"/>
    <col customWidth="1" min="9" max="9" width="62.63"/>
    <col customWidth="1" min="10" max="10" width="37.63"/>
    <col customWidth="1" min="12" max="12" width="43.88"/>
    <col customWidth="1" min="13" max="13" width="12.63"/>
    <col customWidth="1" min="14" max="14" width="43.88"/>
    <col customWidth="1" min="15" max="15" width="15.13"/>
    <col customWidth="1" min="16" max="16" width="31.38"/>
  </cols>
  <sheetData>
    <row r="1">
      <c r="A1" s="103" t="s">
        <v>230</v>
      </c>
      <c r="B1" s="104" t="s">
        <v>231</v>
      </c>
      <c r="C1" s="105" t="s">
        <v>232</v>
      </c>
      <c r="D1" s="106" t="s">
        <v>233</v>
      </c>
      <c r="E1" s="106" t="s">
        <v>234</v>
      </c>
      <c r="F1" s="106" t="s">
        <v>235</v>
      </c>
      <c r="G1" s="106" t="s">
        <v>236</v>
      </c>
      <c r="H1" s="105" t="s">
        <v>237</v>
      </c>
      <c r="I1" s="105" t="s">
        <v>238</v>
      </c>
      <c r="J1" s="105" t="s">
        <v>239</v>
      </c>
      <c r="L1" s="82" t="s">
        <v>240</v>
      </c>
      <c r="M1" s="82" t="s">
        <v>182</v>
      </c>
      <c r="N1" s="82" t="s">
        <v>241</v>
      </c>
      <c r="O1" s="82" t="s">
        <v>236</v>
      </c>
      <c r="P1" s="82" t="s">
        <v>242</v>
      </c>
    </row>
    <row r="2">
      <c r="A2" s="107" t="s">
        <v>243</v>
      </c>
      <c r="B2" s="108" t="s">
        <v>244</v>
      </c>
      <c r="C2" s="109" t="s">
        <v>244</v>
      </c>
      <c r="D2" s="110"/>
      <c r="E2" s="111"/>
      <c r="F2" s="112"/>
      <c r="G2" s="112"/>
      <c r="H2" s="113"/>
      <c r="I2" s="109" t="s">
        <v>247</v>
      </c>
      <c r="J2" s="113"/>
      <c r="L2" s="5" t="s">
        <v>248</v>
      </c>
      <c r="M2" s="12"/>
      <c r="N2" s="5" t="s">
        <v>248</v>
      </c>
      <c r="O2" s="5"/>
      <c r="P2" s="5" t="s">
        <v>66</v>
      </c>
    </row>
    <row r="3">
      <c r="A3" s="107" t="s">
        <v>243</v>
      </c>
      <c r="B3" s="108">
        <v>1.0</v>
      </c>
      <c r="C3" s="109" t="s">
        <v>249</v>
      </c>
      <c r="D3" s="110"/>
      <c r="E3" s="111"/>
      <c r="F3" s="112"/>
      <c r="G3" s="112"/>
      <c r="H3" s="113"/>
      <c r="I3" s="109" t="s">
        <v>250</v>
      </c>
      <c r="J3" s="113"/>
      <c r="L3" s="5" t="s">
        <v>251</v>
      </c>
      <c r="M3" s="12"/>
      <c r="N3" s="5" t="s">
        <v>251</v>
      </c>
      <c r="O3" s="5"/>
      <c r="P3" s="5" t="s">
        <v>252</v>
      </c>
    </row>
    <row r="4">
      <c r="A4" s="107" t="s">
        <v>243</v>
      </c>
      <c r="B4" s="108">
        <v>2.0</v>
      </c>
      <c r="C4" s="109" t="s">
        <v>253</v>
      </c>
      <c r="D4" s="110"/>
      <c r="E4" s="111"/>
      <c r="F4" s="112"/>
      <c r="G4" s="112"/>
      <c r="H4" s="113"/>
      <c r="I4" s="109" t="s">
        <v>254</v>
      </c>
      <c r="J4" s="113"/>
      <c r="L4" s="5" t="s">
        <v>255</v>
      </c>
      <c r="M4" s="12">
        <v>250.0</v>
      </c>
      <c r="N4" s="5" t="s">
        <v>256</v>
      </c>
      <c r="O4" s="5">
        <v>2.0</v>
      </c>
      <c r="P4" s="5" t="s">
        <v>257</v>
      </c>
    </row>
    <row r="5">
      <c r="A5" s="107" t="s">
        <v>243</v>
      </c>
      <c r="B5" s="108">
        <v>3.0</v>
      </c>
      <c r="C5" s="109" t="s">
        <v>258</v>
      </c>
      <c r="D5" s="110" t="s">
        <v>181</v>
      </c>
      <c r="E5" s="111"/>
      <c r="F5" s="112"/>
      <c r="G5" s="112"/>
      <c r="H5" s="113"/>
      <c r="I5" s="109" t="s">
        <v>259</v>
      </c>
      <c r="J5" s="113"/>
      <c r="L5" s="5" t="s">
        <v>260</v>
      </c>
      <c r="M5" s="12">
        <v>500.0</v>
      </c>
      <c r="N5" s="5" t="s">
        <v>261</v>
      </c>
      <c r="O5" s="5">
        <v>3.0</v>
      </c>
      <c r="P5" s="5" t="s">
        <v>262</v>
      </c>
    </row>
    <row r="6">
      <c r="A6" s="107" t="s">
        <v>243</v>
      </c>
      <c r="B6" s="108">
        <v>4.0</v>
      </c>
      <c r="C6" s="109" t="s">
        <v>263</v>
      </c>
      <c r="D6" s="110"/>
      <c r="E6" s="111"/>
      <c r="F6" s="112"/>
      <c r="G6" s="112"/>
      <c r="H6" s="113"/>
      <c r="I6" s="109" t="s">
        <v>264</v>
      </c>
      <c r="J6" s="113"/>
      <c r="L6" s="5" t="s">
        <v>265</v>
      </c>
      <c r="M6" s="12">
        <v>100.0</v>
      </c>
      <c r="N6" s="5" t="s">
        <v>266</v>
      </c>
      <c r="O6" s="5">
        <v>3.0</v>
      </c>
      <c r="P6" s="5" t="s">
        <v>267</v>
      </c>
    </row>
    <row r="7">
      <c r="A7" s="107" t="s">
        <v>243</v>
      </c>
      <c r="B7" s="108">
        <v>5.0</v>
      </c>
      <c r="C7" s="109" t="s">
        <v>268</v>
      </c>
      <c r="D7" s="110" t="s">
        <v>181</v>
      </c>
      <c r="E7" s="111"/>
      <c r="F7" s="112"/>
      <c r="G7" s="112"/>
      <c r="H7" s="113"/>
      <c r="I7" s="109" t="s">
        <v>269</v>
      </c>
      <c r="J7" s="113"/>
      <c r="L7" s="5" t="s">
        <v>270</v>
      </c>
      <c r="M7" s="12">
        <v>250.0</v>
      </c>
      <c r="N7" s="5" t="s">
        <v>271</v>
      </c>
      <c r="O7" s="5">
        <v>3.0</v>
      </c>
      <c r="P7" s="5" t="s">
        <v>125</v>
      </c>
    </row>
    <row r="8">
      <c r="A8" s="107" t="s">
        <v>243</v>
      </c>
      <c r="B8" s="108">
        <v>6.0</v>
      </c>
      <c r="C8" s="109" t="s">
        <v>272</v>
      </c>
      <c r="D8" s="110"/>
      <c r="E8" s="111"/>
      <c r="F8" s="112"/>
      <c r="G8" s="112"/>
      <c r="H8" s="113"/>
      <c r="I8" s="109" t="s">
        <v>273</v>
      </c>
      <c r="J8" s="109" t="s">
        <v>274</v>
      </c>
      <c r="L8" s="5" t="s">
        <v>275</v>
      </c>
      <c r="M8" s="12">
        <v>500.0</v>
      </c>
      <c r="N8" s="5" t="s">
        <v>276</v>
      </c>
      <c r="O8" s="5">
        <v>5.0</v>
      </c>
      <c r="P8" s="5" t="s">
        <v>35</v>
      </c>
    </row>
    <row r="9">
      <c r="A9" s="107" t="s">
        <v>243</v>
      </c>
      <c r="B9" s="108">
        <v>7.0</v>
      </c>
      <c r="C9" s="109" t="s">
        <v>277</v>
      </c>
      <c r="D9" s="110"/>
      <c r="E9" s="111"/>
      <c r="F9" s="112"/>
      <c r="G9" s="112"/>
      <c r="H9" s="113"/>
      <c r="I9" s="109" t="s">
        <v>278</v>
      </c>
      <c r="J9" s="113"/>
      <c r="L9" s="5" t="s">
        <v>279</v>
      </c>
      <c r="M9" s="12">
        <v>550.0</v>
      </c>
      <c r="N9" s="5" t="s">
        <v>280</v>
      </c>
      <c r="O9" s="5">
        <v>5.0</v>
      </c>
      <c r="P9" s="5" t="s">
        <v>281</v>
      </c>
    </row>
    <row r="10">
      <c r="A10" s="107" t="s">
        <v>243</v>
      </c>
      <c r="B10" s="108">
        <v>8.0</v>
      </c>
      <c r="C10" s="109" t="s">
        <v>282</v>
      </c>
      <c r="D10" s="110" t="s">
        <v>181</v>
      </c>
      <c r="E10" s="111"/>
      <c r="F10" s="112"/>
      <c r="G10" s="112"/>
      <c r="H10" s="113"/>
      <c r="I10" s="109" t="s">
        <v>283</v>
      </c>
      <c r="J10" s="109" t="s">
        <v>284</v>
      </c>
      <c r="L10" s="5" t="s">
        <v>256</v>
      </c>
      <c r="M10" s="12"/>
      <c r="N10" s="5" t="s">
        <v>285</v>
      </c>
      <c r="O10" s="5">
        <v>5.0</v>
      </c>
      <c r="P10" s="5" t="s">
        <v>149</v>
      </c>
    </row>
    <row r="11">
      <c r="A11" s="107" t="s">
        <v>243</v>
      </c>
      <c r="B11" s="108">
        <v>9.0</v>
      </c>
      <c r="C11" s="109" t="s">
        <v>286</v>
      </c>
      <c r="D11" s="110"/>
      <c r="E11" s="111"/>
      <c r="F11" s="112"/>
      <c r="G11" s="112"/>
      <c r="H11" s="113"/>
      <c r="I11" s="109" t="s">
        <v>287</v>
      </c>
      <c r="J11" s="113"/>
      <c r="L11" s="5" t="s">
        <v>261</v>
      </c>
      <c r="M11" s="12">
        <v>650.0</v>
      </c>
      <c r="N11" s="5" t="s">
        <v>288</v>
      </c>
      <c r="O11" s="5"/>
      <c r="P11" s="5" t="s">
        <v>289</v>
      </c>
    </row>
    <row r="12">
      <c r="A12" s="107" t="s">
        <v>243</v>
      </c>
      <c r="B12" s="108">
        <v>10.0</v>
      </c>
      <c r="C12" s="109" t="s">
        <v>290</v>
      </c>
      <c r="D12" s="110" t="s">
        <v>181</v>
      </c>
      <c r="E12" s="111"/>
      <c r="F12" s="112"/>
      <c r="G12" s="112"/>
      <c r="H12" s="113"/>
      <c r="I12" s="109" t="s">
        <v>291</v>
      </c>
      <c r="J12" s="113"/>
      <c r="L12" s="5" t="s">
        <v>266</v>
      </c>
      <c r="M12" s="12">
        <v>800.0</v>
      </c>
      <c r="N12" s="5" t="s">
        <v>292</v>
      </c>
      <c r="O12" s="5"/>
      <c r="P12" s="5" t="s">
        <v>293</v>
      </c>
    </row>
    <row r="13">
      <c r="A13" s="107" t="s">
        <v>243</v>
      </c>
      <c r="B13" s="108">
        <v>11.0</v>
      </c>
      <c r="C13" s="109" t="s">
        <v>294</v>
      </c>
      <c r="D13" s="110"/>
      <c r="E13" s="111"/>
      <c r="F13" s="112"/>
      <c r="G13" s="112"/>
      <c r="H13" s="113"/>
      <c r="I13" s="109" t="s">
        <v>295</v>
      </c>
      <c r="J13" s="113"/>
      <c r="L13" s="5" t="s">
        <v>296</v>
      </c>
      <c r="M13" s="12">
        <v>800.0</v>
      </c>
      <c r="N13" s="5" t="s">
        <v>297</v>
      </c>
      <c r="O13" s="5">
        <v>0.5</v>
      </c>
      <c r="P13" s="5" t="s">
        <v>88</v>
      </c>
    </row>
    <row r="14">
      <c r="A14" s="107" t="s">
        <v>243</v>
      </c>
      <c r="B14" s="108">
        <v>12.0</v>
      </c>
      <c r="C14" s="109" t="s">
        <v>298</v>
      </c>
      <c r="D14" s="110"/>
      <c r="E14" s="111"/>
      <c r="F14" s="112"/>
      <c r="G14" s="112"/>
      <c r="H14" s="113"/>
      <c r="I14" s="109" t="s">
        <v>299</v>
      </c>
      <c r="J14" s="113"/>
      <c r="L14" s="5" t="s">
        <v>271</v>
      </c>
      <c r="M14" s="12">
        <v>1000.0</v>
      </c>
      <c r="N14" s="5" t="s">
        <v>300</v>
      </c>
      <c r="O14" s="5">
        <v>1.0</v>
      </c>
      <c r="P14" s="5" t="s">
        <v>151</v>
      </c>
    </row>
    <row r="15">
      <c r="A15" s="107" t="s">
        <v>243</v>
      </c>
      <c r="B15" s="108">
        <v>13.0</v>
      </c>
      <c r="C15" s="109" t="s">
        <v>301</v>
      </c>
      <c r="D15" s="110" t="s">
        <v>302</v>
      </c>
      <c r="E15" s="111"/>
      <c r="F15" s="112"/>
      <c r="G15" s="112"/>
      <c r="H15" s="109"/>
      <c r="I15" s="109" t="s">
        <v>303</v>
      </c>
      <c r="J15" s="113"/>
      <c r="L15" s="5" t="s">
        <v>276</v>
      </c>
      <c r="M15" s="12">
        <v>1200.0</v>
      </c>
      <c r="N15" s="5" t="s">
        <v>304</v>
      </c>
      <c r="O15" s="5">
        <v>1.0</v>
      </c>
      <c r="P15" s="5" t="s">
        <v>305</v>
      </c>
    </row>
    <row r="16">
      <c r="A16" s="107" t="s">
        <v>243</v>
      </c>
      <c r="B16" s="108">
        <v>14.0</v>
      </c>
      <c r="C16" s="109" t="s">
        <v>306</v>
      </c>
      <c r="D16" s="110" t="s">
        <v>302</v>
      </c>
      <c r="E16" s="115"/>
      <c r="F16" s="116"/>
      <c r="G16" s="112"/>
      <c r="H16" s="109" t="s">
        <v>307</v>
      </c>
      <c r="I16" s="109" t="s">
        <v>308</v>
      </c>
      <c r="J16" s="113"/>
      <c r="L16" s="5" t="s">
        <v>280</v>
      </c>
      <c r="M16" s="12">
        <v>800.0</v>
      </c>
      <c r="N16" s="5" t="s">
        <v>309</v>
      </c>
      <c r="O16" s="5"/>
      <c r="P16" s="5" t="s">
        <v>135</v>
      </c>
    </row>
    <row r="17">
      <c r="A17" s="107" t="s">
        <v>243</v>
      </c>
      <c r="B17" s="108">
        <v>15.0</v>
      </c>
      <c r="C17" s="109" t="s">
        <v>310</v>
      </c>
      <c r="D17" s="110" t="s">
        <v>311</v>
      </c>
      <c r="E17" s="115">
        <v>250.0</v>
      </c>
      <c r="F17" s="116">
        <v>1.0</v>
      </c>
      <c r="G17" s="112"/>
      <c r="H17" s="109" t="s">
        <v>312</v>
      </c>
      <c r="I17" s="109" t="s">
        <v>313</v>
      </c>
      <c r="J17" s="113"/>
      <c r="L17" s="5" t="s">
        <v>285</v>
      </c>
      <c r="M17" s="12">
        <v>1000.0</v>
      </c>
      <c r="N17" s="5" t="s">
        <v>314</v>
      </c>
      <c r="O17" s="5"/>
      <c r="P17" s="5" t="s">
        <v>315</v>
      </c>
    </row>
    <row r="18">
      <c r="A18" s="107" t="s">
        <v>243</v>
      </c>
      <c r="B18" s="108">
        <v>16.0</v>
      </c>
      <c r="C18" s="109" t="s">
        <v>316</v>
      </c>
      <c r="D18" s="110" t="s">
        <v>302</v>
      </c>
      <c r="E18" s="115">
        <v>500.0</v>
      </c>
      <c r="F18" s="116">
        <v>3.0</v>
      </c>
      <c r="G18" s="112"/>
      <c r="H18" s="109" t="s">
        <v>317</v>
      </c>
      <c r="I18" s="109" t="s">
        <v>318</v>
      </c>
      <c r="J18" s="113"/>
      <c r="L18" s="5" t="s">
        <v>288</v>
      </c>
      <c r="M18" s="12"/>
      <c r="N18" s="5" t="s">
        <v>319</v>
      </c>
      <c r="O18" s="5"/>
      <c r="P18" s="5" t="s">
        <v>320</v>
      </c>
    </row>
    <row r="19">
      <c r="A19" s="107" t="s">
        <v>243</v>
      </c>
      <c r="B19" s="108">
        <v>17.0</v>
      </c>
      <c r="C19" s="109" t="s">
        <v>321</v>
      </c>
      <c r="D19" s="110" t="s">
        <v>302</v>
      </c>
      <c r="E19" s="115">
        <v>100.0</v>
      </c>
      <c r="F19" s="116">
        <v>1.0</v>
      </c>
      <c r="G19" s="112"/>
      <c r="H19" s="109" t="s">
        <v>323</v>
      </c>
      <c r="I19" s="109" t="s">
        <v>324</v>
      </c>
      <c r="J19" s="113"/>
      <c r="L19" s="5" t="s">
        <v>292</v>
      </c>
      <c r="M19" s="12"/>
      <c r="N19" s="5" t="s">
        <v>325</v>
      </c>
      <c r="O19" s="5">
        <v>3.0</v>
      </c>
      <c r="P19" s="5" t="s">
        <v>100</v>
      </c>
    </row>
    <row r="20">
      <c r="A20" s="107" t="s">
        <v>243</v>
      </c>
      <c r="B20" s="108">
        <v>18.0</v>
      </c>
      <c r="C20" s="109" t="s">
        <v>327</v>
      </c>
      <c r="D20" s="110" t="s">
        <v>311</v>
      </c>
      <c r="E20" s="115">
        <v>250.0</v>
      </c>
      <c r="F20" s="116">
        <v>1.0</v>
      </c>
      <c r="G20" s="112"/>
      <c r="H20" s="109" t="s">
        <v>312</v>
      </c>
      <c r="I20" s="109" t="s">
        <v>329</v>
      </c>
      <c r="J20" s="113"/>
      <c r="L20" s="5" t="s">
        <v>297</v>
      </c>
      <c r="M20" s="12">
        <v>50.0</v>
      </c>
      <c r="N20" s="5" t="s">
        <v>330</v>
      </c>
      <c r="O20" s="5">
        <v>2.0</v>
      </c>
      <c r="P20" s="5" t="s">
        <v>103</v>
      </c>
    </row>
    <row r="21">
      <c r="A21" s="107" t="s">
        <v>243</v>
      </c>
      <c r="B21" s="108">
        <v>19.0</v>
      </c>
      <c r="C21" s="109" t="s">
        <v>333</v>
      </c>
      <c r="D21" s="110" t="s">
        <v>311</v>
      </c>
      <c r="E21" s="111"/>
      <c r="F21" s="116">
        <v>1.0</v>
      </c>
      <c r="G21" s="112"/>
      <c r="H21" s="109" t="s">
        <v>334</v>
      </c>
      <c r="I21" s="109" t="s">
        <v>335</v>
      </c>
      <c r="J21" s="113"/>
      <c r="L21" s="5" t="s">
        <v>300</v>
      </c>
      <c r="M21" s="12">
        <v>500.0</v>
      </c>
      <c r="N21" s="5" t="s">
        <v>336</v>
      </c>
      <c r="O21" s="5">
        <v>2.0</v>
      </c>
      <c r="P21" s="5" t="s">
        <v>187</v>
      </c>
    </row>
    <row r="22">
      <c r="A22" s="107" t="s">
        <v>243</v>
      </c>
      <c r="B22" s="108">
        <v>20.0</v>
      </c>
      <c r="C22" s="109" t="s">
        <v>337</v>
      </c>
      <c r="D22" s="110" t="s">
        <v>311</v>
      </c>
      <c r="E22" s="115"/>
      <c r="F22" s="116">
        <v>1.0</v>
      </c>
      <c r="G22" s="112"/>
      <c r="H22" s="109" t="s">
        <v>334</v>
      </c>
      <c r="I22" s="109" t="s">
        <v>340</v>
      </c>
      <c r="J22" s="113"/>
      <c r="L22" s="5" t="s">
        <v>304</v>
      </c>
      <c r="M22" s="12">
        <v>70.0</v>
      </c>
      <c r="N22" s="5" t="s">
        <v>341</v>
      </c>
      <c r="O22" s="5">
        <v>1.0</v>
      </c>
      <c r="P22" s="5" t="s">
        <v>42</v>
      </c>
    </row>
    <row r="23">
      <c r="A23" s="107" t="s">
        <v>243</v>
      </c>
      <c r="B23" s="108">
        <v>21.0</v>
      </c>
      <c r="C23" s="109" t="s">
        <v>342</v>
      </c>
      <c r="D23" s="110" t="s">
        <v>302</v>
      </c>
      <c r="E23" s="115">
        <v>500.0</v>
      </c>
      <c r="F23" s="116">
        <v>1.0</v>
      </c>
      <c r="G23" s="112"/>
      <c r="H23" s="109" t="s">
        <v>343</v>
      </c>
      <c r="I23" s="109" t="s">
        <v>345</v>
      </c>
      <c r="J23" s="113"/>
      <c r="L23" s="5" t="s">
        <v>309</v>
      </c>
      <c r="M23" s="12">
        <v>50.0</v>
      </c>
      <c r="N23" s="5" t="s">
        <v>346</v>
      </c>
      <c r="O23" s="5">
        <v>0.3333</v>
      </c>
      <c r="P23" s="5" t="s">
        <v>347</v>
      </c>
    </row>
    <row r="24">
      <c r="A24" s="107" t="s">
        <v>243</v>
      </c>
      <c r="B24" s="108">
        <v>22.0</v>
      </c>
      <c r="C24" s="109" t="s">
        <v>348</v>
      </c>
      <c r="D24" s="110" t="s">
        <v>302</v>
      </c>
      <c r="E24" s="115">
        <v>550.0</v>
      </c>
      <c r="F24" s="116">
        <v>3.0</v>
      </c>
      <c r="G24" s="116"/>
      <c r="H24" s="109" t="s">
        <v>349</v>
      </c>
      <c r="I24" s="109" t="s">
        <v>350</v>
      </c>
      <c r="J24" s="109"/>
      <c r="L24" s="5" t="s">
        <v>351</v>
      </c>
      <c r="M24" s="12">
        <v>70.0</v>
      </c>
      <c r="N24" s="5" t="s">
        <v>352</v>
      </c>
      <c r="O24" s="5">
        <v>5.0</v>
      </c>
      <c r="P24" s="5" t="s">
        <v>199</v>
      </c>
    </row>
    <row r="25">
      <c r="A25" s="107" t="s">
        <v>243</v>
      </c>
      <c r="B25" s="108">
        <v>23.0</v>
      </c>
      <c r="C25" s="109" t="s">
        <v>353</v>
      </c>
      <c r="D25" s="110" t="s">
        <v>354</v>
      </c>
      <c r="E25" s="115"/>
      <c r="F25" s="116"/>
      <c r="G25" s="116">
        <v>2.0</v>
      </c>
      <c r="H25" s="109" t="s">
        <v>355</v>
      </c>
      <c r="I25" s="109" t="s">
        <v>356</v>
      </c>
      <c r="J25" s="109" t="s">
        <v>357</v>
      </c>
      <c r="L25" s="5" t="s">
        <v>359</v>
      </c>
      <c r="M25" s="12">
        <v>100.0</v>
      </c>
      <c r="N25" s="5" t="s">
        <v>360</v>
      </c>
      <c r="O25" s="5"/>
      <c r="P25" s="5" t="s">
        <v>361</v>
      </c>
    </row>
    <row r="26">
      <c r="A26" s="107" t="s">
        <v>243</v>
      </c>
      <c r="B26" s="108">
        <v>24.0</v>
      </c>
      <c r="C26" s="109" t="s">
        <v>362</v>
      </c>
      <c r="D26" s="110" t="s">
        <v>354</v>
      </c>
      <c r="E26" s="115">
        <v>650.0</v>
      </c>
      <c r="F26" s="116"/>
      <c r="G26" s="116">
        <v>3.0</v>
      </c>
      <c r="H26" s="109" t="s">
        <v>363</v>
      </c>
      <c r="I26" s="109" t="s">
        <v>364</v>
      </c>
      <c r="J26" s="109" t="s">
        <v>357</v>
      </c>
      <c r="L26" s="5" t="s">
        <v>365</v>
      </c>
      <c r="M26" s="12">
        <v>150.0</v>
      </c>
      <c r="N26" s="5" t="s">
        <v>366</v>
      </c>
      <c r="O26" s="5"/>
      <c r="P26" s="5" t="s">
        <v>367</v>
      </c>
    </row>
    <row r="27">
      <c r="A27" s="107" t="s">
        <v>243</v>
      </c>
      <c r="B27" s="108">
        <v>25.0</v>
      </c>
      <c r="C27" s="109" t="s">
        <v>368</v>
      </c>
      <c r="D27" s="110" t="s">
        <v>354</v>
      </c>
      <c r="E27" s="115">
        <v>800.0</v>
      </c>
      <c r="F27" s="116"/>
      <c r="G27" s="116">
        <v>3.0</v>
      </c>
      <c r="H27" s="109" t="s">
        <v>369</v>
      </c>
      <c r="I27" s="109" t="s">
        <v>370</v>
      </c>
      <c r="J27" s="109" t="s">
        <v>357</v>
      </c>
      <c r="L27" s="5" t="s">
        <v>314</v>
      </c>
      <c r="M27" s="12"/>
      <c r="N27" s="5" t="s">
        <v>371</v>
      </c>
      <c r="O27" s="5">
        <v>1.0</v>
      </c>
      <c r="P27" s="5" t="s">
        <v>372</v>
      </c>
    </row>
    <row r="28">
      <c r="A28" s="107" t="s">
        <v>243</v>
      </c>
      <c r="B28" s="108">
        <v>26.0</v>
      </c>
      <c r="C28" s="109" t="s">
        <v>373</v>
      </c>
      <c r="D28" s="110" t="s">
        <v>354</v>
      </c>
      <c r="E28" s="115">
        <v>800.0</v>
      </c>
      <c r="F28" s="116">
        <v>5.0</v>
      </c>
      <c r="G28" s="116"/>
      <c r="H28" s="109" t="s">
        <v>374</v>
      </c>
      <c r="I28" s="109" t="s">
        <v>375</v>
      </c>
      <c r="J28" s="109"/>
      <c r="L28" s="5" t="s">
        <v>376</v>
      </c>
      <c r="M28" s="12">
        <v>200.0</v>
      </c>
      <c r="N28" s="5" t="s">
        <v>377</v>
      </c>
      <c r="O28" s="5">
        <v>2.0</v>
      </c>
      <c r="P28" s="5" t="s">
        <v>379</v>
      </c>
    </row>
    <row r="29">
      <c r="A29" s="107" t="s">
        <v>243</v>
      </c>
      <c r="B29" s="108">
        <v>27.0</v>
      </c>
      <c r="C29" s="109" t="s">
        <v>380</v>
      </c>
      <c r="D29" s="110" t="s">
        <v>354</v>
      </c>
      <c r="E29" s="115">
        <v>1000.0</v>
      </c>
      <c r="F29" s="116"/>
      <c r="G29" s="116">
        <v>3.0</v>
      </c>
      <c r="H29" s="109" t="s">
        <v>381</v>
      </c>
      <c r="I29" s="109" t="s">
        <v>382</v>
      </c>
      <c r="J29" s="109" t="s">
        <v>357</v>
      </c>
      <c r="L29" s="5" t="s">
        <v>319</v>
      </c>
      <c r="M29" s="12">
        <v>100.0</v>
      </c>
      <c r="N29" s="5" t="s">
        <v>383</v>
      </c>
      <c r="O29" s="5">
        <v>2.0</v>
      </c>
      <c r="P29" s="5" t="s">
        <v>45</v>
      </c>
    </row>
    <row r="30">
      <c r="A30" s="107" t="s">
        <v>243</v>
      </c>
      <c r="B30" s="108">
        <v>28.0</v>
      </c>
      <c r="C30" s="109" t="s">
        <v>384</v>
      </c>
      <c r="D30" s="110" t="s">
        <v>354</v>
      </c>
      <c r="E30" s="115">
        <v>1200.0</v>
      </c>
      <c r="F30" s="116"/>
      <c r="G30" s="116">
        <v>5.0</v>
      </c>
      <c r="H30" s="109" t="s">
        <v>385</v>
      </c>
      <c r="I30" s="109" t="s">
        <v>386</v>
      </c>
      <c r="J30" s="109" t="s">
        <v>357</v>
      </c>
      <c r="L30" s="5" t="s">
        <v>325</v>
      </c>
      <c r="M30" s="12">
        <v>1000.0</v>
      </c>
      <c r="N30" s="5" t="s">
        <v>387</v>
      </c>
      <c r="O30" s="5"/>
      <c r="P30" s="5" t="s">
        <v>388</v>
      </c>
    </row>
    <row r="31">
      <c r="A31" s="107" t="s">
        <v>243</v>
      </c>
      <c r="B31" s="108">
        <v>29.0</v>
      </c>
      <c r="C31" s="109" t="s">
        <v>389</v>
      </c>
      <c r="D31" s="110" t="s">
        <v>354</v>
      </c>
      <c r="E31" s="115">
        <v>800.0</v>
      </c>
      <c r="F31" s="116"/>
      <c r="G31" s="116">
        <v>5.0</v>
      </c>
      <c r="H31" s="109" t="s">
        <v>390</v>
      </c>
      <c r="I31" s="109" t="s">
        <v>391</v>
      </c>
      <c r="J31" s="109" t="s">
        <v>357</v>
      </c>
      <c r="L31" s="5" t="s">
        <v>330</v>
      </c>
      <c r="M31" s="12">
        <v>2000.0</v>
      </c>
      <c r="N31" s="5" t="s">
        <v>392</v>
      </c>
      <c r="O31" s="5"/>
      <c r="P31" s="5" t="s">
        <v>109</v>
      </c>
    </row>
    <row r="32">
      <c r="A32" s="107" t="s">
        <v>243</v>
      </c>
      <c r="B32" s="108">
        <v>30.0</v>
      </c>
      <c r="C32" s="109" t="s">
        <v>393</v>
      </c>
      <c r="D32" s="110" t="s">
        <v>354</v>
      </c>
      <c r="E32" s="115">
        <v>1000.0</v>
      </c>
      <c r="F32" s="112"/>
      <c r="G32" s="116">
        <v>5.0</v>
      </c>
      <c r="H32" s="109" t="s">
        <v>394</v>
      </c>
      <c r="I32" s="109" t="s">
        <v>395</v>
      </c>
      <c r="J32" s="109" t="s">
        <v>357</v>
      </c>
      <c r="L32" s="5" t="s">
        <v>336</v>
      </c>
      <c r="M32" s="12">
        <v>500.0</v>
      </c>
      <c r="N32" s="5" t="s">
        <v>396</v>
      </c>
      <c r="O32" s="5"/>
      <c r="P32" s="5" t="s">
        <v>155</v>
      </c>
    </row>
    <row r="33">
      <c r="A33" s="107" t="s">
        <v>243</v>
      </c>
      <c r="B33" s="108">
        <v>31.0</v>
      </c>
      <c r="C33" s="109" t="s">
        <v>397</v>
      </c>
      <c r="D33" s="110" t="s">
        <v>354</v>
      </c>
      <c r="E33" s="115"/>
      <c r="F33" s="116"/>
      <c r="G33" s="112"/>
      <c r="H33" s="109" t="s">
        <v>398</v>
      </c>
      <c r="I33" s="109" t="s">
        <v>399</v>
      </c>
      <c r="J33" s="109"/>
      <c r="L33" s="5" t="s">
        <v>400</v>
      </c>
      <c r="M33" s="12">
        <v>500.0</v>
      </c>
      <c r="N33" s="5" t="s">
        <v>401</v>
      </c>
      <c r="O33" s="5"/>
      <c r="P33" s="5" t="s">
        <v>154</v>
      </c>
    </row>
    <row r="34">
      <c r="A34" s="107" t="s">
        <v>243</v>
      </c>
      <c r="B34" s="108">
        <v>32.0</v>
      </c>
      <c r="C34" s="109" t="s">
        <v>402</v>
      </c>
      <c r="D34" s="110" t="s">
        <v>354</v>
      </c>
      <c r="E34" s="115"/>
      <c r="F34" s="116">
        <v>1.0</v>
      </c>
      <c r="G34" s="112"/>
      <c r="H34" s="109" t="s">
        <v>403</v>
      </c>
      <c r="I34" s="109" t="s">
        <v>404</v>
      </c>
      <c r="J34" s="109" t="s">
        <v>405</v>
      </c>
      <c r="L34" s="5" t="s">
        <v>406</v>
      </c>
      <c r="M34" s="12">
        <v>500.0</v>
      </c>
      <c r="N34" s="5" t="s">
        <v>407</v>
      </c>
      <c r="O34" s="5">
        <v>0.3333</v>
      </c>
      <c r="P34" s="5" t="s">
        <v>408</v>
      </c>
    </row>
    <row r="35">
      <c r="A35" s="107" t="s">
        <v>243</v>
      </c>
      <c r="B35" s="108">
        <v>33.0</v>
      </c>
      <c r="C35" s="109" t="s">
        <v>409</v>
      </c>
      <c r="D35" s="110" t="s">
        <v>354</v>
      </c>
      <c r="E35" s="115"/>
      <c r="F35" s="116">
        <v>1.0</v>
      </c>
      <c r="G35" s="116"/>
      <c r="H35" s="109" t="s">
        <v>403</v>
      </c>
      <c r="I35" s="109" t="s">
        <v>410</v>
      </c>
      <c r="J35" s="109" t="s">
        <v>405</v>
      </c>
      <c r="L35" s="5" t="s">
        <v>411</v>
      </c>
      <c r="M35" s="12">
        <v>150.0</v>
      </c>
      <c r="N35" s="5" t="s">
        <v>412</v>
      </c>
      <c r="O35" s="5"/>
      <c r="P35" s="5" t="s">
        <v>413</v>
      </c>
    </row>
    <row r="36">
      <c r="A36" s="107" t="s">
        <v>243</v>
      </c>
      <c r="B36" s="108">
        <v>34.0</v>
      </c>
      <c r="C36" s="109" t="s">
        <v>414</v>
      </c>
      <c r="D36" s="110" t="s">
        <v>311</v>
      </c>
      <c r="E36" s="115">
        <v>50.0</v>
      </c>
      <c r="F36" s="112"/>
      <c r="G36" s="116">
        <v>0.5</v>
      </c>
      <c r="H36" s="109" t="s">
        <v>415</v>
      </c>
      <c r="I36" s="109" t="s">
        <v>416</v>
      </c>
      <c r="J36" s="113"/>
      <c r="L36" s="5" t="s">
        <v>417</v>
      </c>
      <c r="M36" s="12">
        <v>1000.0</v>
      </c>
      <c r="N36" s="5"/>
      <c r="O36" s="5"/>
      <c r="P36" s="5" t="s">
        <v>418</v>
      </c>
    </row>
    <row r="37">
      <c r="A37" s="107" t="s">
        <v>243</v>
      </c>
      <c r="B37" s="108">
        <v>35.0</v>
      </c>
      <c r="C37" s="109" t="s">
        <v>419</v>
      </c>
      <c r="D37" s="110" t="s">
        <v>302</v>
      </c>
      <c r="E37" s="115">
        <v>500.0</v>
      </c>
      <c r="F37" s="112"/>
      <c r="G37" s="116">
        <v>1.0</v>
      </c>
      <c r="H37" s="109" t="s">
        <v>420</v>
      </c>
      <c r="I37" s="109" t="s">
        <v>421</v>
      </c>
      <c r="J37" s="113"/>
      <c r="L37" s="5" t="s">
        <v>422</v>
      </c>
      <c r="M37" s="12">
        <v>20.0</v>
      </c>
      <c r="N37" s="5"/>
      <c r="O37" s="5"/>
      <c r="P37" s="5" t="s">
        <v>423</v>
      </c>
    </row>
    <row r="38">
      <c r="A38" s="107" t="s">
        <v>243</v>
      </c>
      <c r="B38" s="108">
        <v>36.0</v>
      </c>
      <c r="C38" s="109" t="s">
        <v>424</v>
      </c>
      <c r="D38" s="110" t="s">
        <v>302</v>
      </c>
      <c r="E38" s="115">
        <v>70.0</v>
      </c>
      <c r="F38" s="116"/>
      <c r="G38" s="116">
        <v>1.0</v>
      </c>
      <c r="H38" s="109" t="s">
        <v>425</v>
      </c>
      <c r="I38" s="109" t="s">
        <v>426</v>
      </c>
      <c r="J38" s="109"/>
      <c r="L38" s="5" t="s">
        <v>341</v>
      </c>
      <c r="M38" s="12">
        <v>50.0</v>
      </c>
      <c r="N38" s="5"/>
      <c r="O38" s="5"/>
      <c r="P38" s="5" t="s">
        <v>427</v>
      </c>
    </row>
    <row r="39">
      <c r="A39" s="107" t="s">
        <v>243</v>
      </c>
      <c r="B39" s="108">
        <v>37.0</v>
      </c>
      <c r="C39" s="109" t="s">
        <v>428</v>
      </c>
      <c r="D39" s="110" t="s">
        <v>354</v>
      </c>
      <c r="E39" s="115">
        <v>50.0</v>
      </c>
      <c r="F39" s="116">
        <v>1.0</v>
      </c>
      <c r="G39" s="112"/>
      <c r="H39" s="109" t="s">
        <v>429</v>
      </c>
      <c r="I39" s="109" t="s">
        <v>430</v>
      </c>
      <c r="J39" s="109" t="s">
        <v>431</v>
      </c>
      <c r="L39" s="5" t="s">
        <v>346</v>
      </c>
      <c r="M39" s="12">
        <v>35.0</v>
      </c>
      <c r="N39" s="5"/>
      <c r="O39" s="5"/>
      <c r="P39" s="5" t="s">
        <v>432</v>
      </c>
    </row>
    <row r="40">
      <c r="A40" s="107" t="s">
        <v>243</v>
      </c>
      <c r="B40" s="108">
        <v>38.0</v>
      </c>
      <c r="C40" s="109" t="s">
        <v>433</v>
      </c>
      <c r="D40" s="110" t="s">
        <v>302</v>
      </c>
      <c r="E40" s="115">
        <v>70.0</v>
      </c>
      <c r="F40" s="116">
        <v>2.0</v>
      </c>
      <c r="G40" s="112"/>
      <c r="H40" s="109" t="s">
        <v>434</v>
      </c>
      <c r="I40" s="109" t="s">
        <v>435</v>
      </c>
      <c r="J40" s="113"/>
      <c r="L40" s="5" t="s">
        <v>436</v>
      </c>
      <c r="M40" s="12">
        <v>25.0</v>
      </c>
      <c r="N40" s="5"/>
      <c r="O40" s="5"/>
      <c r="P40" s="5" t="s">
        <v>437</v>
      </c>
    </row>
    <row r="41">
      <c r="A41" s="107" t="s">
        <v>243</v>
      </c>
      <c r="B41" s="108">
        <v>39.0</v>
      </c>
      <c r="C41" s="109" t="s">
        <v>438</v>
      </c>
      <c r="D41" s="110"/>
      <c r="E41" s="111"/>
      <c r="F41" s="112"/>
      <c r="G41" s="112"/>
      <c r="H41" s="109" t="s">
        <v>439</v>
      </c>
      <c r="I41" s="109" t="s">
        <v>440</v>
      </c>
      <c r="J41" s="113"/>
      <c r="L41" s="5" t="s">
        <v>441</v>
      </c>
      <c r="M41" s="12">
        <v>100.0</v>
      </c>
      <c r="N41" s="5"/>
      <c r="O41" s="5"/>
      <c r="P41" s="5" t="s">
        <v>442</v>
      </c>
    </row>
    <row r="42">
      <c r="A42" s="107" t="s">
        <v>243</v>
      </c>
      <c r="B42" s="108">
        <v>40.0</v>
      </c>
      <c r="C42" s="109" t="s">
        <v>443</v>
      </c>
      <c r="D42" s="110"/>
      <c r="E42" s="115"/>
      <c r="F42" s="116"/>
      <c r="G42" s="112"/>
      <c r="H42" s="109" t="s">
        <v>444</v>
      </c>
      <c r="I42" s="109" t="s">
        <v>445</v>
      </c>
      <c r="J42" s="109"/>
      <c r="L42" s="5" t="s">
        <v>446</v>
      </c>
      <c r="M42" s="12">
        <v>500.0</v>
      </c>
      <c r="N42" s="5"/>
      <c r="O42" s="5"/>
      <c r="P42" s="5" t="s">
        <v>447</v>
      </c>
    </row>
    <row r="43">
      <c r="A43" s="107" t="s">
        <v>243</v>
      </c>
      <c r="B43" s="108">
        <v>41.0</v>
      </c>
      <c r="C43" s="109" t="s">
        <v>448</v>
      </c>
      <c r="D43" s="110" t="s">
        <v>302</v>
      </c>
      <c r="E43" s="115">
        <v>100.0</v>
      </c>
      <c r="F43" s="116">
        <v>2.0</v>
      </c>
      <c r="G43" s="112"/>
      <c r="H43" s="109" t="s">
        <v>449</v>
      </c>
      <c r="I43" s="109" t="s">
        <v>450</v>
      </c>
      <c r="J43" s="109"/>
      <c r="L43" s="5" t="s">
        <v>451</v>
      </c>
      <c r="M43" s="12">
        <v>50.0</v>
      </c>
      <c r="N43" s="5"/>
      <c r="O43" s="5"/>
      <c r="P43" s="5" t="s">
        <v>452</v>
      </c>
    </row>
    <row r="44">
      <c r="A44" s="107" t="s">
        <v>243</v>
      </c>
      <c r="B44" s="108">
        <v>42.0</v>
      </c>
      <c r="C44" s="109" t="s">
        <v>453</v>
      </c>
      <c r="D44" s="110" t="s">
        <v>302</v>
      </c>
      <c r="E44" s="115">
        <v>150.0</v>
      </c>
      <c r="F44" s="116">
        <v>2.0</v>
      </c>
      <c r="G44" s="112"/>
      <c r="H44" s="109" t="s">
        <v>454</v>
      </c>
      <c r="I44" s="109" t="s">
        <v>455</v>
      </c>
      <c r="J44" s="113"/>
      <c r="L44" s="5" t="s">
        <v>456</v>
      </c>
      <c r="M44" s="12">
        <v>250.0</v>
      </c>
      <c r="N44" s="5"/>
      <c r="O44" s="5"/>
      <c r="P44" s="5" t="s">
        <v>120</v>
      </c>
    </row>
    <row r="45">
      <c r="A45" s="107" t="s">
        <v>243</v>
      </c>
      <c r="B45" s="108">
        <v>43.0</v>
      </c>
      <c r="C45" s="109" t="s">
        <v>457</v>
      </c>
      <c r="D45" s="110"/>
      <c r="E45" s="115"/>
      <c r="F45" s="112"/>
      <c r="G45" s="112"/>
      <c r="H45" s="109" t="s">
        <v>458</v>
      </c>
      <c r="I45" s="109" t="s">
        <v>459</v>
      </c>
      <c r="J45" s="109"/>
      <c r="L45" s="5" t="s">
        <v>460</v>
      </c>
      <c r="M45" s="12">
        <v>100.0</v>
      </c>
      <c r="N45" s="5"/>
      <c r="O45" s="5"/>
      <c r="P45" s="5" t="s">
        <v>461</v>
      </c>
    </row>
    <row r="46">
      <c r="A46" s="107" t="s">
        <v>243</v>
      </c>
      <c r="B46" s="108">
        <v>44.0</v>
      </c>
      <c r="C46" s="109" t="s">
        <v>462</v>
      </c>
      <c r="D46" s="110" t="s">
        <v>181</v>
      </c>
      <c r="E46" s="115"/>
      <c r="F46" s="112"/>
      <c r="G46" s="112"/>
      <c r="H46" s="109" t="s">
        <v>463</v>
      </c>
      <c r="I46" s="109" t="s">
        <v>464</v>
      </c>
      <c r="J46" s="109" t="s">
        <v>405</v>
      </c>
      <c r="L46" s="5" t="s">
        <v>352</v>
      </c>
      <c r="M46" s="12">
        <v>1000.0</v>
      </c>
      <c r="N46" s="5"/>
      <c r="O46" s="5"/>
      <c r="P46" s="5" t="s">
        <v>465</v>
      </c>
    </row>
    <row r="47">
      <c r="A47" s="107" t="s">
        <v>243</v>
      </c>
      <c r="B47" s="108">
        <v>45.0</v>
      </c>
      <c r="C47" s="109" t="s">
        <v>466</v>
      </c>
      <c r="D47" s="110" t="s">
        <v>311</v>
      </c>
      <c r="E47" s="115">
        <v>200.0</v>
      </c>
      <c r="F47" s="112"/>
      <c r="G47" s="112"/>
      <c r="H47" s="109" t="s">
        <v>467</v>
      </c>
      <c r="I47" s="109" t="s">
        <v>468</v>
      </c>
      <c r="J47" s="109"/>
      <c r="L47" s="5" t="s">
        <v>360</v>
      </c>
      <c r="M47" s="12"/>
      <c r="N47" s="5"/>
      <c r="O47" s="5"/>
      <c r="P47" s="5" t="s">
        <v>152</v>
      </c>
    </row>
    <row r="48">
      <c r="A48" s="107" t="s">
        <v>243</v>
      </c>
      <c r="B48" s="108">
        <v>46.0</v>
      </c>
      <c r="C48" s="109" t="s">
        <v>469</v>
      </c>
      <c r="D48" s="110" t="s">
        <v>302</v>
      </c>
      <c r="E48" s="115">
        <v>100.0</v>
      </c>
      <c r="F48" s="112"/>
      <c r="G48" s="116"/>
      <c r="H48" s="109" t="s">
        <v>470</v>
      </c>
      <c r="I48" s="109" t="s">
        <v>471</v>
      </c>
      <c r="J48" s="109" t="s">
        <v>431</v>
      </c>
      <c r="L48" s="5" t="s">
        <v>366</v>
      </c>
      <c r="M48" s="12"/>
      <c r="N48" s="5"/>
      <c r="O48" s="5"/>
      <c r="P48" s="5" t="s">
        <v>472</v>
      </c>
    </row>
    <row r="49">
      <c r="A49" s="107" t="s">
        <v>243</v>
      </c>
      <c r="B49" s="108">
        <v>47.0</v>
      </c>
      <c r="C49" s="109" t="s">
        <v>473</v>
      </c>
      <c r="D49" s="110" t="s">
        <v>354</v>
      </c>
      <c r="E49" s="115">
        <v>1000.0</v>
      </c>
      <c r="F49" s="116"/>
      <c r="G49" s="116">
        <v>3.0</v>
      </c>
      <c r="H49" s="109" t="s">
        <v>474</v>
      </c>
      <c r="I49" s="109" t="s">
        <v>475</v>
      </c>
      <c r="J49" s="113"/>
      <c r="L49" s="5" t="s">
        <v>371</v>
      </c>
      <c r="M49" s="12">
        <v>50.0</v>
      </c>
      <c r="N49" s="5"/>
      <c r="O49" s="5"/>
      <c r="P49" s="5" t="s">
        <v>476</v>
      </c>
    </row>
    <row r="50">
      <c r="A50" s="107" t="s">
        <v>243</v>
      </c>
      <c r="B50" s="108">
        <v>48.0</v>
      </c>
      <c r="C50" s="109" t="s">
        <v>477</v>
      </c>
      <c r="D50" s="110" t="s">
        <v>354</v>
      </c>
      <c r="E50" s="115">
        <v>2000.0</v>
      </c>
      <c r="F50" s="116">
        <v>2.0</v>
      </c>
      <c r="G50" s="116">
        <v>2.0</v>
      </c>
      <c r="H50" s="109" t="s">
        <v>478</v>
      </c>
      <c r="I50" s="109" t="s">
        <v>479</v>
      </c>
      <c r="J50" s="113"/>
      <c r="L50" s="5" t="s">
        <v>377</v>
      </c>
      <c r="M50" s="12">
        <v>500.0</v>
      </c>
      <c r="N50" s="5"/>
      <c r="O50" s="5"/>
      <c r="P50" s="5" t="s">
        <v>92</v>
      </c>
    </row>
    <row r="51">
      <c r="A51" s="107" t="s">
        <v>243</v>
      </c>
      <c r="B51" s="108">
        <v>49.0</v>
      </c>
      <c r="C51" s="109" t="s">
        <v>480</v>
      </c>
      <c r="D51" s="110" t="s">
        <v>354</v>
      </c>
      <c r="E51" s="115">
        <v>500.0</v>
      </c>
      <c r="F51" s="116">
        <v>2.0</v>
      </c>
      <c r="G51" s="116">
        <v>2.0</v>
      </c>
      <c r="H51" s="109" t="s">
        <v>481</v>
      </c>
      <c r="I51" s="109" t="s">
        <v>482</v>
      </c>
      <c r="J51" s="113"/>
      <c r="L51" s="5" t="s">
        <v>383</v>
      </c>
      <c r="M51" s="12">
        <v>250.0</v>
      </c>
      <c r="N51" s="5"/>
      <c r="O51" s="5"/>
      <c r="P51" s="5" t="s">
        <v>483</v>
      </c>
    </row>
    <row r="52">
      <c r="A52" s="107" t="s">
        <v>243</v>
      </c>
      <c r="B52" s="108">
        <v>50.0</v>
      </c>
      <c r="C52" s="109" t="s">
        <v>484</v>
      </c>
      <c r="D52" s="110" t="s">
        <v>354</v>
      </c>
      <c r="E52" s="115">
        <v>500.0</v>
      </c>
      <c r="F52" s="116">
        <v>3.0</v>
      </c>
      <c r="G52" s="112"/>
      <c r="H52" s="109" t="s">
        <v>485</v>
      </c>
      <c r="I52" s="109" t="s">
        <v>486</v>
      </c>
      <c r="J52" s="113"/>
      <c r="L52" s="5" t="s">
        <v>487</v>
      </c>
      <c r="M52" s="12">
        <v>200.0</v>
      </c>
      <c r="N52" s="5"/>
      <c r="O52" s="5"/>
      <c r="P52" s="5" t="s">
        <v>174</v>
      </c>
    </row>
    <row r="53">
      <c r="A53" s="107" t="s">
        <v>243</v>
      </c>
      <c r="B53" s="108">
        <v>51.0</v>
      </c>
      <c r="C53" s="109" t="s">
        <v>488</v>
      </c>
      <c r="D53" s="110" t="s">
        <v>302</v>
      </c>
      <c r="E53" s="115">
        <v>500.0</v>
      </c>
      <c r="F53" s="116">
        <v>3.0</v>
      </c>
      <c r="G53" s="112"/>
      <c r="H53" s="109" t="s">
        <v>485</v>
      </c>
      <c r="I53" s="109" t="s">
        <v>489</v>
      </c>
      <c r="J53" s="109"/>
      <c r="L53" s="5" t="s">
        <v>490</v>
      </c>
      <c r="M53" s="12">
        <v>2000.0</v>
      </c>
      <c r="O53" s="5"/>
      <c r="P53" s="5" t="s">
        <v>136</v>
      </c>
    </row>
    <row r="54">
      <c r="A54" s="107" t="s">
        <v>243</v>
      </c>
      <c r="B54" s="108">
        <v>52.0</v>
      </c>
      <c r="C54" s="109" t="s">
        <v>491</v>
      </c>
      <c r="D54" s="110" t="s">
        <v>311</v>
      </c>
      <c r="E54" s="115">
        <v>150.0</v>
      </c>
      <c r="F54" s="116">
        <v>0.5</v>
      </c>
      <c r="G54" s="112"/>
      <c r="H54" s="109" t="s">
        <v>492</v>
      </c>
      <c r="I54" s="109" t="s">
        <v>493</v>
      </c>
      <c r="J54" s="113"/>
      <c r="L54" s="5" t="s">
        <v>387</v>
      </c>
      <c r="M54" s="12"/>
      <c r="O54" s="5"/>
      <c r="P54" s="5" t="s">
        <v>494</v>
      </c>
    </row>
    <row r="55">
      <c r="A55" s="107" t="s">
        <v>243</v>
      </c>
      <c r="B55" s="108">
        <v>53.0</v>
      </c>
      <c r="C55" s="109" t="s">
        <v>495</v>
      </c>
      <c r="D55" s="110" t="s">
        <v>181</v>
      </c>
      <c r="E55" s="115">
        <v>1000.0</v>
      </c>
      <c r="F55" s="116">
        <v>5.0</v>
      </c>
      <c r="G55" s="112"/>
      <c r="H55" s="109" t="s">
        <v>496</v>
      </c>
      <c r="I55" s="109" t="s">
        <v>497</v>
      </c>
      <c r="J55" s="113"/>
      <c r="L55" s="5" t="s">
        <v>498</v>
      </c>
      <c r="M55" s="12">
        <v>500.0</v>
      </c>
      <c r="O55" s="5"/>
      <c r="P55" s="5" t="s">
        <v>184</v>
      </c>
    </row>
    <row r="56">
      <c r="A56" s="107" t="s">
        <v>243</v>
      </c>
      <c r="B56" s="108">
        <v>54.0</v>
      </c>
      <c r="C56" s="109" t="s">
        <v>499</v>
      </c>
      <c r="D56" s="110" t="s">
        <v>181</v>
      </c>
      <c r="E56" s="115">
        <v>20.0</v>
      </c>
      <c r="F56" s="112"/>
      <c r="G56" s="116"/>
      <c r="H56" s="109" t="s">
        <v>500</v>
      </c>
      <c r="I56" s="109" t="s">
        <v>501</v>
      </c>
      <c r="J56" s="113"/>
      <c r="L56" s="5" t="s">
        <v>502</v>
      </c>
      <c r="M56" s="12">
        <v>500.0</v>
      </c>
      <c r="N56" s="12"/>
      <c r="O56" s="5"/>
      <c r="P56" s="5" t="s">
        <v>150</v>
      </c>
    </row>
    <row r="57">
      <c r="A57" s="107" t="s">
        <v>243</v>
      </c>
      <c r="B57" s="108">
        <v>55.0</v>
      </c>
      <c r="C57" s="109" t="s">
        <v>503</v>
      </c>
      <c r="D57" s="110" t="s">
        <v>311</v>
      </c>
      <c r="E57" s="115">
        <v>50.0</v>
      </c>
      <c r="F57" s="112"/>
      <c r="G57" s="116">
        <v>1.0</v>
      </c>
      <c r="H57" s="109" t="s">
        <v>504</v>
      </c>
      <c r="I57" s="109" t="s">
        <v>505</v>
      </c>
      <c r="J57" s="109"/>
      <c r="L57" s="5" t="s">
        <v>392</v>
      </c>
      <c r="M57" s="12">
        <v>2500.0</v>
      </c>
      <c r="O57" s="5"/>
      <c r="P57" s="5" t="s">
        <v>506</v>
      </c>
    </row>
    <row r="58">
      <c r="A58" s="107" t="s">
        <v>243</v>
      </c>
      <c r="B58" s="108">
        <v>56.0</v>
      </c>
      <c r="C58" s="109" t="s">
        <v>507</v>
      </c>
      <c r="D58" s="110" t="s">
        <v>311</v>
      </c>
      <c r="E58" s="111"/>
      <c r="F58" s="112"/>
      <c r="G58" s="112"/>
      <c r="H58" s="109" t="s">
        <v>508</v>
      </c>
      <c r="I58" s="109" t="s">
        <v>509</v>
      </c>
      <c r="J58" s="109"/>
      <c r="L58" s="5" t="s">
        <v>510</v>
      </c>
      <c r="M58" s="12">
        <v>50.0</v>
      </c>
      <c r="O58" s="5"/>
      <c r="P58" s="5" t="s">
        <v>511</v>
      </c>
    </row>
    <row r="59">
      <c r="A59" s="107" t="s">
        <v>243</v>
      </c>
      <c r="B59" s="108">
        <v>57.0</v>
      </c>
      <c r="C59" s="109" t="s">
        <v>512</v>
      </c>
      <c r="D59" s="110" t="s">
        <v>311</v>
      </c>
      <c r="E59" s="115"/>
      <c r="F59" s="112"/>
      <c r="G59" s="116"/>
      <c r="H59" s="109" t="s">
        <v>508</v>
      </c>
      <c r="I59" s="109" t="s">
        <v>513</v>
      </c>
      <c r="J59" s="113"/>
      <c r="L59" s="5" t="s">
        <v>396</v>
      </c>
      <c r="M59" s="12"/>
      <c r="N59" s="12"/>
      <c r="O59" s="5"/>
      <c r="P59" s="5" t="s">
        <v>514</v>
      </c>
    </row>
    <row r="60">
      <c r="A60" s="107" t="s">
        <v>243</v>
      </c>
      <c r="B60" s="108">
        <v>58.0</v>
      </c>
      <c r="C60" s="109" t="s">
        <v>515</v>
      </c>
      <c r="D60" s="110" t="s">
        <v>302</v>
      </c>
      <c r="E60" s="115">
        <v>35.0</v>
      </c>
      <c r="F60" s="116"/>
      <c r="G60" s="116">
        <v>0.3333</v>
      </c>
      <c r="H60" s="109" t="s">
        <v>516</v>
      </c>
      <c r="I60" s="109" t="s">
        <v>517</v>
      </c>
      <c r="J60" s="113"/>
      <c r="L60" s="5" t="s">
        <v>518</v>
      </c>
      <c r="M60" s="12">
        <v>65.0</v>
      </c>
      <c r="O60" s="5"/>
      <c r="P60" s="5" t="s">
        <v>519</v>
      </c>
    </row>
    <row r="61">
      <c r="A61" s="107" t="s">
        <v>243</v>
      </c>
      <c r="B61" s="108">
        <v>59.0</v>
      </c>
      <c r="C61" s="109" t="s">
        <v>520</v>
      </c>
      <c r="D61" s="110" t="s">
        <v>311</v>
      </c>
      <c r="E61" s="115">
        <v>25.0</v>
      </c>
      <c r="F61" s="116">
        <v>1.0</v>
      </c>
      <c r="G61" s="112"/>
      <c r="H61" s="109" t="s">
        <v>521</v>
      </c>
      <c r="I61" s="109" t="s">
        <v>522</v>
      </c>
      <c r="J61" s="113"/>
      <c r="L61" s="5" t="s">
        <v>401</v>
      </c>
      <c r="M61" s="12"/>
      <c r="O61" s="5"/>
      <c r="P61" s="5" t="s">
        <v>89</v>
      </c>
    </row>
    <row r="62">
      <c r="A62" s="107" t="s">
        <v>243</v>
      </c>
      <c r="B62" s="108">
        <v>60.0</v>
      </c>
      <c r="C62" s="109" t="s">
        <v>523</v>
      </c>
      <c r="D62" s="110" t="s">
        <v>302</v>
      </c>
      <c r="E62" s="115">
        <v>100.0</v>
      </c>
      <c r="F62" s="116">
        <v>2.0</v>
      </c>
      <c r="G62" s="112"/>
      <c r="H62" s="109" t="s">
        <v>524</v>
      </c>
      <c r="I62" s="109" t="s">
        <v>525</v>
      </c>
      <c r="J62" s="113"/>
      <c r="L62" s="5" t="s">
        <v>407</v>
      </c>
      <c r="M62" s="12">
        <v>100.0</v>
      </c>
      <c r="O62" s="5"/>
      <c r="P62" s="5" t="s">
        <v>526</v>
      </c>
    </row>
    <row r="63">
      <c r="A63" s="107" t="s">
        <v>243</v>
      </c>
      <c r="B63" s="108">
        <v>61.0</v>
      </c>
      <c r="C63" s="109" t="s">
        <v>527</v>
      </c>
      <c r="D63" s="110" t="s">
        <v>311</v>
      </c>
      <c r="E63" s="115"/>
      <c r="F63" s="116"/>
      <c r="G63" s="112"/>
      <c r="H63" s="109" t="s">
        <v>528</v>
      </c>
      <c r="I63" s="109" t="s">
        <v>529</v>
      </c>
      <c r="J63" s="113"/>
      <c r="L63" s="5" t="s">
        <v>530</v>
      </c>
      <c r="M63" s="12">
        <v>100.0</v>
      </c>
      <c r="P63" s="5" t="s">
        <v>531</v>
      </c>
    </row>
    <row r="64">
      <c r="A64" s="107" t="s">
        <v>243</v>
      </c>
      <c r="B64" s="108">
        <v>62.0</v>
      </c>
      <c r="C64" s="109" t="s">
        <v>532</v>
      </c>
      <c r="D64" s="110" t="s">
        <v>311</v>
      </c>
      <c r="E64" s="115">
        <v>500.0</v>
      </c>
      <c r="F64" s="116">
        <v>3.0</v>
      </c>
      <c r="G64" s="112"/>
      <c r="H64" s="109" t="s">
        <v>485</v>
      </c>
      <c r="I64" s="109" t="s">
        <v>533</v>
      </c>
      <c r="J64" s="113"/>
      <c r="L64" s="5" t="s">
        <v>534</v>
      </c>
      <c r="M64" s="12">
        <v>150.0</v>
      </c>
      <c r="P64" s="5" t="s">
        <v>191</v>
      </c>
    </row>
    <row r="65">
      <c r="A65" s="107" t="s">
        <v>243</v>
      </c>
      <c r="B65" s="108">
        <v>63.0</v>
      </c>
      <c r="C65" s="109" t="s">
        <v>535</v>
      </c>
      <c r="D65" s="110" t="s">
        <v>302</v>
      </c>
      <c r="E65" s="115">
        <v>50.0</v>
      </c>
      <c r="F65" s="116">
        <v>1.0</v>
      </c>
      <c r="G65" s="112"/>
      <c r="H65" s="109" t="s">
        <v>536</v>
      </c>
      <c r="I65" s="109" t="s">
        <v>537</v>
      </c>
      <c r="J65" s="113"/>
      <c r="L65" s="5" t="s">
        <v>538</v>
      </c>
      <c r="M65" s="12">
        <v>200.0</v>
      </c>
      <c r="P65" s="5" t="s">
        <v>539</v>
      </c>
    </row>
    <row r="66">
      <c r="A66" s="107" t="s">
        <v>243</v>
      </c>
      <c r="B66" s="108">
        <v>64.0</v>
      </c>
      <c r="C66" s="109" t="s">
        <v>540</v>
      </c>
      <c r="D66" s="110" t="s">
        <v>354</v>
      </c>
      <c r="E66" s="115">
        <v>250.0</v>
      </c>
      <c r="F66" s="116">
        <v>3.0</v>
      </c>
      <c r="G66" s="112"/>
      <c r="H66" s="109" t="s">
        <v>541</v>
      </c>
      <c r="I66" s="109" t="s">
        <v>542</v>
      </c>
      <c r="J66" s="113"/>
      <c r="L66" s="5" t="s">
        <v>412</v>
      </c>
      <c r="M66" s="12"/>
    </row>
    <row r="67">
      <c r="A67" s="107" t="s">
        <v>243</v>
      </c>
      <c r="B67" s="108">
        <v>65.0</v>
      </c>
      <c r="C67" s="109" t="s">
        <v>543</v>
      </c>
      <c r="D67" s="110" t="s">
        <v>311</v>
      </c>
      <c r="E67" s="115">
        <v>100.0</v>
      </c>
      <c r="F67" s="116">
        <v>1.0</v>
      </c>
      <c r="G67" s="112"/>
      <c r="H67" s="109" t="s">
        <v>544</v>
      </c>
      <c r="I67" s="109" t="s">
        <v>545</v>
      </c>
      <c r="J67" s="109"/>
      <c r="L67" s="5" t="s">
        <v>190</v>
      </c>
      <c r="M67" s="12">
        <v>15.0</v>
      </c>
    </row>
    <row r="68">
      <c r="A68" s="107" t="s">
        <v>243</v>
      </c>
      <c r="B68" s="108">
        <v>66.0</v>
      </c>
      <c r="C68" s="109" t="s">
        <v>546</v>
      </c>
      <c r="D68" s="110"/>
      <c r="E68" s="111"/>
      <c r="F68" s="112"/>
      <c r="G68" s="112"/>
      <c r="H68" s="109" t="s">
        <v>547</v>
      </c>
      <c r="I68" s="109" t="s">
        <v>548</v>
      </c>
      <c r="J68" s="109"/>
      <c r="L68" s="5" t="s">
        <v>195</v>
      </c>
      <c r="M68" s="12">
        <v>15.0</v>
      </c>
    </row>
    <row r="69">
      <c r="A69" s="107" t="s">
        <v>243</v>
      </c>
      <c r="B69" s="108">
        <v>67.0</v>
      </c>
      <c r="C69" s="109" t="s">
        <v>549</v>
      </c>
      <c r="D69" s="110" t="s">
        <v>354</v>
      </c>
      <c r="E69" s="111"/>
      <c r="F69" s="112"/>
      <c r="G69" s="112"/>
      <c r="H69" s="109" t="s">
        <v>550</v>
      </c>
      <c r="I69" s="109" t="s">
        <v>551</v>
      </c>
      <c r="J69" s="109"/>
      <c r="L69" s="5" t="s">
        <v>552</v>
      </c>
      <c r="M69" s="12">
        <v>55.0</v>
      </c>
    </row>
    <row r="70">
      <c r="A70" s="107" t="s">
        <v>243</v>
      </c>
      <c r="B70" s="108">
        <v>68.0</v>
      </c>
      <c r="C70" s="109" t="s">
        <v>553</v>
      </c>
      <c r="D70" s="110" t="s">
        <v>354</v>
      </c>
      <c r="E70" s="111"/>
      <c r="F70" s="112"/>
      <c r="G70" s="112"/>
      <c r="H70" s="109" t="s">
        <v>550</v>
      </c>
      <c r="I70" s="109" t="s">
        <v>554</v>
      </c>
      <c r="J70" s="109"/>
      <c r="L70" s="5" t="s">
        <v>186</v>
      </c>
      <c r="M70" s="12">
        <v>40.0</v>
      </c>
    </row>
    <row r="71">
      <c r="A71" s="107" t="s">
        <v>243</v>
      </c>
      <c r="B71" s="108">
        <v>69.0</v>
      </c>
      <c r="C71" s="109" t="s">
        <v>555</v>
      </c>
      <c r="D71" s="110" t="s">
        <v>354</v>
      </c>
      <c r="E71" s="115"/>
      <c r="F71" s="112"/>
      <c r="G71" s="116"/>
      <c r="H71" s="109" t="s">
        <v>550</v>
      </c>
      <c r="I71" s="109" t="s">
        <v>556</v>
      </c>
      <c r="J71" s="113"/>
      <c r="L71" s="5"/>
      <c r="M71" s="12"/>
      <c r="N71" s="12"/>
    </row>
    <row r="72">
      <c r="A72" s="107" t="s">
        <v>243</v>
      </c>
      <c r="B72" s="108">
        <v>70.0</v>
      </c>
      <c r="C72" s="109" t="s">
        <v>557</v>
      </c>
      <c r="D72" s="110" t="s">
        <v>354</v>
      </c>
      <c r="E72" s="115">
        <v>1000.0</v>
      </c>
      <c r="F72" s="112"/>
      <c r="G72" s="116">
        <v>5.0</v>
      </c>
      <c r="H72" s="109" t="s">
        <v>558</v>
      </c>
      <c r="I72" s="109" t="s">
        <v>559</v>
      </c>
      <c r="J72" s="109"/>
      <c r="L72" s="5"/>
    </row>
    <row r="73">
      <c r="A73" s="107" t="s">
        <v>243</v>
      </c>
      <c r="B73" s="108">
        <v>71.0</v>
      </c>
      <c r="C73" s="109" t="s">
        <v>560</v>
      </c>
      <c r="D73" s="110" t="s">
        <v>354</v>
      </c>
      <c r="E73" s="111"/>
      <c r="F73" s="112"/>
      <c r="G73" s="112"/>
      <c r="H73" s="109" t="s">
        <v>561</v>
      </c>
      <c r="I73" s="109" t="s">
        <v>562</v>
      </c>
      <c r="J73" s="109" t="s">
        <v>284</v>
      </c>
      <c r="L73" s="5"/>
      <c r="M73" s="12"/>
    </row>
    <row r="74">
      <c r="A74" s="107" t="s">
        <v>243</v>
      </c>
      <c r="B74" s="108">
        <v>72.0</v>
      </c>
      <c r="C74" s="109" t="s">
        <v>563</v>
      </c>
      <c r="D74" s="110"/>
      <c r="E74" s="111"/>
      <c r="F74" s="112"/>
      <c r="G74" s="112"/>
      <c r="H74" s="109" t="s">
        <v>564</v>
      </c>
      <c r="I74" s="109" t="s">
        <v>565</v>
      </c>
      <c r="J74" s="113"/>
      <c r="L74" s="5"/>
      <c r="M74" s="12"/>
    </row>
    <row r="75">
      <c r="A75" s="107" t="s">
        <v>243</v>
      </c>
      <c r="B75" s="108">
        <v>73.0</v>
      </c>
      <c r="C75" s="109" t="s">
        <v>566</v>
      </c>
      <c r="D75" s="110"/>
      <c r="E75" s="111"/>
      <c r="F75" s="112"/>
      <c r="G75" s="112"/>
      <c r="H75" s="109"/>
      <c r="I75" s="109" t="s">
        <v>567</v>
      </c>
      <c r="J75" s="109"/>
      <c r="L75" s="5"/>
      <c r="M75" s="12"/>
    </row>
    <row r="76">
      <c r="A76" s="107" t="s">
        <v>243</v>
      </c>
      <c r="B76" s="108">
        <v>74.0</v>
      </c>
      <c r="C76" s="109" t="s">
        <v>568</v>
      </c>
      <c r="D76" s="110" t="s">
        <v>302</v>
      </c>
      <c r="E76" s="111"/>
      <c r="F76" s="116"/>
      <c r="G76" s="112"/>
      <c r="H76" s="109"/>
      <c r="I76" s="109" t="s">
        <v>569</v>
      </c>
      <c r="J76" s="109" t="s">
        <v>570</v>
      </c>
      <c r="L76" s="5"/>
      <c r="M76" s="12"/>
    </row>
    <row r="77">
      <c r="A77" s="107" t="s">
        <v>243</v>
      </c>
      <c r="B77" s="108">
        <v>75.0</v>
      </c>
      <c r="C77" s="109" t="s">
        <v>571</v>
      </c>
      <c r="D77" s="110" t="s">
        <v>302</v>
      </c>
      <c r="E77" s="111"/>
      <c r="F77" s="116">
        <v>1.0</v>
      </c>
      <c r="G77" s="112"/>
      <c r="H77" s="109" t="s">
        <v>572</v>
      </c>
      <c r="I77" s="109" t="s">
        <v>573</v>
      </c>
      <c r="J77" s="109"/>
      <c r="L77" s="5"/>
    </row>
    <row r="78">
      <c r="A78" s="107" t="s">
        <v>243</v>
      </c>
      <c r="B78" s="108">
        <v>76.0</v>
      </c>
      <c r="C78" s="109" t="s">
        <v>574</v>
      </c>
      <c r="D78" s="110" t="s">
        <v>302</v>
      </c>
      <c r="E78" s="115"/>
      <c r="F78" s="112"/>
      <c r="G78" s="116"/>
      <c r="H78" s="109" t="s">
        <v>575</v>
      </c>
      <c r="I78" s="109" t="s">
        <v>576</v>
      </c>
      <c r="J78" s="113"/>
      <c r="L78" s="5"/>
      <c r="M78" s="12"/>
      <c r="N78" s="12"/>
    </row>
    <row r="79">
      <c r="A79" s="107" t="s">
        <v>243</v>
      </c>
      <c r="B79" s="108">
        <v>77.0</v>
      </c>
      <c r="C79" s="109" t="s">
        <v>577</v>
      </c>
      <c r="D79" s="110" t="s">
        <v>311</v>
      </c>
      <c r="E79" s="115">
        <v>50.0</v>
      </c>
      <c r="F79" s="112"/>
      <c r="G79" s="116">
        <v>1.0</v>
      </c>
      <c r="H79" s="109" t="s">
        <v>504</v>
      </c>
      <c r="I79" s="109" t="s">
        <v>578</v>
      </c>
      <c r="J79" s="113"/>
      <c r="L79" s="5"/>
      <c r="M79" s="12"/>
      <c r="N79" s="12"/>
    </row>
    <row r="80">
      <c r="A80" s="107" t="s">
        <v>243</v>
      </c>
      <c r="B80" s="108">
        <v>78.0</v>
      </c>
      <c r="C80" s="109" t="s">
        <v>579</v>
      </c>
      <c r="D80" s="110" t="s">
        <v>354</v>
      </c>
      <c r="E80" s="115">
        <v>500.0</v>
      </c>
      <c r="F80" s="112"/>
      <c r="G80" s="116">
        <v>2.0</v>
      </c>
      <c r="H80" s="109" t="s">
        <v>580</v>
      </c>
      <c r="I80" s="109" t="s">
        <v>581</v>
      </c>
      <c r="J80" s="113"/>
      <c r="L80" s="5"/>
      <c r="M80" s="12"/>
      <c r="N80" s="12"/>
    </row>
    <row r="81">
      <c r="A81" s="107" t="s">
        <v>243</v>
      </c>
      <c r="B81" s="108">
        <v>79.0</v>
      </c>
      <c r="C81" s="109" t="s">
        <v>582</v>
      </c>
      <c r="D81" s="110" t="s">
        <v>311</v>
      </c>
      <c r="E81" s="115">
        <v>250.0</v>
      </c>
      <c r="F81" s="116"/>
      <c r="G81" s="116">
        <v>2.0</v>
      </c>
      <c r="H81" s="109" t="s">
        <v>583</v>
      </c>
      <c r="I81" s="109" t="s">
        <v>584</v>
      </c>
      <c r="J81" s="113"/>
      <c r="L81" s="5"/>
      <c r="M81" s="12"/>
    </row>
    <row r="82">
      <c r="A82" s="107" t="s">
        <v>243</v>
      </c>
      <c r="B82" s="108">
        <v>80.0</v>
      </c>
      <c r="C82" s="109" t="s">
        <v>585</v>
      </c>
      <c r="D82" s="110" t="s">
        <v>302</v>
      </c>
      <c r="E82" s="115">
        <v>200.0</v>
      </c>
      <c r="F82" s="116">
        <v>2.0</v>
      </c>
      <c r="G82" s="112"/>
      <c r="H82" s="109" t="s">
        <v>586</v>
      </c>
      <c r="I82" s="109" t="s">
        <v>587</v>
      </c>
      <c r="J82" s="113"/>
      <c r="L82" s="5"/>
      <c r="M82" s="12"/>
    </row>
    <row r="83">
      <c r="A83" s="107" t="s">
        <v>243</v>
      </c>
      <c r="B83" s="108">
        <v>81.0</v>
      </c>
      <c r="C83" s="109" t="s">
        <v>588</v>
      </c>
      <c r="D83" s="110" t="s">
        <v>354</v>
      </c>
      <c r="E83" s="115">
        <v>2000.0</v>
      </c>
      <c r="F83" s="116">
        <v>4.0</v>
      </c>
      <c r="G83" s="112"/>
      <c r="H83" s="109" t="s">
        <v>589</v>
      </c>
      <c r="I83" s="109" t="s">
        <v>590</v>
      </c>
      <c r="J83" s="113"/>
      <c r="L83" s="5"/>
    </row>
    <row r="84">
      <c r="A84" s="107" t="s">
        <v>243</v>
      </c>
      <c r="B84" s="108">
        <v>82.0</v>
      </c>
      <c r="C84" s="109" t="s">
        <v>591</v>
      </c>
      <c r="D84" s="110" t="s">
        <v>311</v>
      </c>
      <c r="E84" s="111"/>
      <c r="F84" s="112"/>
      <c r="G84" s="112"/>
      <c r="H84" s="109"/>
      <c r="I84" s="109" t="s">
        <v>592</v>
      </c>
      <c r="J84" s="109"/>
      <c r="L84" s="5"/>
    </row>
    <row r="85">
      <c r="A85" s="107" t="s">
        <v>243</v>
      </c>
      <c r="B85" s="108">
        <v>83.0</v>
      </c>
      <c r="C85" s="109" t="s">
        <v>593</v>
      </c>
      <c r="D85" s="110"/>
      <c r="E85" s="111"/>
      <c r="F85" s="116"/>
      <c r="G85" s="112"/>
      <c r="H85" s="109" t="s">
        <v>594</v>
      </c>
      <c r="I85" s="109" t="s">
        <v>595</v>
      </c>
      <c r="J85" s="109" t="s">
        <v>596</v>
      </c>
      <c r="L85" s="5"/>
    </row>
    <row r="86">
      <c r="A86" s="107" t="s">
        <v>243</v>
      </c>
      <c r="B86" s="108">
        <v>84.0</v>
      </c>
      <c r="C86" s="109" t="s">
        <v>597</v>
      </c>
      <c r="D86" s="110" t="s">
        <v>302</v>
      </c>
      <c r="E86" s="111"/>
      <c r="F86" s="116">
        <v>0.5</v>
      </c>
      <c r="G86" s="112"/>
      <c r="H86" s="109" t="s">
        <v>598</v>
      </c>
      <c r="I86" s="109" t="s">
        <v>599</v>
      </c>
      <c r="J86" s="113"/>
      <c r="L86" s="5"/>
    </row>
    <row r="87">
      <c r="A87" s="107" t="s">
        <v>243</v>
      </c>
      <c r="B87" s="108">
        <v>85.0</v>
      </c>
      <c r="C87" s="109" t="s">
        <v>600</v>
      </c>
      <c r="D87" s="110" t="s">
        <v>354</v>
      </c>
      <c r="E87" s="111"/>
      <c r="F87" s="112"/>
      <c r="G87" s="112"/>
      <c r="H87" s="109"/>
      <c r="I87" s="109" t="s">
        <v>601</v>
      </c>
      <c r="J87" s="109"/>
      <c r="L87" s="5"/>
    </row>
    <row r="88">
      <c r="A88" s="107" t="s">
        <v>243</v>
      </c>
      <c r="B88" s="108">
        <v>86.0</v>
      </c>
      <c r="C88" s="109" t="s">
        <v>602</v>
      </c>
      <c r="D88" s="110" t="s">
        <v>354</v>
      </c>
      <c r="E88" s="115"/>
      <c r="F88" s="116"/>
      <c r="G88" s="112"/>
      <c r="H88" s="109" t="s">
        <v>550</v>
      </c>
      <c r="I88" s="109" t="s">
        <v>603</v>
      </c>
      <c r="J88" s="109"/>
      <c r="L88" s="5"/>
      <c r="M88" s="12"/>
    </row>
    <row r="89">
      <c r="A89" s="107" t="s">
        <v>243</v>
      </c>
      <c r="B89" s="108">
        <v>87.0</v>
      </c>
      <c r="C89" s="109" t="s">
        <v>604</v>
      </c>
      <c r="D89" s="110" t="s">
        <v>354</v>
      </c>
      <c r="E89" s="115">
        <v>500.0</v>
      </c>
      <c r="F89" s="116">
        <v>2.0</v>
      </c>
      <c r="G89" s="112"/>
      <c r="H89" s="109" t="s">
        <v>605</v>
      </c>
      <c r="I89" s="109" t="s">
        <v>606</v>
      </c>
      <c r="J89" s="113"/>
      <c r="L89" s="5"/>
      <c r="M89" s="12"/>
    </row>
    <row r="90">
      <c r="A90" s="107" t="s">
        <v>243</v>
      </c>
      <c r="B90" s="108">
        <v>88.0</v>
      </c>
      <c r="C90" s="109" t="s">
        <v>607</v>
      </c>
      <c r="D90" s="110" t="s">
        <v>302</v>
      </c>
      <c r="E90" s="115">
        <v>500.0</v>
      </c>
      <c r="F90" s="116">
        <v>3.0</v>
      </c>
      <c r="G90" s="112"/>
      <c r="H90" s="109" t="s">
        <v>608</v>
      </c>
      <c r="I90" s="109" t="s">
        <v>609</v>
      </c>
      <c r="J90" s="113"/>
      <c r="L90" s="5"/>
    </row>
    <row r="91">
      <c r="A91" s="107" t="s">
        <v>243</v>
      </c>
      <c r="B91" s="108">
        <v>89.0</v>
      </c>
      <c r="C91" s="109" t="s">
        <v>610</v>
      </c>
      <c r="D91" s="110"/>
      <c r="E91" s="111"/>
      <c r="F91" s="112"/>
      <c r="G91" s="112"/>
      <c r="H91" s="109"/>
      <c r="I91" s="109" t="s">
        <v>611</v>
      </c>
      <c r="J91" s="113"/>
      <c r="L91" s="5"/>
    </row>
    <row r="92">
      <c r="A92" s="107" t="s">
        <v>243</v>
      </c>
      <c r="B92" s="108">
        <v>90.0</v>
      </c>
      <c r="C92" s="109" t="s">
        <v>612</v>
      </c>
      <c r="D92" s="110" t="s">
        <v>302</v>
      </c>
      <c r="E92" s="111"/>
      <c r="F92" s="112"/>
      <c r="G92" s="112"/>
      <c r="H92" s="109" t="s">
        <v>613</v>
      </c>
      <c r="I92" s="109" t="s">
        <v>614</v>
      </c>
      <c r="J92" s="113"/>
      <c r="L92" s="5"/>
    </row>
    <row r="93">
      <c r="A93" s="107" t="s">
        <v>243</v>
      </c>
      <c r="B93" s="108">
        <v>91.0</v>
      </c>
      <c r="C93" s="109" t="s">
        <v>615</v>
      </c>
      <c r="D93" s="110"/>
      <c r="E93" s="111"/>
      <c r="F93" s="112"/>
      <c r="G93" s="112"/>
      <c r="H93" s="113"/>
      <c r="I93" s="109" t="s">
        <v>616</v>
      </c>
      <c r="J93" s="113"/>
      <c r="L93" s="5"/>
    </row>
    <row r="94">
      <c r="A94" s="107" t="s">
        <v>243</v>
      </c>
      <c r="B94" s="108">
        <v>92.0</v>
      </c>
      <c r="C94" s="109" t="s">
        <v>617</v>
      </c>
      <c r="D94" s="110"/>
      <c r="E94" s="111"/>
      <c r="F94" s="112"/>
      <c r="G94" s="112"/>
      <c r="H94" s="109"/>
      <c r="I94" s="109" t="s">
        <v>618</v>
      </c>
      <c r="J94" s="109"/>
      <c r="L94" s="5"/>
    </row>
    <row r="95">
      <c r="A95" s="107" t="s">
        <v>243</v>
      </c>
      <c r="B95" s="108">
        <v>93.0</v>
      </c>
      <c r="C95" s="109" t="s">
        <v>619</v>
      </c>
      <c r="D95" s="110" t="s">
        <v>354</v>
      </c>
      <c r="E95" s="111"/>
      <c r="F95" s="112"/>
      <c r="G95" s="112"/>
      <c r="H95" s="109" t="s">
        <v>620</v>
      </c>
      <c r="I95" s="109" t="s">
        <v>621</v>
      </c>
      <c r="J95" s="109"/>
      <c r="L95" s="5"/>
    </row>
    <row r="96">
      <c r="A96" s="107" t="s">
        <v>243</v>
      </c>
      <c r="B96" s="108">
        <v>94.0</v>
      </c>
      <c r="C96" s="109" t="s">
        <v>622</v>
      </c>
      <c r="D96" s="110" t="s">
        <v>354</v>
      </c>
      <c r="E96" s="111"/>
      <c r="F96" s="112"/>
      <c r="G96" s="112"/>
      <c r="H96" s="109" t="s">
        <v>550</v>
      </c>
      <c r="I96" s="109" t="s">
        <v>623</v>
      </c>
      <c r="J96" s="109"/>
      <c r="L96" s="5"/>
    </row>
    <row r="97">
      <c r="A97" s="107" t="s">
        <v>243</v>
      </c>
      <c r="B97" s="108">
        <v>95.0</v>
      </c>
      <c r="C97" s="109" t="s">
        <v>624</v>
      </c>
      <c r="D97" s="110" t="s">
        <v>354</v>
      </c>
      <c r="E97" s="115"/>
      <c r="F97" s="116"/>
      <c r="G97" s="112"/>
      <c r="H97" s="109" t="s">
        <v>550</v>
      </c>
      <c r="I97" s="109" t="s">
        <v>625</v>
      </c>
      <c r="J97" s="109"/>
      <c r="L97" s="5"/>
      <c r="M97" s="12"/>
    </row>
    <row r="98">
      <c r="A98" s="107" t="s">
        <v>243</v>
      </c>
      <c r="B98" s="108">
        <v>96.0</v>
      </c>
      <c r="C98" s="109" t="s">
        <v>626</v>
      </c>
      <c r="D98" s="110" t="s">
        <v>354</v>
      </c>
      <c r="E98" s="115">
        <v>2500.0</v>
      </c>
      <c r="F98" s="116">
        <v>5.0</v>
      </c>
      <c r="G98" s="112"/>
      <c r="H98" s="109" t="s">
        <v>627</v>
      </c>
      <c r="I98" s="109" t="s">
        <v>628</v>
      </c>
      <c r="J98" s="109" t="s">
        <v>629</v>
      </c>
      <c r="L98" s="5"/>
    </row>
    <row r="99">
      <c r="A99" s="107" t="s">
        <v>243</v>
      </c>
      <c r="B99" s="108">
        <v>97.0</v>
      </c>
      <c r="C99" s="109" t="s">
        <v>630</v>
      </c>
      <c r="D99" s="110"/>
      <c r="E99" s="111"/>
      <c r="F99" s="112"/>
      <c r="G99" s="112"/>
      <c r="H99" s="113"/>
      <c r="I99" s="109" t="s">
        <v>631</v>
      </c>
      <c r="J99" s="113"/>
      <c r="L99" s="5"/>
    </row>
    <row r="100">
      <c r="A100" s="107" t="s">
        <v>243</v>
      </c>
      <c r="B100" s="108">
        <v>98.0</v>
      </c>
      <c r="C100" s="109" t="s">
        <v>632</v>
      </c>
      <c r="D100" s="110"/>
      <c r="E100" s="111"/>
      <c r="F100" s="112"/>
      <c r="G100" s="112"/>
      <c r="H100" s="113"/>
      <c r="I100" s="109" t="s">
        <v>633</v>
      </c>
      <c r="J100" s="113"/>
      <c r="L100" s="5"/>
    </row>
    <row r="101">
      <c r="A101" s="107" t="s">
        <v>243</v>
      </c>
      <c r="B101" s="108">
        <v>99.0</v>
      </c>
      <c r="C101" s="109" t="s">
        <v>634</v>
      </c>
      <c r="D101" s="110"/>
      <c r="E101" s="111"/>
      <c r="F101" s="112"/>
      <c r="G101" s="112"/>
      <c r="H101" s="113"/>
      <c r="I101" s="109" t="s">
        <v>635</v>
      </c>
      <c r="J101" s="113"/>
      <c r="L101" s="5"/>
    </row>
    <row r="102">
      <c r="A102" s="107" t="s">
        <v>243</v>
      </c>
      <c r="B102" s="108">
        <v>100.0</v>
      </c>
      <c r="C102" s="109" t="s">
        <v>636</v>
      </c>
      <c r="D102" s="110"/>
      <c r="E102" s="115"/>
      <c r="F102" s="112"/>
      <c r="G102" s="112"/>
      <c r="H102" s="109"/>
      <c r="I102" s="109" t="s">
        <v>637</v>
      </c>
      <c r="J102" s="109"/>
      <c r="L102" s="5"/>
      <c r="M102" s="12"/>
    </row>
    <row r="103">
      <c r="A103" s="107" t="s">
        <v>243</v>
      </c>
      <c r="B103" s="108">
        <v>101.0</v>
      </c>
      <c r="C103" s="109" t="s">
        <v>638</v>
      </c>
      <c r="D103" s="110"/>
      <c r="E103" s="115">
        <v>50.0</v>
      </c>
      <c r="F103" s="112"/>
      <c r="G103" s="112"/>
      <c r="H103" s="109" t="s">
        <v>639</v>
      </c>
      <c r="I103" s="109" t="s">
        <v>640</v>
      </c>
      <c r="J103" s="113"/>
      <c r="L103" s="5"/>
    </row>
    <row r="104">
      <c r="A104" s="107" t="s">
        <v>243</v>
      </c>
      <c r="B104" s="108">
        <v>102.0</v>
      </c>
      <c r="C104" s="109" t="s">
        <v>641</v>
      </c>
      <c r="D104" s="110"/>
      <c r="E104" s="111"/>
      <c r="F104" s="112"/>
      <c r="G104" s="112"/>
      <c r="H104" s="109"/>
      <c r="I104" s="109" t="s">
        <v>642</v>
      </c>
      <c r="J104" s="109"/>
      <c r="L104" s="5"/>
    </row>
    <row r="105">
      <c r="A105" s="107" t="s">
        <v>243</v>
      </c>
      <c r="B105" s="108">
        <v>103.0</v>
      </c>
      <c r="C105" s="109" t="s">
        <v>643</v>
      </c>
      <c r="D105" s="110" t="s">
        <v>302</v>
      </c>
      <c r="E105" s="115"/>
      <c r="F105" s="112"/>
      <c r="G105" s="112"/>
      <c r="H105" s="109" t="s">
        <v>644</v>
      </c>
      <c r="I105" s="109" t="s">
        <v>645</v>
      </c>
      <c r="J105" s="109" t="s">
        <v>596</v>
      </c>
      <c r="L105" s="5"/>
      <c r="M105" s="12"/>
    </row>
    <row r="106">
      <c r="A106" s="107" t="s">
        <v>243</v>
      </c>
      <c r="B106" s="108">
        <v>104.0</v>
      </c>
      <c r="C106" s="109" t="s">
        <v>646</v>
      </c>
      <c r="D106" s="110" t="s">
        <v>311</v>
      </c>
      <c r="E106" s="115">
        <v>65.0</v>
      </c>
      <c r="F106" s="112"/>
      <c r="G106" s="112"/>
      <c r="H106" s="109" t="s">
        <v>647</v>
      </c>
      <c r="I106" s="109" t="s">
        <v>648</v>
      </c>
      <c r="J106" s="109"/>
      <c r="L106" s="5"/>
    </row>
    <row r="107">
      <c r="A107" s="107" t="s">
        <v>243</v>
      </c>
      <c r="B107" s="108">
        <v>105.0</v>
      </c>
      <c r="C107" s="109" t="s">
        <v>649</v>
      </c>
      <c r="D107" s="110" t="s">
        <v>311</v>
      </c>
      <c r="E107" s="115"/>
      <c r="F107" s="112"/>
      <c r="G107" s="116"/>
      <c r="H107" s="109" t="s">
        <v>650</v>
      </c>
      <c r="I107" s="109" t="s">
        <v>651</v>
      </c>
      <c r="J107" s="109" t="s">
        <v>405</v>
      </c>
      <c r="L107" s="5"/>
      <c r="M107" s="12"/>
      <c r="N107" s="12"/>
    </row>
    <row r="108">
      <c r="A108" s="107" t="s">
        <v>243</v>
      </c>
      <c r="B108" s="108">
        <v>106.0</v>
      </c>
      <c r="C108" s="109" t="s">
        <v>652</v>
      </c>
      <c r="D108" s="110" t="s">
        <v>302</v>
      </c>
      <c r="E108" s="115">
        <v>100.0</v>
      </c>
      <c r="F108" s="112"/>
      <c r="G108" s="116">
        <v>0.3333</v>
      </c>
      <c r="H108" s="109" t="s">
        <v>653</v>
      </c>
      <c r="I108" s="109" t="s">
        <v>654</v>
      </c>
      <c r="J108" s="109" t="s">
        <v>596</v>
      </c>
      <c r="L108" s="5"/>
    </row>
    <row r="109">
      <c r="A109" s="107" t="s">
        <v>243</v>
      </c>
      <c r="B109" s="108">
        <v>107.0</v>
      </c>
      <c r="C109" s="109" t="s">
        <v>655</v>
      </c>
      <c r="D109" s="110"/>
      <c r="E109" s="115"/>
      <c r="F109" s="112"/>
      <c r="G109" s="112"/>
      <c r="H109" s="109"/>
      <c r="I109" s="109" t="s">
        <v>656</v>
      </c>
      <c r="J109" s="113"/>
      <c r="L109" s="5"/>
      <c r="M109" s="12"/>
    </row>
    <row r="110">
      <c r="A110" s="107" t="s">
        <v>243</v>
      </c>
      <c r="B110" s="108">
        <v>108.0</v>
      </c>
      <c r="C110" s="109" t="s">
        <v>657</v>
      </c>
      <c r="D110" s="110" t="s">
        <v>311</v>
      </c>
      <c r="E110" s="115">
        <v>100.0</v>
      </c>
      <c r="F110" s="112"/>
      <c r="G110" s="112"/>
      <c r="H110" s="109" t="s">
        <v>658</v>
      </c>
      <c r="I110" s="109" t="s">
        <v>659</v>
      </c>
      <c r="J110" s="113"/>
      <c r="L110" s="5"/>
      <c r="M110" s="12"/>
    </row>
    <row r="111">
      <c r="A111" s="107" t="s">
        <v>243</v>
      </c>
      <c r="B111" s="108">
        <v>109.0</v>
      </c>
      <c r="C111" s="109" t="s">
        <v>660</v>
      </c>
      <c r="D111" s="110" t="s">
        <v>311</v>
      </c>
      <c r="E111" s="115">
        <v>150.0</v>
      </c>
      <c r="F111" s="112"/>
      <c r="G111" s="112"/>
      <c r="H111" s="109" t="s">
        <v>661</v>
      </c>
      <c r="I111" s="109" t="s">
        <v>662</v>
      </c>
      <c r="J111" s="113"/>
      <c r="L111" s="5"/>
      <c r="M111" s="12"/>
    </row>
    <row r="112">
      <c r="A112" s="107" t="s">
        <v>243</v>
      </c>
      <c r="B112" s="108">
        <v>110.0</v>
      </c>
      <c r="C112" s="109" t="s">
        <v>663</v>
      </c>
      <c r="D112" s="110" t="s">
        <v>311</v>
      </c>
      <c r="E112" s="115">
        <v>200.0</v>
      </c>
      <c r="F112" s="112"/>
      <c r="G112" s="112"/>
      <c r="H112" s="109" t="s">
        <v>467</v>
      </c>
      <c r="I112" s="109" t="s">
        <v>664</v>
      </c>
      <c r="J112" s="109"/>
      <c r="L112" s="5"/>
    </row>
    <row r="113">
      <c r="A113" s="107" t="s">
        <v>243</v>
      </c>
      <c r="B113" s="108">
        <v>111.0</v>
      </c>
      <c r="C113" s="109" t="s">
        <v>665</v>
      </c>
      <c r="D113" s="110" t="s">
        <v>302</v>
      </c>
      <c r="E113" s="111"/>
      <c r="F113" s="112"/>
      <c r="G113" s="112"/>
      <c r="H113" s="109" t="s">
        <v>666</v>
      </c>
      <c r="I113" s="109" t="s">
        <v>667</v>
      </c>
      <c r="J113" s="109" t="s">
        <v>668</v>
      </c>
      <c r="L113" s="5"/>
    </row>
    <row r="114">
      <c r="A114" s="107" t="s">
        <v>243</v>
      </c>
      <c r="B114" s="108">
        <v>112.0</v>
      </c>
      <c r="C114" s="109" t="s">
        <v>669</v>
      </c>
      <c r="D114" s="110"/>
      <c r="E114" s="111"/>
      <c r="F114" s="112"/>
      <c r="G114" s="112"/>
      <c r="H114" s="109" t="s">
        <v>670</v>
      </c>
      <c r="I114" s="109" t="s">
        <v>671</v>
      </c>
      <c r="J114" s="113"/>
      <c r="L114" s="5"/>
    </row>
    <row r="115">
      <c r="A115" s="107" t="s">
        <v>243</v>
      </c>
      <c r="B115" s="108">
        <v>113.0</v>
      </c>
      <c r="C115" s="109" t="s">
        <v>672</v>
      </c>
      <c r="D115" s="110"/>
      <c r="E115" s="115"/>
      <c r="F115" s="112"/>
      <c r="G115" s="112"/>
      <c r="H115" s="109"/>
      <c r="I115" s="109" t="s">
        <v>673</v>
      </c>
      <c r="J115" s="113"/>
      <c r="L115" s="5"/>
      <c r="M115" s="12"/>
    </row>
    <row r="116">
      <c r="A116" s="107" t="s">
        <v>243</v>
      </c>
      <c r="B116" s="108">
        <v>114.0</v>
      </c>
      <c r="C116" s="109" t="s">
        <v>674</v>
      </c>
      <c r="D116" s="110" t="s">
        <v>311</v>
      </c>
      <c r="E116" s="115">
        <v>15.0</v>
      </c>
      <c r="F116" s="112"/>
      <c r="G116" s="112"/>
      <c r="H116" s="109" t="s">
        <v>675</v>
      </c>
      <c r="I116" s="109" t="s">
        <v>676</v>
      </c>
      <c r="J116" s="113"/>
      <c r="L116" s="5"/>
      <c r="M116" s="12"/>
    </row>
    <row r="117">
      <c r="A117" s="107" t="s">
        <v>243</v>
      </c>
      <c r="B117" s="108">
        <v>115.0</v>
      </c>
      <c r="C117" s="109" t="s">
        <v>677</v>
      </c>
      <c r="D117" s="110" t="s">
        <v>311</v>
      </c>
      <c r="E117" s="115">
        <v>15.0</v>
      </c>
      <c r="F117" s="112"/>
      <c r="G117" s="112"/>
      <c r="H117" s="109" t="s">
        <v>678</v>
      </c>
      <c r="I117" s="109" t="s">
        <v>679</v>
      </c>
      <c r="J117" s="113"/>
      <c r="L117" s="5"/>
      <c r="M117" s="12"/>
    </row>
    <row r="118">
      <c r="A118" s="107" t="s">
        <v>243</v>
      </c>
      <c r="B118" s="108">
        <v>116.0</v>
      </c>
      <c r="C118" s="109" t="s">
        <v>680</v>
      </c>
      <c r="D118" s="110" t="s">
        <v>311</v>
      </c>
      <c r="E118" s="115">
        <v>55.0</v>
      </c>
      <c r="F118" s="112"/>
      <c r="G118" s="112"/>
      <c r="H118" s="109" t="s">
        <v>681</v>
      </c>
      <c r="I118" s="109" t="s">
        <v>682</v>
      </c>
      <c r="J118" s="113"/>
      <c r="L118" s="5"/>
      <c r="M118" s="12"/>
    </row>
    <row r="119">
      <c r="A119" s="107" t="s">
        <v>243</v>
      </c>
      <c r="B119" s="108">
        <v>117.0</v>
      </c>
      <c r="C119" s="109" t="s">
        <v>683</v>
      </c>
      <c r="D119" s="110" t="s">
        <v>311</v>
      </c>
      <c r="E119" s="115">
        <v>40.0</v>
      </c>
      <c r="F119" s="112"/>
      <c r="G119" s="112"/>
      <c r="H119" s="109" t="s">
        <v>684</v>
      </c>
      <c r="I119" s="109" t="s">
        <v>685</v>
      </c>
      <c r="J119" s="113"/>
      <c r="L119" s="5"/>
    </row>
    <row r="120">
      <c r="A120" s="107" t="s">
        <v>243</v>
      </c>
      <c r="B120" s="108">
        <v>118.0</v>
      </c>
      <c r="C120" s="109" t="s">
        <v>686</v>
      </c>
      <c r="D120" s="110"/>
      <c r="E120" s="111"/>
      <c r="F120" s="112"/>
      <c r="G120" s="112"/>
      <c r="H120" s="113"/>
      <c r="I120" s="109" t="s">
        <v>687</v>
      </c>
      <c r="J120" s="113"/>
      <c r="L120" s="5"/>
    </row>
    <row r="121">
      <c r="A121" s="107" t="s">
        <v>243</v>
      </c>
      <c r="B121" s="108">
        <v>119.0</v>
      </c>
      <c r="C121" s="109" t="s">
        <v>688</v>
      </c>
      <c r="D121" s="110"/>
      <c r="E121" s="111"/>
      <c r="F121" s="112"/>
      <c r="G121" s="112"/>
      <c r="H121" s="113"/>
      <c r="I121" s="109" t="s">
        <v>689</v>
      </c>
      <c r="J121" s="113"/>
      <c r="L121" s="5"/>
    </row>
    <row r="122">
      <c r="A122" s="107" t="s">
        <v>243</v>
      </c>
      <c r="B122" s="108">
        <v>120.0</v>
      </c>
      <c r="C122" s="109" t="s">
        <v>690</v>
      </c>
      <c r="D122" s="110"/>
      <c r="E122" s="111"/>
      <c r="F122" s="112"/>
      <c r="G122" s="112"/>
      <c r="H122" s="113"/>
      <c r="I122" s="109" t="s">
        <v>691</v>
      </c>
      <c r="J122" s="113"/>
      <c r="L122" s="5"/>
    </row>
    <row r="123">
      <c r="A123" s="107" t="s">
        <v>243</v>
      </c>
      <c r="B123" s="108">
        <v>121.0</v>
      </c>
      <c r="C123" s="109" t="s">
        <v>692</v>
      </c>
      <c r="D123" s="110"/>
      <c r="E123" s="111"/>
      <c r="F123" s="112"/>
      <c r="G123" s="112"/>
      <c r="H123" s="113"/>
      <c r="I123" s="109" t="s">
        <v>693</v>
      </c>
      <c r="J123" s="113"/>
    </row>
    <row r="124">
      <c r="A124" s="107" t="s">
        <v>694</v>
      </c>
      <c r="B124" s="108" t="s">
        <v>244</v>
      </c>
      <c r="C124" s="109" t="s">
        <v>244</v>
      </c>
      <c r="D124" s="110"/>
      <c r="E124" s="111"/>
      <c r="F124" s="112"/>
      <c r="G124" s="112"/>
      <c r="H124" s="113"/>
      <c r="I124" s="109" t="s">
        <v>695</v>
      </c>
      <c r="J124" s="113"/>
    </row>
    <row r="125">
      <c r="A125" s="107" t="s">
        <v>694</v>
      </c>
      <c r="B125" s="108">
        <v>1.0</v>
      </c>
      <c r="C125" s="109" t="s">
        <v>696</v>
      </c>
      <c r="D125" s="110"/>
      <c r="E125" s="111"/>
      <c r="F125" s="112"/>
      <c r="G125" s="112"/>
      <c r="H125" s="113"/>
      <c r="I125" s="109" t="s">
        <v>697</v>
      </c>
      <c r="J125" s="113"/>
    </row>
    <row r="126">
      <c r="A126" s="107" t="s">
        <v>694</v>
      </c>
      <c r="B126" s="108">
        <v>2.0</v>
      </c>
      <c r="C126" s="109" t="s">
        <v>698</v>
      </c>
      <c r="D126" s="110"/>
      <c r="E126" s="111"/>
      <c r="F126" s="112"/>
      <c r="G126" s="112"/>
      <c r="H126" s="113"/>
      <c r="I126" s="109" t="s">
        <v>699</v>
      </c>
      <c r="J126" s="113"/>
    </row>
    <row r="127">
      <c r="A127" s="107" t="s">
        <v>694</v>
      </c>
      <c r="B127" s="108">
        <v>3.0</v>
      </c>
      <c r="C127" s="109" t="s">
        <v>700</v>
      </c>
      <c r="D127" s="110"/>
      <c r="E127" s="111"/>
      <c r="F127" s="112"/>
      <c r="G127" s="112"/>
      <c r="H127" s="113"/>
      <c r="I127" s="109" t="s">
        <v>701</v>
      </c>
      <c r="J127" s="113"/>
    </row>
    <row r="128">
      <c r="A128" s="107" t="s">
        <v>694</v>
      </c>
      <c r="B128" s="108">
        <v>4.0</v>
      </c>
      <c r="C128" s="109" t="s">
        <v>702</v>
      </c>
      <c r="D128" s="110" t="s">
        <v>302</v>
      </c>
      <c r="E128" s="111"/>
      <c r="F128" s="112"/>
      <c r="G128" s="112"/>
      <c r="H128" s="113"/>
      <c r="I128" s="109" t="s">
        <v>703</v>
      </c>
      <c r="J128" s="113"/>
    </row>
    <row r="129">
      <c r="A129" s="107" t="s">
        <v>694</v>
      </c>
      <c r="B129" s="108">
        <v>5.0</v>
      </c>
      <c r="C129" s="109" t="s">
        <v>704</v>
      </c>
      <c r="D129" s="110"/>
      <c r="E129" s="111"/>
      <c r="F129" s="112"/>
      <c r="G129" s="112"/>
      <c r="H129" s="113"/>
      <c r="I129" s="109" t="s">
        <v>705</v>
      </c>
      <c r="J129" s="113"/>
    </row>
    <row r="130">
      <c r="A130" s="107" t="s">
        <v>694</v>
      </c>
      <c r="B130" s="108">
        <v>6.0</v>
      </c>
      <c r="C130" s="109" t="s">
        <v>706</v>
      </c>
      <c r="D130" s="110"/>
      <c r="E130" s="111"/>
      <c r="F130" s="112"/>
      <c r="G130" s="112"/>
      <c r="H130" s="113"/>
      <c r="I130" s="109" t="s">
        <v>707</v>
      </c>
      <c r="J130" s="113"/>
    </row>
    <row r="131">
      <c r="A131" s="107" t="s">
        <v>694</v>
      </c>
      <c r="B131" s="108">
        <v>7.0</v>
      </c>
      <c r="C131" s="109" t="s">
        <v>708</v>
      </c>
      <c r="D131" s="110"/>
      <c r="E131" s="111"/>
      <c r="F131" s="112"/>
      <c r="G131" s="112"/>
      <c r="H131" s="113"/>
      <c r="I131" s="109" t="s">
        <v>709</v>
      </c>
      <c r="J131" s="113"/>
    </row>
    <row r="132">
      <c r="A132" s="107" t="s">
        <v>694</v>
      </c>
      <c r="B132" s="108">
        <v>8.0</v>
      </c>
      <c r="C132" s="109" t="s">
        <v>710</v>
      </c>
      <c r="D132" s="110"/>
      <c r="E132" s="111"/>
      <c r="F132" s="112"/>
      <c r="G132" s="112"/>
      <c r="H132" s="113"/>
      <c r="I132" s="109" t="s">
        <v>711</v>
      </c>
      <c r="J132" s="109" t="s">
        <v>596</v>
      </c>
    </row>
    <row r="133">
      <c r="A133" s="107" t="s">
        <v>694</v>
      </c>
      <c r="B133" s="108">
        <v>9.0</v>
      </c>
      <c r="C133" s="109" t="s">
        <v>712</v>
      </c>
      <c r="D133" s="110"/>
      <c r="E133" s="111"/>
      <c r="F133" s="112"/>
      <c r="G133" s="112"/>
      <c r="H133" s="113"/>
      <c r="I133" s="109" t="s">
        <v>713</v>
      </c>
      <c r="J133" s="113"/>
    </row>
    <row r="134">
      <c r="A134" s="107" t="s">
        <v>694</v>
      </c>
      <c r="B134" s="108">
        <v>10.0</v>
      </c>
      <c r="C134" s="109" t="s">
        <v>714</v>
      </c>
      <c r="D134" s="110"/>
      <c r="E134" s="111"/>
      <c r="F134" s="112"/>
      <c r="G134" s="112"/>
      <c r="H134" s="113"/>
      <c r="I134" s="109" t="s">
        <v>715</v>
      </c>
      <c r="J134" s="113"/>
    </row>
    <row r="135">
      <c r="A135" s="107" t="s">
        <v>694</v>
      </c>
      <c r="B135" s="108">
        <v>11.0</v>
      </c>
      <c r="C135" s="109" t="s">
        <v>716</v>
      </c>
      <c r="D135" s="110"/>
      <c r="E135" s="111"/>
      <c r="F135" s="112"/>
      <c r="G135" s="112"/>
      <c r="H135" s="109"/>
      <c r="I135" s="109" t="s">
        <v>717</v>
      </c>
      <c r="J135" s="113"/>
    </row>
    <row r="136">
      <c r="A136" s="107" t="s">
        <v>694</v>
      </c>
      <c r="B136" s="108">
        <v>12.0</v>
      </c>
      <c r="C136" s="109" t="s">
        <v>718</v>
      </c>
      <c r="D136" s="110"/>
      <c r="E136" s="111"/>
      <c r="F136" s="112"/>
      <c r="G136" s="112"/>
      <c r="H136" s="113"/>
      <c r="I136" s="109" t="s">
        <v>719</v>
      </c>
      <c r="J136" s="113"/>
    </row>
    <row r="137">
      <c r="A137" s="107" t="s">
        <v>694</v>
      </c>
      <c r="B137" s="108">
        <v>13.0</v>
      </c>
      <c r="C137" s="109" t="s">
        <v>720</v>
      </c>
      <c r="D137" s="110"/>
      <c r="E137" s="111"/>
      <c r="F137" s="112"/>
      <c r="G137" s="112"/>
      <c r="H137" s="109" t="s">
        <v>721</v>
      </c>
      <c r="I137" s="109" t="s">
        <v>722</v>
      </c>
      <c r="J137" s="113"/>
    </row>
    <row r="138">
      <c r="A138" s="107" t="s">
        <v>694</v>
      </c>
      <c r="B138" s="108">
        <v>14.0</v>
      </c>
      <c r="C138" s="109" t="s">
        <v>723</v>
      </c>
      <c r="D138" s="110"/>
      <c r="E138" s="111"/>
      <c r="F138" s="112"/>
      <c r="G138" s="112"/>
      <c r="H138" s="113"/>
      <c r="I138" s="109" t="s">
        <v>724</v>
      </c>
      <c r="J138" s="113"/>
    </row>
    <row r="139">
      <c r="A139" s="107" t="s">
        <v>694</v>
      </c>
      <c r="B139" s="108">
        <v>15.0</v>
      </c>
      <c r="C139" s="109" t="s">
        <v>725</v>
      </c>
      <c r="D139" s="110"/>
      <c r="E139" s="111"/>
      <c r="F139" s="112"/>
      <c r="G139" s="112"/>
      <c r="H139" s="113"/>
      <c r="I139" s="109" t="s">
        <v>726</v>
      </c>
      <c r="J139" s="113"/>
    </row>
    <row r="140">
      <c r="A140" s="107" t="s">
        <v>694</v>
      </c>
      <c r="B140" s="108">
        <v>16.0</v>
      </c>
      <c r="C140" s="109" t="s">
        <v>727</v>
      </c>
      <c r="D140" s="110" t="s">
        <v>302</v>
      </c>
      <c r="E140" s="111"/>
      <c r="F140" s="112"/>
      <c r="G140" s="112"/>
      <c r="H140" s="113"/>
      <c r="I140" s="109" t="s">
        <v>728</v>
      </c>
      <c r="J140" s="113"/>
    </row>
    <row r="141">
      <c r="A141" s="107" t="s">
        <v>694</v>
      </c>
      <c r="B141" s="108">
        <v>17.0</v>
      </c>
      <c r="C141" s="109" t="s">
        <v>729</v>
      </c>
      <c r="D141" s="110"/>
      <c r="E141" s="111"/>
      <c r="F141" s="112"/>
      <c r="G141" s="112"/>
      <c r="H141" s="113"/>
      <c r="I141" s="109" t="s">
        <v>730</v>
      </c>
      <c r="J141" s="113"/>
    </row>
    <row r="142">
      <c r="A142" s="107" t="s">
        <v>694</v>
      </c>
      <c r="B142" s="108">
        <v>18.0</v>
      </c>
      <c r="C142" s="109" t="s">
        <v>731</v>
      </c>
      <c r="D142" s="110"/>
      <c r="E142" s="111"/>
      <c r="F142" s="112"/>
      <c r="G142" s="112"/>
      <c r="H142" s="113"/>
      <c r="I142" s="109" t="s">
        <v>732</v>
      </c>
      <c r="J142" s="113"/>
    </row>
    <row r="143">
      <c r="A143" s="107" t="s">
        <v>694</v>
      </c>
      <c r="B143" s="108">
        <v>19.0</v>
      </c>
      <c r="C143" s="109" t="s">
        <v>733</v>
      </c>
      <c r="D143" s="110"/>
      <c r="E143" s="111"/>
      <c r="F143" s="112"/>
      <c r="G143" s="112"/>
      <c r="H143" s="113"/>
      <c r="I143" s="109" t="s">
        <v>734</v>
      </c>
      <c r="J143" s="109" t="s">
        <v>284</v>
      </c>
    </row>
    <row r="144">
      <c r="A144" s="107" t="s">
        <v>694</v>
      </c>
      <c r="B144" s="108">
        <v>20.0</v>
      </c>
      <c r="C144" s="109" t="s">
        <v>735</v>
      </c>
      <c r="D144" s="110"/>
      <c r="E144" s="111"/>
      <c r="F144" s="112"/>
      <c r="G144" s="112"/>
      <c r="H144" s="113"/>
      <c r="I144" s="109" t="s">
        <v>736</v>
      </c>
      <c r="J144" s="113"/>
    </row>
    <row r="145">
      <c r="A145" s="107" t="s">
        <v>694</v>
      </c>
      <c r="B145" s="108">
        <v>21.0</v>
      </c>
      <c r="C145" s="109" t="s">
        <v>737</v>
      </c>
      <c r="D145" s="110"/>
      <c r="E145" s="111"/>
      <c r="F145" s="112"/>
      <c r="G145" s="112"/>
      <c r="H145" s="113"/>
      <c r="I145" s="109" t="s">
        <v>738</v>
      </c>
      <c r="J145" s="113"/>
    </row>
    <row r="146">
      <c r="A146" s="107" t="s">
        <v>694</v>
      </c>
      <c r="B146" s="108">
        <v>22.0</v>
      </c>
      <c r="C146" s="109" t="s">
        <v>739</v>
      </c>
      <c r="D146" s="110"/>
      <c r="E146" s="111"/>
      <c r="F146" s="112"/>
      <c r="G146" s="112"/>
      <c r="H146" s="113"/>
      <c r="I146" s="109" t="s">
        <v>740</v>
      </c>
      <c r="J146" s="109" t="s">
        <v>274</v>
      </c>
    </row>
    <row r="147">
      <c r="A147" s="107" t="s">
        <v>694</v>
      </c>
      <c r="B147" s="108">
        <v>23.0</v>
      </c>
      <c r="C147" s="109" t="s">
        <v>741</v>
      </c>
      <c r="D147" s="110"/>
      <c r="E147" s="111"/>
      <c r="F147" s="112"/>
      <c r="G147" s="112"/>
      <c r="H147" s="113"/>
      <c r="I147" s="109" t="s">
        <v>742</v>
      </c>
      <c r="J147" s="109" t="s">
        <v>596</v>
      </c>
    </row>
    <row r="148">
      <c r="A148" s="107" t="s">
        <v>694</v>
      </c>
      <c r="B148" s="108">
        <v>24.0</v>
      </c>
      <c r="C148" s="109" t="s">
        <v>743</v>
      </c>
      <c r="D148" s="110"/>
      <c r="E148" s="111"/>
      <c r="F148" s="112"/>
      <c r="G148" s="112"/>
      <c r="H148" s="113"/>
      <c r="I148" s="109" t="s">
        <v>744</v>
      </c>
      <c r="J148" s="113"/>
    </row>
    <row r="149">
      <c r="A149" s="107" t="s">
        <v>694</v>
      </c>
      <c r="B149" s="108">
        <v>25.0</v>
      </c>
      <c r="C149" s="109" t="s">
        <v>745</v>
      </c>
      <c r="D149" s="110"/>
      <c r="E149" s="111"/>
      <c r="F149" s="112"/>
      <c r="G149" s="112"/>
      <c r="H149" s="113"/>
      <c r="I149" s="109" t="s">
        <v>746</v>
      </c>
      <c r="J149" s="113"/>
    </row>
    <row r="150">
      <c r="A150" s="107" t="s">
        <v>694</v>
      </c>
      <c r="B150" s="108">
        <v>26.0</v>
      </c>
      <c r="C150" s="109" t="s">
        <v>747</v>
      </c>
      <c r="D150" s="110"/>
      <c r="E150" s="111"/>
      <c r="F150" s="112"/>
      <c r="G150" s="112"/>
      <c r="H150" s="113"/>
      <c r="I150" s="109" t="s">
        <v>748</v>
      </c>
      <c r="J150" s="113"/>
    </row>
    <row r="151">
      <c r="A151" s="107" t="s">
        <v>694</v>
      </c>
      <c r="B151" s="108">
        <v>27.0</v>
      </c>
      <c r="C151" s="109" t="s">
        <v>749</v>
      </c>
      <c r="D151" s="110"/>
      <c r="E151" s="111"/>
      <c r="F151" s="112"/>
      <c r="G151" s="112"/>
      <c r="H151" s="113"/>
      <c r="I151" s="109" t="s">
        <v>750</v>
      </c>
      <c r="J151" s="113"/>
    </row>
    <row r="152">
      <c r="A152" s="107" t="s">
        <v>694</v>
      </c>
      <c r="B152" s="108">
        <v>28.0</v>
      </c>
      <c r="C152" s="109" t="s">
        <v>686</v>
      </c>
      <c r="D152" s="110"/>
      <c r="E152" s="111"/>
      <c r="F152" s="112"/>
      <c r="G152" s="112"/>
      <c r="H152" s="113"/>
      <c r="I152" s="109" t="s">
        <v>751</v>
      </c>
      <c r="J152" s="113"/>
    </row>
    <row r="153">
      <c r="A153" s="5" t="s">
        <v>694</v>
      </c>
      <c r="B153" s="15">
        <v>29.0</v>
      </c>
      <c r="C153" s="5" t="s">
        <v>688</v>
      </c>
      <c r="D153" s="18"/>
      <c r="E153" s="18"/>
      <c r="F153" s="18"/>
      <c r="G153" s="18"/>
      <c r="H153" s="72"/>
      <c r="I153" s="68" t="s">
        <v>752</v>
      </c>
      <c r="J153" s="72"/>
    </row>
    <row r="154">
      <c r="A154" s="5" t="s">
        <v>694</v>
      </c>
      <c r="B154" s="15">
        <v>30.0</v>
      </c>
      <c r="C154" s="5" t="s">
        <v>753</v>
      </c>
      <c r="D154" s="18"/>
      <c r="E154" s="18"/>
      <c r="F154" s="18"/>
      <c r="G154" s="18"/>
      <c r="H154" s="72"/>
      <c r="I154" s="68" t="s">
        <v>754</v>
      </c>
      <c r="J154" s="72"/>
    </row>
    <row r="155">
      <c r="A155" s="5" t="s">
        <v>755</v>
      </c>
      <c r="B155" s="15" t="s">
        <v>244</v>
      </c>
      <c r="C155" s="5" t="s">
        <v>244</v>
      </c>
      <c r="D155" s="18"/>
      <c r="E155" s="18"/>
      <c r="F155" s="18"/>
      <c r="G155" s="18"/>
      <c r="H155" s="72"/>
      <c r="I155" s="68" t="s">
        <v>756</v>
      </c>
      <c r="J155" s="72"/>
    </row>
    <row r="156">
      <c r="A156" s="5" t="s">
        <v>755</v>
      </c>
      <c r="B156" s="15">
        <v>1.0</v>
      </c>
      <c r="C156" s="5" t="s">
        <v>757</v>
      </c>
      <c r="D156" s="15" t="s">
        <v>302</v>
      </c>
      <c r="E156" s="18"/>
      <c r="F156" s="18"/>
      <c r="G156" s="18"/>
      <c r="H156" s="68" t="s">
        <v>758</v>
      </c>
      <c r="I156" s="68" t="s">
        <v>759</v>
      </c>
      <c r="J156" s="72"/>
    </row>
    <row r="157">
      <c r="A157" s="5" t="s">
        <v>755</v>
      </c>
      <c r="B157" s="15">
        <v>2.0</v>
      </c>
      <c r="C157" s="5" t="s">
        <v>760</v>
      </c>
      <c r="D157" s="15" t="s">
        <v>302</v>
      </c>
      <c r="E157" s="18"/>
      <c r="F157" s="18"/>
      <c r="G157" s="18"/>
      <c r="H157" s="68" t="s">
        <v>761</v>
      </c>
      <c r="I157" s="68" t="s">
        <v>762</v>
      </c>
      <c r="J157" s="72"/>
    </row>
    <row r="158">
      <c r="A158" s="5" t="s">
        <v>755</v>
      </c>
      <c r="B158" s="15">
        <v>3.0</v>
      </c>
      <c r="C158" s="5" t="s">
        <v>763</v>
      </c>
      <c r="D158" s="18"/>
      <c r="E158" s="18"/>
      <c r="F158" s="18"/>
      <c r="G158" s="18"/>
      <c r="H158" s="72"/>
      <c r="I158" s="68" t="s">
        <v>764</v>
      </c>
      <c r="J158" s="72"/>
    </row>
    <row r="159">
      <c r="A159" s="5" t="s">
        <v>755</v>
      </c>
      <c r="B159" s="15">
        <v>4.0</v>
      </c>
      <c r="C159" s="5" t="s">
        <v>765</v>
      </c>
      <c r="D159" s="15" t="s">
        <v>302</v>
      </c>
      <c r="E159" s="18"/>
      <c r="F159" s="18"/>
      <c r="G159" s="18"/>
      <c r="H159" s="68" t="s">
        <v>766</v>
      </c>
      <c r="I159" s="68" t="s">
        <v>767</v>
      </c>
      <c r="J159" s="72"/>
    </row>
    <row r="160">
      <c r="A160" s="5" t="s">
        <v>755</v>
      </c>
      <c r="B160" s="15">
        <v>5.0</v>
      </c>
      <c r="C160" s="5" t="s">
        <v>768</v>
      </c>
      <c r="D160" s="18"/>
      <c r="E160" s="18"/>
      <c r="F160" s="18"/>
      <c r="G160" s="18"/>
      <c r="H160" s="72"/>
      <c r="I160" s="68" t="s">
        <v>769</v>
      </c>
      <c r="J160" s="72"/>
    </row>
    <row r="161">
      <c r="A161" s="5" t="s">
        <v>755</v>
      </c>
      <c r="B161" s="15">
        <v>6.0</v>
      </c>
      <c r="C161" s="5" t="s">
        <v>770</v>
      </c>
      <c r="D161" s="15" t="s">
        <v>354</v>
      </c>
      <c r="E161" s="18"/>
      <c r="F161" s="18"/>
      <c r="G161" s="18"/>
      <c r="H161" s="68" t="s">
        <v>771</v>
      </c>
      <c r="I161" s="68" t="s">
        <v>772</v>
      </c>
      <c r="J161" s="72"/>
    </row>
    <row r="162">
      <c r="A162" s="5" t="s">
        <v>755</v>
      </c>
      <c r="B162" s="15">
        <v>7.0</v>
      </c>
      <c r="C162" s="5" t="s">
        <v>773</v>
      </c>
      <c r="D162" s="15" t="s">
        <v>354</v>
      </c>
      <c r="E162" s="18"/>
      <c r="F162" s="18"/>
      <c r="G162" s="18"/>
      <c r="H162" s="68" t="s">
        <v>774</v>
      </c>
      <c r="I162" s="68" t="s">
        <v>775</v>
      </c>
      <c r="J162" s="72"/>
    </row>
    <row r="163">
      <c r="A163" s="5" t="s">
        <v>755</v>
      </c>
      <c r="B163" s="15">
        <v>8.0</v>
      </c>
      <c r="C163" s="5" t="s">
        <v>776</v>
      </c>
      <c r="D163" s="15" t="s">
        <v>354</v>
      </c>
      <c r="E163" s="18"/>
      <c r="F163" s="18"/>
      <c r="G163" s="18"/>
      <c r="H163" s="72"/>
      <c r="I163" s="68" t="s">
        <v>777</v>
      </c>
      <c r="J163" s="72"/>
    </row>
    <row r="164">
      <c r="A164" s="5" t="s">
        <v>755</v>
      </c>
      <c r="B164" s="15">
        <v>9.0</v>
      </c>
      <c r="C164" s="5" t="s">
        <v>778</v>
      </c>
      <c r="D164" s="15" t="s">
        <v>354</v>
      </c>
      <c r="E164" s="18"/>
      <c r="F164" s="18"/>
      <c r="G164" s="18"/>
      <c r="H164" s="68" t="s">
        <v>779</v>
      </c>
      <c r="I164" s="68" t="s">
        <v>780</v>
      </c>
      <c r="J164" s="72"/>
    </row>
    <row r="165">
      <c r="A165" s="5" t="s">
        <v>755</v>
      </c>
      <c r="B165" s="15">
        <v>10.0</v>
      </c>
      <c r="C165" s="5" t="s">
        <v>781</v>
      </c>
      <c r="D165" s="15" t="s">
        <v>354</v>
      </c>
      <c r="E165" s="18"/>
      <c r="F165" s="18"/>
      <c r="G165" s="18"/>
      <c r="H165" s="68" t="s">
        <v>782</v>
      </c>
      <c r="I165" s="68" t="s">
        <v>783</v>
      </c>
      <c r="J165" s="72"/>
    </row>
    <row r="166">
      <c r="A166" s="5" t="s">
        <v>755</v>
      </c>
      <c r="B166" s="15">
        <v>11.0</v>
      </c>
      <c r="C166" s="5" t="s">
        <v>784</v>
      </c>
      <c r="D166" s="15" t="s">
        <v>354</v>
      </c>
      <c r="E166" s="18"/>
      <c r="F166" s="18"/>
      <c r="G166" s="18"/>
      <c r="H166" s="68" t="s">
        <v>785</v>
      </c>
      <c r="I166" s="68" t="s">
        <v>786</v>
      </c>
      <c r="J166" s="72"/>
    </row>
    <row r="167">
      <c r="A167" s="5" t="s">
        <v>755</v>
      </c>
      <c r="B167" s="15">
        <v>12.0</v>
      </c>
      <c r="C167" s="5" t="s">
        <v>787</v>
      </c>
      <c r="D167" s="18"/>
      <c r="E167" s="18"/>
      <c r="F167" s="18"/>
      <c r="G167" s="18"/>
      <c r="H167" s="72"/>
      <c r="I167" s="68" t="s">
        <v>788</v>
      </c>
      <c r="J167" s="68" t="s">
        <v>284</v>
      </c>
    </row>
    <row r="168">
      <c r="A168" s="5" t="s">
        <v>755</v>
      </c>
      <c r="B168" s="15">
        <v>13.0</v>
      </c>
      <c r="C168" s="5" t="s">
        <v>789</v>
      </c>
      <c r="D168" s="18"/>
      <c r="E168" s="18"/>
      <c r="F168" s="18"/>
      <c r="G168" s="18"/>
      <c r="H168" s="72"/>
      <c r="I168" s="68" t="s">
        <v>790</v>
      </c>
      <c r="J168" s="72"/>
    </row>
    <row r="169">
      <c r="A169" s="5" t="s">
        <v>755</v>
      </c>
      <c r="B169" s="15">
        <v>14.0</v>
      </c>
      <c r="C169" s="5" t="s">
        <v>791</v>
      </c>
      <c r="D169" s="18"/>
      <c r="E169" s="18"/>
      <c r="F169" s="18"/>
      <c r="G169" s="18"/>
      <c r="H169" s="72"/>
      <c r="I169" s="68" t="s">
        <v>792</v>
      </c>
      <c r="J169" s="72"/>
    </row>
    <row r="170">
      <c r="A170" s="5" t="s">
        <v>755</v>
      </c>
      <c r="B170" s="15">
        <v>15.0</v>
      </c>
      <c r="C170" s="5" t="s">
        <v>793</v>
      </c>
      <c r="D170" s="18"/>
      <c r="E170" s="18"/>
      <c r="F170" s="18"/>
      <c r="G170" s="18"/>
      <c r="H170" s="72"/>
      <c r="I170" s="68" t="s">
        <v>794</v>
      </c>
      <c r="J170" s="72"/>
    </row>
    <row r="171">
      <c r="A171" s="5" t="s">
        <v>755</v>
      </c>
      <c r="B171" s="15">
        <v>16.0</v>
      </c>
      <c r="C171" s="5" t="s">
        <v>795</v>
      </c>
      <c r="D171" s="18"/>
      <c r="E171" s="18"/>
      <c r="F171" s="18"/>
      <c r="G171" s="18"/>
      <c r="H171" s="72"/>
      <c r="I171" s="68" t="s">
        <v>796</v>
      </c>
      <c r="J171" s="72"/>
    </row>
    <row r="172">
      <c r="A172" s="5" t="s">
        <v>755</v>
      </c>
      <c r="B172" s="15">
        <v>17.0</v>
      </c>
      <c r="C172" s="5" t="s">
        <v>797</v>
      </c>
      <c r="D172" s="18"/>
      <c r="E172" s="18"/>
      <c r="F172" s="18"/>
      <c r="G172" s="18"/>
      <c r="H172" s="72"/>
      <c r="I172" s="68" t="s">
        <v>798</v>
      </c>
      <c r="J172" s="72"/>
    </row>
    <row r="173">
      <c r="A173" s="5" t="s">
        <v>799</v>
      </c>
      <c r="B173" s="15" t="s">
        <v>244</v>
      </c>
      <c r="C173" s="5" t="s">
        <v>244</v>
      </c>
      <c r="D173" s="18"/>
      <c r="E173" s="18"/>
      <c r="F173" s="18"/>
      <c r="G173" s="18"/>
      <c r="H173" s="72"/>
      <c r="I173" s="68" t="s">
        <v>800</v>
      </c>
      <c r="J173" s="72"/>
    </row>
    <row r="174">
      <c r="A174" s="5" t="s">
        <v>799</v>
      </c>
      <c r="B174" s="15">
        <v>1.0</v>
      </c>
      <c r="C174" s="5" t="s">
        <v>801</v>
      </c>
      <c r="D174" s="18"/>
      <c r="E174" s="18"/>
      <c r="F174" s="18"/>
      <c r="G174" s="18"/>
      <c r="H174" s="72"/>
      <c r="I174" s="68" t="s">
        <v>802</v>
      </c>
      <c r="J174" s="72"/>
    </row>
    <row r="175">
      <c r="A175" s="5" t="s">
        <v>799</v>
      </c>
      <c r="B175" s="15">
        <v>2.0</v>
      </c>
      <c r="C175" s="5" t="s">
        <v>803</v>
      </c>
      <c r="D175" s="18"/>
      <c r="E175" s="18"/>
      <c r="F175" s="18"/>
      <c r="G175" s="18"/>
      <c r="H175" s="72"/>
      <c r="I175" s="68" t="s">
        <v>804</v>
      </c>
      <c r="J175" s="72"/>
    </row>
    <row r="176">
      <c r="A176" s="5" t="s">
        <v>799</v>
      </c>
      <c r="B176" s="15">
        <v>3.0</v>
      </c>
      <c r="C176" s="5" t="s">
        <v>805</v>
      </c>
      <c r="D176" s="18"/>
      <c r="E176" s="18"/>
      <c r="F176" s="18"/>
      <c r="G176" s="18"/>
      <c r="H176" s="72"/>
      <c r="I176" s="68" t="s">
        <v>806</v>
      </c>
      <c r="J176" s="72"/>
    </row>
    <row r="177">
      <c r="A177" s="5" t="s">
        <v>799</v>
      </c>
      <c r="B177" s="15">
        <v>4.0</v>
      </c>
      <c r="C177" s="5" t="s">
        <v>807</v>
      </c>
      <c r="D177" s="18"/>
      <c r="E177" s="18"/>
      <c r="F177" s="18"/>
      <c r="G177" s="18"/>
      <c r="H177" s="72"/>
      <c r="I177" s="68" t="s">
        <v>808</v>
      </c>
      <c r="J177" s="72"/>
    </row>
    <row r="178">
      <c r="A178" s="5" t="s">
        <v>799</v>
      </c>
      <c r="B178" s="15">
        <v>5.0</v>
      </c>
      <c r="C178" s="5" t="s">
        <v>809</v>
      </c>
      <c r="D178" s="18"/>
      <c r="E178" s="18"/>
      <c r="F178" s="18"/>
      <c r="G178" s="18"/>
      <c r="H178" s="72"/>
      <c r="I178" s="68" t="s">
        <v>810</v>
      </c>
      <c r="J178" s="72"/>
    </row>
    <row r="179">
      <c r="A179" s="5" t="s">
        <v>799</v>
      </c>
      <c r="B179" s="15">
        <v>6.0</v>
      </c>
      <c r="C179" s="5" t="s">
        <v>811</v>
      </c>
      <c r="D179" s="18"/>
      <c r="E179" s="18"/>
      <c r="F179" s="18"/>
      <c r="G179" s="18"/>
      <c r="H179" s="72"/>
      <c r="I179" s="68" t="s">
        <v>812</v>
      </c>
      <c r="J179" s="72"/>
    </row>
    <row r="180">
      <c r="A180" s="5" t="s">
        <v>799</v>
      </c>
      <c r="B180" s="15">
        <v>7.0</v>
      </c>
      <c r="C180" s="5" t="s">
        <v>813</v>
      </c>
      <c r="D180" s="18"/>
      <c r="E180" s="18"/>
      <c r="F180" s="18"/>
      <c r="G180" s="18"/>
      <c r="H180" s="72"/>
      <c r="I180" s="68" t="s">
        <v>814</v>
      </c>
      <c r="J180" s="72"/>
    </row>
    <row r="181">
      <c r="A181" s="5" t="s">
        <v>799</v>
      </c>
      <c r="B181" s="15">
        <v>8.0</v>
      </c>
      <c r="C181" s="5" t="s">
        <v>815</v>
      </c>
      <c r="D181" s="15" t="s">
        <v>181</v>
      </c>
      <c r="E181" s="18"/>
      <c r="F181" s="18"/>
      <c r="G181" s="18"/>
      <c r="H181" s="72"/>
      <c r="I181" s="68" t="s">
        <v>816</v>
      </c>
      <c r="J181" s="72"/>
    </row>
    <row r="182">
      <c r="A182" s="5" t="s">
        <v>799</v>
      </c>
      <c r="B182" s="15">
        <v>9.0</v>
      </c>
      <c r="C182" s="5" t="s">
        <v>817</v>
      </c>
      <c r="D182" s="15" t="s">
        <v>354</v>
      </c>
      <c r="E182" s="18"/>
      <c r="F182" s="18"/>
      <c r="G182" s="18"/>
      <c r="H182" s="72"/>
      <c r="I182" s="68" t="s">
        <v>818</v>
      </c>
      <c r="J182" s="72"/>
    </row>
    <row r="183">
      <c r="A183" s="5" t="s">
        <v>799</v>
      </c>
      <c r="B183" s="15">
        <v>10.0</v>
      </c>
      <c r="C183" s="5" t="s">
        <v>819</v>
      </c>
      <c r="D183" s="18"/>
      <c r="E183" s="18"/>
      <c r="F183" s="18"/>
      <c r="G183" s="18"/>
      <c r="H183" s="72"/>
      <c r="I183" s="68" t="s">
        <v>820</v>
      </c>
      <c r="J183" s="68" t="s">
        <v>274</v>
      </c>
    </row>
    <row r="184">
      <c r="A184" s="5" t="s">
        <v>799</v>
      </c>
      <c r="B184" s="15">
        <v>11.0</v>
      </c>
      <c r="C184" s="5" t="s">
        <v>821</v>
      </c>
      <c r="D184" s="18"/>
      <c r="E184" s="18"/>
      <c r="F184" s="18"/>
      <c r="G184" s="18"/>
      <c r="H184" s="72"/>
      <c r="I184" s="68" t="s">
        <v>822</v>
      </c>
      <c r="J184" s="68" t="s">
        <v>596</v>
      </c>
    </row>
    <row r="185">
      <c r="A185" s="5" t="s">
        <v>799</v>
      </c>
      <c r="B185" s="15">
        <v>12.0</v>
      </c>
      <c r="C185" s="5" t="s">
        <v>823</v>
      </c>
      <c r="D185" s="18"/>
      <c r="E185" s="18"/>
      <c r="F185" s="18"/>
      <c r="G185" s="18"/>
      <c r="H185" s="72"/>
      <c r="I185" s="68" t="s">
        <v>824</v>
      </c>
      <c r="J185" s="68" t="s">
        <v>596</v>
      </c>
    </row>
    <row r="186">
      <c r="A186" s="5" t="s">
        <v>799</v>
      </c>
      <c r="B186" s="15">
        <v>13.0</v>
      </c>
      <c r="C186" s="5" t="s">
        <v>825</v>
      </c>
      <c r="D186" s="18"/>
      <c r="E186" s="18"/>
      <c r="F186" s="18"/>
      <c r="G186" s="18"/>
      <c r="H186" s="72"/>
      <c r="I186" s="68" t="s">
        <v>826</v>
      </c>
      <c r="J186" s="72"/>
    </row>
    <row r="187">
      <c r="A187" s="5" t="s">
        <v>827</v>
      </c>
      <c r="B187" s="15" t="s">
        <v>244</v>
      </c>
      <c r="C187" s="5" t="s">
        <v>244</v>
      </c>
      <c r="D187" s="18"/>
      <c r="E187" s="18"/>
      <c r="F187" s="18"/>
      <c r="G187" s="18"/>
      <c r="H187" s="72"/>
      <c r="I187" s="68" t="s">
        <v>828</v>
      </c>
      <c r="J187" s="72"/>
    </row>
    <row r="188">
      <c r="A188" s="5" t="s">
        <v>827</v>
      </c>
      <c r="B188" s="15">
        <v>1.0</v>
      </c>
      <c r="C188" s="5" t="s">
        <v>829</v>
      </c>
      <c r="D188" s="18"/>
      <c r="E188" s="18"/>
      <c r="F188" s="18"/>
      <c r="G188" s="18"/>
      <c r="H188" s="72"/>
      <c r="I188" s="68" t="s">
        <v>830</v>
      </c>
      <c r="J188" s="72"/>
    </row>
    <row r="189">
      <c r="A189" s="5" t="s">
        <v>827</v>
      </c>
      <c r="B189" s="15">
        <v>2.0</v>
      </c>
      <c r="C189" s="5" t="s">
        <v>831</v>
      </c>
      <c r="D189" s="18"/>
      <c r="E189" s="18"/>
      <c r="F189" s="18"/>
      <c r="G189" s="18"/>
      <c r="H189" s="72"/>
      <c r="I189" s="68" t="s">
        <v>832</v>
      </c>
      <c r="J189" s="72"/>
    </row>
    <row r="190">
      <c r="A190" s="5" t="s">
        <v>827</v>
      </c>
      <c r="B190" s="15">
        <v>3.0</v>
      </c>
      <c r="C190" s="5" t="s">
        <v>833</v>
      </c>
      <c r="D190" s="18"/>
      <c r="E190" s="18"/>
      <c r="F190" s="18"/>
      <c r="G190" s="18"/>
      <c r="H190" s="72"/>
      <c r="I190" s="68" t="s">
        <v>834</v>
      </c>
      <c r="J190" s="72"/>
    </row>
    <row r="191">
      <c r="A191" s="5" t="s">
        <v>827</v>
      </c>
      <c r="B191" s="15">
        <v>4.0</v>
      </c>
      <c r="C191" s="5" t="s">
        <v>835</v>
      </c>
      <c r="D191" s="18"/>
      <c r="E191" s="18"/>
      <c r="F191" s="18"/>
      <c r="G191" s="18"/>
      <c r="H191" s="72"/>
      <c r="I191" s="68" t="s">
        <v>836</v>
      </c>
      <c r="J191" s="72"/>
    </row>
    <row r="192">
      <c r="A192" s="5" t="s">
        <v>827</v>
      </c>
      <c r="B192" s="15">
        <v>5.0</v>
      </c>
      <c r="C192" s="5" t="s">
        <v>837</v>
      </c>
      <c r="D192" s="15" t="s">
        <v>302</v>
      </c>
      <c r="E192" s="18"/>
      <c r="F192" s="18"/>
      <c r="G192" s="18"/>
      <c r="H192" s="72"/>
      <c r="I192" s="68" t="s">
        <v>838</v>
      </c>
      <c r="J192" s="72"/>
    </row>
    <row r="193">
      <c r="A193" s="5" t="s">
        <v>827</v>
      </c>
      <c r="B193" s="15">
        <v>6.0</v>
      </c>
      <c r="C193" s="5" t="s">
        <v>839</v>
      </c>
      <c r="D193" s="18"/>
      <c r="E193" s="18"/>
      <c r="F193" s="18"/>
      <c r="G193" s="18"/>
      <c r="H193" s="72"/>
      <c r="I193" s="68" t="s">
        <v>840</v>
      </c>
      <c r="J193" s="72"/>
    </row>
    <row r="194">
      <c r="A194" s="5" t="s">
        <v>827</v>
      </c>
      <c r="B194" s="15">
        <v>7.0</v>
      </c>
      <c r="C194" s="5" t="s">
        <v>841</v>
      </c>
      <c r="D194" s="18"/>
      <c r="E194" s="18"/>
      <c r="F194" s="18"/>
      <c r="G194" s="18"/>
      <c r="H194" s="72"/>
      <c r="I194" s="68" t="s">
        <v>842</v>
      </c>
      <c r="J194" s="72"/>
    </row>
    <row r="195">
      <c r="A195" s="5" t="s">
        <v>827</v>
      </c>
      <c r="B195" s="128">
        <v>46029.0</v>
      </c>
      <c r="C195" s="5" t="s">
        <v>843</v>
      </c>
      <c r="D195" s="18"/>
      <c r="E195" s="18"/>
      <c r="F195" s="18"/>
      <c r="G195" s="18"/>
      <c r="H195" s="72"/>
      <c r="I195" s="68" t="s">
        <v>844</v>
      </c>
      <c r="J195" s="72"/>
    </row>
    <row r="196">
      <c r="A196" s="5" t="s">
        <v>827</v>
      </c>
      <c r="B196" s="15">
        <v>8.0</v>
      </c>
      <c r="C196" s="5" t="s">
        <v>845</v>
      </c>
      <c r="D196" s="18"/>
      <c r="E196" s="18"/>
      <c r="F196" s="18"/>
      <c r="G196" s="18"/>
      <c r="H196" s="72"/>
      <c r="I196" s="68" t="s">
        <v>846</v>
      </c>
      <c r="J196" s="72"/>
    </row>
    <row r="197">
      <c r="A197" s="5" t="s">
        <v>827</v>
      </c>
      <c r="B197" s="15">
        <v>9.0</v>
      </c>
      <c r="C197" s="5" t="s">
        <v>847</v>
      </c>
      <c r="D197" s="18"/>
      <c r="E197" s="18"/>
      <c r="F197" s="18"/>
      <c r="G197" s="18"/>
      <c r="H197" s="72"/>
      <c r="I197" s="68" t="s">
        <v>848</v>
      </c>
      <c r="J197" s="72"/>
    </row>
    <row r="198">
      <c r="A198" s="5" t="s">
        <v>827</v>
      </c>
      <c r="B198" s="15">
        <v>10.0</v>
      </c>
      <c r="C198" s="5" t="s">
        <v>849</v>
      </c>
      <c r="D198" s="18"/>
      <c r="E198" s="18"/>
      <c r="F198" s="18"/>
      <c r="G198" s="18"/>
      <c r="H198" s="72"/>
      <c r="I198" s="68" t="s">
        <v>850</v>
      </c>
      <c r="J198" s="72"/>
    </row>
    <row r="199">
      <c r="A199" s="5" t="s">
        <v>827</v>
      </c>
      <c r="B199" s="128">
        <v>46032.0</v>
      </c>
      <c r="C199" s="5" t="s">
        <v>851</v>
      </c>
      <c r="D199" s="18"/>
      <c r="E199" s="18"/>
      <c r="F199" s="18"/>
      <c r="G199" s="18"/>
      <c r="H199" s="72"/>
      <c r="I199" s="68" t="s">
        <v>852</v>
      </c>
      <c r="J199" s="72"/>
    </row>
    <row r="200">
      <c r="A200" s="5" t="s">
        <v>827</v>
      </c>
      <c r="B200" s="128">
        <v>46063.0</v>
      </c>
      <c r="C200" s="5" t="s">
        <v>853</v>
      </c>
      <c r="D200" s="15" t="s">
        <v>302</v>
      </c>
      <c r="E200" s="18"/>
      <c r="F200" s="18"/>
      <c r="G200" s="18"/>
      <c r="H200" s="72"/>
      <c r="I200" s="68" t="s">
        <v>854</v>
      </c>
      <c r="J200" s="72"/>
    </row>
    <row r="201">
      <c r="A201" s="5" t="s">
        <v>827</v>
      </c>
      <c r="B201" s="15">
        <v>11.0</v>
      </c>
      <c r="C201" s="5" t="s">
        <v>855</v>
      </c>
      <c r="D201" s="18"/>
      <c r="E201" s="18"/>
      <c r="F201" s="18"/>
      <c r="G201" s="18"/>
      <c r="H201" s="72"/>
      <c r="I201" s="68" t="s">
        <v>856</v>
      </c>
      <c r="J201" s="72"/>
    </row>
    <row r="202">
      <c r="A202" s="5" t="s">
        <v>827</v>
      </c>
      <c r="B202" s="15">
        <v>12.0</v>
      </c>
      <c r="C202" s="5" t="s">
        <v>857</v>
      </c>
      <c r="D202" s="18"/>
      <c r="E202" s="18"/>
      <c r="F202" s="18"/>
      <c r="G202" s="18"/>
      <c r="H202" s="72"/>
      <c r="I202" s="68" t="s">
        <v>858</v>
      </c>
      <c r="J202" s="72"/>
    </row>
    <row r="203">
      <c r="A203" s="5" t="s">
        <v>827</v>
      </c>
      <c r="B203" s="15">
        <v>13.0</v>
      </c>
      <c r="C203" s="5" t="s">
        <v>859</v>
      </c>
      <c r="D203" s="18"/>
      <c r="E203" s="18"/>
      <c r="F203" s="18"/>
      <c r="G203" s="18"/>
      <c r="H203" s="72"/>
      <c r="I203" s="68" t="s">
        <v>860</v>
      </c>
      <c r="J203" s="72"/>
    </row>
    <row r="204">
      <c r="A204" s="5" t="s">
        <v>827</v>
      </c>
      <c r="B204" s="15">
        <v>14.0</v>
      </c>
      <c r="C204" s="5" t="s">
        <v>861</v>
      </c>
      <c r="D204" s="18"/>
      <c r="E204" s="18"/>
      <c r="F204" s="18"/>
      <c r="G204" s="18"/>
      <c r="H204" s="72"/>
      <c r="I204" s="68" t="s">
        <v>862</v>
      </c>
      <c r="J204" s="72"/>
    </row>
    <row r="205">
      <c r="A205" s="5" t="s">
        <v>827</v>
      </c>
      <c r="B205" s="15">
        <v>15.0</v>
      </c>
      <c r="C205" s="5" t="s">
        <v>863</v>
      </c>
      <c r="D205" s="18"/>
      <c r="E205" s="18"/>
      <c r="F205" s="18"/>
      <c r="G205" s="18"/>
      <c r="H205" s="72"/>
      <c r="I205" s="68" t="s">
        <v>864</v>
      </c>
      <c r="J205" s="72"/>
    </row>
    <row r="206">
      <c r="A206" s="5" t="s">
        <v>827</v>
      </c>
      <c r="B206" s="15">
        <v>16.0</v>
      </c>
      <c r="C206" s="5" t="s">
        <v>865</v>
      </c>
      <c r="D206" s="18"/>
      <c r="E206" s="18"/>
      <c r="F206" s="18"/>
      <c r="G206" s="18"/>
      <c r="H206" s="72"/>
      <c r="I206" s="68" t="s">
        <v>866</v>
      </c>
      <c r="J206" s="72"/>
    </row>
    <row r="207">
      <c r="A207" s="5" t="s">
        <v>867</v>
      </c>
      <c r="B207" s="15" t="s">
        <v>244</v>
      </c>
      <c r="C207" s="5" t="s">
        <v>244</v>
      </c>
      <c r="D207" s="18"/>
      <c r="E207" s="18"/>
      <c r="F207" s="18"/>
      <c r="G207" s="18"/>
      <c r="H207" s="72"/>
      <c r="I207" s="68" t="s">
        <v>868</v>
      </c>
      <c r="J207" s="72"/>
    </row>
    <row r="208">
      <c r="A208" s="5" t="s">
        <v>867</v>
      </c>
      <c r="B208" s="15">
        <v>1.0</v>
      </c>
      <c r="C208" s="5" t="s">
        <v>869</v>
      </c>
      <c r="D208" s="18"/>
      <c r="E208" s="18"/>
      <c r="F208" s="18"/>
      <c r="G208" s="18"/>
      <c r="H208" s="72"/>
      <c r="I208" s="68" t="s">
        <v>870</v>
      </c>
      <c r="J208" s="72"/>
    </row>
    <row r="209">
      <c r="A209" s="5" t="s">
        <v>867</v>
      </c>
      <c r="B209" s="15">
        <v>2.0</v>
      </c>
      <c r="C209" s="5" t="s">
        <v>871</v>
      </c>
      <c r="D209" s="15" t="s">
        <v>354</v>
      </c>
      <c r="E209" s="18"/>
      <c r="F209" s="18"/>
      <c r="G209" s="18"/>
      <c r="H209" s="72"/>
      <c r="I209" s="68" t="s">
        <v>872</v>
      </c>
      <c r="J209" s="72"/>
    </row>
    <row r="210">
      <c r="A210" s="5" t="s">
        <v>867</v>
      </c>
      <c r="B210" s="15">
        <v>3.0</v>
      </c>
      <c r="C210" s="5" t="s">
        <v>873</v>
      </c>
      <c r="D210" s="18"/>
      <c r="E210" s="18"/>
      <c r="F210" s="18"/>
      <c r="G210" s="18"/>
      <c r="H210" s="72"/>
      <c r="I210" s="68" t="s">
        <v>874</v>
      </c>
      <c r="J210" s="72"/>
    </row>
    <row r="211">
      <c r="A211" s="5" t="s">
        <v>867</v>
      </c>
      <c r="B211" s="15">
        <v>4.0</v>
      </c>
      <c r="C211" s="5" t="s">
        <v>875</v>
      </c>
      <c r="D211" s="18"/>
      <c r="E211" s="18"/>
      <c r="F211" s="18"/>
      <c r="G211" s="18"/>
      <c r="H211" s="72"/>
      <c r="I211" s="68" t="s">
        <v>876</v>
      </c>
      <c r="J211" s="72"/>
    </row>
    <row r="212">
      <c r="A212" s="5" t="s">
        <v>867</v>
      </c>
      <c r="B212" s="15">
        <v>5.0</v>
      </c>
      <c r="C212" s="5" t="s">
        <v>877</v>
      </c>
      <c r="D212" s="18"/>
      <c r="E212" s="18"/>
      <c r="F212" s="18"/>
      <c r="G212" s="18"/>
      <c r="H212" s="72"/>
      <c r="I212" s="68" t="s">
        <v>878</v>
      </c>
      <c r="J212" s="72"/>
    </row>
    <row r="213">
      <c r="A213" s="5" t="s">
        <v>867</v>
      </c>
      <c r="B213" s="15">
        <v>6.0</v>
      </c>
      <c r="C213" s="5" t="s">
        <v>879</v>
      </c>
      <c r="D213" s="15" t="s">
        <v>354</v>
      </c>
      <c r="E213" s="18"/>
      <c r="F213" s="18"/>
      <c r="G213" s="18"/>
      <c r="H213" s="72"/>
      <c r="I213" s="68" t="s">
        <v>880</v>
      </c>
      <c r="J213" s="72"/>
    </row>
    <row r="214">
      <c r="A214" s="5" t="s">
        <v>867</v>
      </c>
      <c r="B214" s="15">
        <v>7.0</v>
      </c>
      <c r="C214" s="5" t="s">
        <v>881</v>
      </c>
      <c r="D214" s="18"/>
      <c r="E214" s="18"/>
      <c r="F214" s="18"/>
      <c r="G214" s="18"/>
      <c r="H214" s="72"/>
      <c r="I214" s="68" t="s">
        <v>882</v>
      </c>
      <c r="J214" s="72"/>
    </row>
    <row r="215">
      <c r="A215" s="5" t="s">
        <v>867</v>
      </c>
      <c r="B215" s="15">
        <v>8.0</v>
      </c>
      <c r="C215" s="5" t="s">
        <v>883</v>
      </c>
      <c r="D215" s="18"/>
      <c r="E215" s="18"/>
      <c r="F215" s="18"/>
      <c r="G215" s="18"/>
      <c r="H215" s="72"/>
      <c r="I215" s="68" t="s">
        <v>884</v>
      </c>
      <c r="J215" s="72"/>
    </row>
    <row r="216">
      <c r="A216" s="5" t="s">
        <v>867</v>
      </c>
      <c r="B216" s="15">
        <v>9.0</v>
      </c>
      <c r="C216" s="5" t="s">
        <v>885</v>
      </c>
      <c r="D216" s="18"/>
      <c r="E216" s="18"/>
      <c r="F216" s="18"/>
      <c r="G216" s="18"/>
      <c r="H216" s="72"/>
      <c r="I216" s="68" t="s">
        <v>886</v>
      </c>
      <c r="J216" s="72"/>
    </row>
    <row r="217">
      <c r="A217" s="5" t="s">
        <v>867</v>
      </c>
      <c r="B217" s="15">
        <v>10.0</v>
      </c>
      <c r="C217" s="5" t="s">
        <v>887</v>
      </c>
      <c r="D217" s="18"/>
      <c r="E217" s="18"/>
      <c r="F217" s="18"/>
      <c r="G217" s="18"/>
      <c r="H217" s="72"/>
      <c r="I217" s="68" t="s">
        <v>888</v>
      </c>
      <c r="J217" s="72"/>
    </row>
    <row r="218">
      <c r="A218" s="5" t="s">
        <v>867</v>
      </c>
      <c r="B218" s="15">
        <v>11.0</v>
      </c>
      <c r="C218" s="5" t="s">
        <v>889</v>
      </c>
      <c r="D218" s="18"/>
      <c r="E218" s="18"/>
      <c r="F218" s="18"/>
      <c r="G218" s="18"/>
      <c r="H218" s="72"/>
      <c r="I218" s="68" t="s">
        <v>890</v>
      </c>
      <c r="J218" s="72"/>
    </row>
    <row r="219">
      <c r="A219" s="5" t="s">
        <v>867</v>
      </c>
      <c r="B219" s="15">
        <v>12.0</v>
      </c>
      <c r="C219" s="5" t="s">
        <v>891</v>
      </c>
      <c r="D219" s="18"/>
      <c r="E219" s="18"/>
      <c r="F219" s="18"/>
      <c r="G219" s="18"/>
      <c r="H219" s="72"/>
      <c r="I219" s="68" t="s">
        <v>892</v>
      </c>
      <c r="J219" s="72"/>
    </row>
    <row r="220">
      <c r="A220" s="5" t="s">
        <v>867</v>
      </c>
      <c r="B220" s="15">
        <v>13.0</v>
      </c>
      <c r="C220" s="5" t="s">
        <v>893</v>
      </c>
      <c r="D220" s="18"/>
      <c r="E220" s="18"/>
      <c r="F220" s="18"/>
      <c r="G220" s="18"/>
      <c r="H220" s="72"/>
      <c r="I220" s="68" t="s">
        <v>894</v>
      </c>
      <c r="J220" s="72"/>
    </row>
    <row r="221">
      <c r="A221" s="5" t="s">
        <v>867</v>
      </c>
      <c r="B221" s="15">
        <v>14.0</v>
      </c>
      <c r="C221" s="5" t="s">
        <v>895</v>
      </c>
      <c r="D221" s="15" t="s">
        <v>181</v>
      </c>
      <c r="E221" s="18"/>
      <c r="F221" s="18"/>
      <c r="G221" s="18"/>
      <c r="H221" s="72"/>
      <c r="I221" s="68" t="s">
        <v>896</v>
      </c>
      <c r="J221" s="68" t="s">
        <v>284</v>
      </c>
    </row>
    <row r="222">
      <c r="A222" s="5" t="s">
        <v>867</v>
      </c>
      <c r="B222" s="15">
        <v>15.0</v>
      </c>
      <c r="C222" s="5" t="s">
        <v>897</v>
      </c>
      <c r="D222" s="15" t="s">
        <v>181</v>
      </c>
      <c r="E222" s="18"/>
      <c r="F222" s="18"/>
      <c r="G222" s="18"/>
      <c r="H222" s="72"/>
      <c r="I222" s="68" t="s">
        <v>898</v>
      </c>
      <c r="J222" s="72"/>
    </row>
    <row r="223">
      <c r="A223" s="5" t="s">
        <v>867</v>
      </c>
      <c r="B223" s="15">
        <v>16.0</v>
      </c>
      <c r="C223" s="5" t="s">
        <v>899</v>
      </c>
      <c r="D223" s="18"/>
      <c r="E223" s="18"/>
      <c r="F223" s="18"/>
      <c r="G223" s="18"/>
      <c r="H223" s="72"/>
      <c r="I223" s="68" t="s">
        <v>900</v>
      </c>
      <c r="J223" s="72"/>
    </row>
    <row r="224">
      <c r="A224" s="5" t="s">
        <v>867</v>
      </c>
      <c r="B224" s="15">
        <v>17.0</v>
      </c>
      <c r="C224" s="5" t="s">
        <v>901</v>
      </c>
      <c r="D224" s="18"/>
      <c r="E224" s="18"/>
      <c r="F224" s="18"/>
      <c r="G224" s="18"/>
      <c r="H224" s="72"/>
      <c r="I224" s="68" t="s">
        <v>902</v>
      </c>
      <c r="J224" s="72"/>
    </row>
    <row r="225">
      <c r="A225" s="5" t="s">
        <v>867</v>
      </c>
      <c r="B225" s="15">
        <v>18.0</v>
      </c>
      <c r="C225" s="5" t="s">
        <v>903</v>
      </c>
      <c r="D225" s="18"/>
      <c r="E225" s="18"/>
      <c r="F225" s="18"/>
      <c r="G225" s="18"/>
      <c r="H225" s="72"/>
      <c r="I225" s="68" t="s">
        <v>904</v>
      </c>
      <c r="J225" s="72"/>
    </row>
    <row r="226">
      <c r="A226" s="5" t="s">
        <v>905</v>
      </c>
      <c r="B226" s="15" t="s">
        <v>244</v>
      </c>
      <c r="C226" s="5" t="s">
        <v>244</v>
      </c>
      <c r="D226" s="18"/>
      <c r="E226" s="18"/>
      <c r="F226" s="18"/>
      <c r="G226" s="18"/>
      <c r="H226" s="72"/>
      <c r="I226" s="68" t="s">
        <v>906</v>
      </c>
      <c r="J226" s="72"/>
    </row>
    <row r="227">
      <c r="A227" s="5" t="s">
        <v>905</v>
      </c>
      <c r="B227" s="15">
        <v>10.0</v>
      </c>
      <c r="C227" s="5" t="s">
        <v>907</v>
      </c>
      <c r="D227" s="18"/>
      <c r="E227" s="18"/>
      <c r="F227" s="18"/>
      <c r="G227" s="18"/>
      <c r="H227" s="72"/>
      <c r="I227" s="68" t="s">
        <v>908</v>
      </c>
      <c r="J227" s="68" t="s">
        <v>284</v>
      </c>
    </row>
    <row r="228">
      <c r="A228" s="5" t="s">
        <v>905</v>
      </c>
      <c r="B228" s="15">
        <v>11.0</v>
      </c>
      <c r="C228" s="5" t="s">
        <v>909</v>
      </c>
      <c r="D228" s="18"/>
      <c r="E228" s="18"/>
      <c r="F228" s="18"/>
      <c r="G228" s="18"/>
      <c r="H228" s="72"/>
      <c r="I228" s="68" t="s">
        <v>910</v>
      </c>
      <c r="J228" s="72"/>
    </row>
    <row r="229">
      <c r="A229" s="5" t="s">
        <v>905</v>
      </c>
      <c r="B229" s="15">
        <v>12.0</v>
      </c>
      <c r="C229" s="5" t="s">
        <v>911</v>
      </c>
      <c r="D229" s="18"/>
      <c r="E229" s="18"/>
      <c r="F229" s="18"/>
      <c r="G229" s="18"/>
      <c r="H229" s="72"/>
      <c r="I229" s="68" t="s">
        <v>912</v>
      </c>
      <c r="J229" s="72"/>
    </row>
    <row r="230">
      <c r="A230" s="5" t="s">
        <v>905</v>
      </c>
      <c r="B230" s="15">
        <v>13.0</v>
      </c>
      <c r="C230" s="5" t="s">
        <v>913</v>
      </c>
      <c r="D230" s="18"/>
      <c r="E230" s="18"/>
      <c r="F230" s="18"/>
      <c r="G230" s="18"/>
      <c r="H230" s="72"/>
      <c r="I230" s="68" t="s">
        <v>914</v>
      </c>
      <c r="J230" s="72"/>
    </row>
    <row r="231">
      <c r="A231" s="5" t="s">
        <v>905</v>
      </c>
      <c r="B231" s="15">
        <v>14.0</v>
      </c>
      <c r="C231" s="5" t="s">
        <v>915</v>
      </c>
      <c r="D231" s="15" t="s">
        <v>916</v>
      </c>
      <c r="E231" s="18"/>
      <c r="F231" s="18"/>
      <c r="G231" s="18"/>
      <c r="H231" s="72"/>
      <c r="I231" s="68" t="s">
        <v>917</v>
      </c>
      <c r="J231" s="72"/>
    </row>
    <row r="232">
      <c r="A232" s="5" t="s">
        <v>905</v>
      </c>
      <c r="B232" s="15">
        <v>15.0</v>
      </c>
      <c r="C232" s="5" t="s">
        <v>918</v>
      </c>
      <c r="D232" s="18"/>
      <c r="E232" s="18"/>
      <c r="F232" s="18"/>
      <c r="G232" s="18"/>
      <c r="H232" s="72"/>
      <c r="I232" s="68" t="s">
        <v>919</v>
      </c>
      <c r="J232" s="72"/>
    </row>
    <row r="233">
      <c r="A233" s="5" t="s">
        <v>905</v>
      </c>
      <c r="B233" s="15">
        <v>16.0</v>
      </c>
      <c r="C233" s="5" t="s">
        <v>920</v>
      </c>
      <c r="D233" s="18"/>
      <c r="E233" s="18"/>
      <c r="F233" s="18"/>
      <c r="G233" s="18"/>
      <c r="H233" s="72"/>
      <c r="I233" s="68" t="s">
        <v>921</v>
      </c>
      <c r="J233" s="72"/>
    </row>
    <row r="234">
      <c r="A234" s="5" t="s">
        <v>905</v>
      </c>
      <c r="B234" s="15">
        <v>17.0</v>
      </c>
      <c r="C234" s="5" t="s">
        <v>922</v>
      </c>
      <c r="D234" s="18"/>
      <c r="E234" s="18"/>
      <c r="F234" s="18"/>
      <c r="G234" s="18"/>
      <c r="H234" s="72"/>
      <c r="I234" s="68" t="s">
        <v>923</v>
      </c>
      <c r="J234" s="72"/>
    </row>
    <row r="235">
      <c r="A235" s="5" t="s">
        <v>905</v>
      </c>
      <c r="B235" s="15">
        <v>18.0</v>
      </c>
      <c r="C235" s="5" t="s">
        <v>924</v>
      </c>
      <c r="D235" s="18"/>
      <c r="E235" s="18"/>
      <c r="F235" s="18"/>
      <c r="G235" s="18"/>
      <c r="H235" s="72"/>
      <c r="I235" s="68" t="s">
        <v>925</v>
      </c>
      <c r="J235" s="72"/>
    </row>
    <row r="236">
      <c r="A236" s="5" t="s">
        <v>905</v>
      </c>
      <c r="B236" s="15">
        <v>19.0</v>
      </c>
      <c r="C236" s="5" t="s">
        <v>926</v>
      </c>
      <c r="D236" s="18"/>
      <c r="E236" s="18"/>
      <c r="F236" s="18"/>
      <c r="G236" s="18"/>
      <c r="H236" s="72"/>
      <c r="I236" s="68" t="s">
        <v>927</v>
      </c>
      <c r="J236" s="72"/>
    </row>
    <row r="237">
      <c r="A237" s="5" t="s">
        <v>905</v>
      </c>
      <c r="B237" s="15">
        <v>20.0</v>
      </c>
      <c r="C237" s="5" t="s">
        <v>928</v>
      </c>
      <c r="D237" s="18"/>
      <c r="E237" s="18"/>
      <c r="F237" s="18"/>
      <c r="G237" s="18"/>
      <c r="H237" s="72"/>
      <c r="I237" s="68" t="s">
        <v>929</v>
      </c>
      <c r="J237" s="72"/>
    </row>
    <row r="238">
      <c r="A238" s="5" t="s">
        <v>905</v>
      </c>
      <c r="B238" s="15">
        <v>21.0</v>
      </c>
      <c r="C238" s="5" t="s">
        <v>930</v>
      </c>
      <c r="D238" s="18"/>
      <c r="E238" s="18"/>
      <c r="F238" s="18"/>
      <c r="G238" s="18"/>
      <c r="H238" s="72"/>
      <c r="I238" s="68" t="s">
        <v>931</v>
      </c>
      <c r="J238" s="72"/>
    </row>
    <row r="239">
      <c r="B239" s="18"/>
      <c r="D239" s="18"/>
      <c r="E239" s="18"/>
      <c r="F239" s="18"/>
      <c r="G239" s="18"/>
      <c r="H239" s="72"/>
      <c r="I239" s="72"/>
    </row>
    <row r="240">
      <c r="B240" s="18"/>
      <c r="D240" s="18"/>
      <c r="E240" s="18"/>
      <c r="F240" s="18"/>
      <c r="G240" s="18"/>
      <c r="H240" s="72"/>
      <c r="I240" s="72"/>
    </row>
    <row r="241">
      <c r="B241" s="18"/>
      <c r="D241" s="18"/>
      <c r="E241" s="18"/>
      <c r="F241" s="18"/>
      <c r="G241" s="18"/>
      <c r="H241" s="72"/>
      <c r="I241" s="72"/>
    </row>
    <row r="242">
      <c r="B242" s="18"/>
      <c r="D242" s="18"/>
      <c r="E242" s="18"/>
      <c r="F242" s="18"/>
      <c r="G242" s="18"/>
      <c r="H242" s="72"/>
      <c r="I242" s="72"/>
    </row>
    <row r="243">
      <c r="B243" s="18"/>
      <c r="D243" s="18"/>
      <c r="E243" s="18"/>
      <c r="F243" s="18"/>
      <c r="G243" s="18"/>
      <c r="H243" s="72"/>
      <c r="I243" s="72"/>
    </row>
    <row r="244">
      <c r="B244" s="18"/>
      <c r="D244" s="18"/>
      <c r="E244" s="18"/>
      <c r="F244" s="18"/>
      <c r="G244" s="18"/>
      <c r="H244" s="72"/>
      <c r="I244" s="72"/>
    </row>
    <row r="245">
      <c r="B245" s="18"/>
      <c r="D245" s="18"/>
      <c r="E245" s="18"/>
      <c r="F245" s="18"/>
      <c r="G245" s="18"/>
      <c r="H245" s="72"/>
      <c r="I245" s="72"/>
    </row>
    <row r="246">
      <c r="B246" s="18"/>
      <c r="D246" s="18"/>
      <c r="E246" s="18"/>
      <c r="F246" s="18"/>
      <c r="G246" s="18"/>
      <c r="H246" s="72"/>
      <c r="I246" s="72"/>
    </row>
    <row r="247">
      <c r="B247" s="18"/>
      <c r="D247" s="18"/>
      <c r="E247" s="18"/>
      <c r="F247" s="18"/>
      <c r="G247" s="18"/>
      <c r="H247" s="72"/>
      <c r="I247" s="72"/>
    </row>
    <row r="248">
      <c r="B248" s="18"/>
      <c r="D248" s="18"/>
      <c r="E248" s="18"/>
      <c r="F248" s="18"/>
      <c r="G248" s="18"/>
      <c r="H248" s="72"/>
      <c r="I248" s="72"/>
    </row>
    <row r="249">
      <c r="B249" s="18"/>
      <c r="D249" s="18"/>
      <c r="E249" s="18"/>
      <c r="F249" s="18"/>
      <c r="G249" s="18"/>
      <c r="H249" s="72"/>
      <c r="I249" s="72"/>
    </row>
    <row r="250">
      <c r="B250" s="18"/>
      <c r="D250" s="18"/>
      <c r="E250" s="18"/>
      <c r="F250" s="18"/>
      <c r="G250" s="18"/>
      <c r="H250" s="72"/>
      <c r="I250" s="72"/>
    </row>
    <row r="251">
      <c r="B251" s="18"/>
      <c r="D251" s="18"/>
      <c r="E251" s="18"/>
      <c r="F251" s="18"/>
      <c r="G251" s="18"/>
      <c r="H251" s="72"/>
      <c r="I251" s="72"/>
    </row>
    <row r="252">
      <c r="B252" s="18"/>
      <c r="D252" s="18"/>
      <c r="E252" s="18"/>
      <c r="F252" s="18"/>
      <c r="G252" s="18"/>
      <c r="H252" s="72"/>
      <c r="I252" s="72"/>
    </row>
    <row r="253">
      <c r="B253" s="18"/>
      <c r="D253" s="18"/>
      <c r="E253" s="18"/>
      <c r="F253" s="18"/>
      <c r="G253" s="18"/>
      <c r="H253" s="72"/>
      <c r="I253" s="72"/>
    </row>
    <row r="254">
      <c r="B254" s="18"/>
      <c r="D254" s="18"/>
      <c r="E254" s="18"/>
      <c r="F254" s="18"/>
      <c r="G254" s="18"/>
      <c r="H254" s="72"/>
      <c r="I254" s="72"/>
    </row>
    <row r="255">
      <c r="B255" s="18"/>
      <c r="D255" s="18"/>
      <c r="E255" s="18"/>
      <c r="F255" s="18"/>
      <c r="G255" s="18"/>
      <c r="H255" s="72"/>
      <c r="I255" s="72"/>
    </row>
    <row r="256">
      <c r="B256" s="18"/>
      <c r="D256" s="18"/>
      <c r="E256" s="18"/>
      <c r="F256" s="18"/>
      <c r="G256" s="18"/>
      <c r="H256" s="72"/>
      <c r="I256" s="72"/>
    </row>
    <row r="257">
      <c r="B257" s="18"/>
      <c r="D257" s="18"/>
      <c r="E257" s="18"/>
      <c r="F257" s="18"/>
      <c r="G257" s="18"/>
      <c r="H257" s="72"/>
      <c r="I257" s="72"/>
    </row>
    <row r="258">
      <c r="B258" s="18"/>
      <c r="D258" s="18"/>
      <c r="E258" s="18"/>
      <c r="F258" s="18"/>
      <c r="G258" s="18"/>
      <c r="H258" s="72"/>
      <c r="I258" s="72"/>
    </row>
    <row r="259">
      <c r="B259" s="18"/>
      <c r="D259" s="18"/>
      <c r="E259" s="18"/>
      <c r="F259" s="18"/>
      <c r="G259" s="18"/>
      <c r="H259" s="72"/>
      <c r="I259" s="72"/>
    </row>
    <row r="260">
      <c r="B260" s="18"/>
      <c r="D260" s="18"/>
      <c r="E260" s="18"/>
      <c r="F260" s="18"/>
      <c r="G260" s="18"/>
      <c r="H260" s="72"/>
      <c r="I260" s="72"/>
    </row>
    <row r="261">
      <c r="B261" s="18"/>
      <c r="D261" s="18"/>
      <c r="E261" s="18"/>
      <c r="F261" s="18"/>
      <c r="G261" s="18"/>
      <c r="H261" s="72"/>
      <c r="I261" s="72"/>
    </row>
    <row r="262">
      <c r="B262" s="18"/>
      <c r="D262" s="18"/>
      <c r="E262" s="18"/>
      <c r="F262" s="18"/>
      <c r="G262" s="18"/>
      <c r="H262" s="72"/>
      <c r="I262" s="72"/>
    </row>
    <row r="263">
      <c r="B263" s="18"/>
      <c r="D263" s="18"/>
      <c r="E263" s="18"/>
      <c r="F263" s="18"/>
      <c r="G263" s="18"/>
      <c r="H263" s="72"/>
      <c r="I263" s="72"/>
    </row>
    <row r="264">
      <c r="B264" s="18"/>
      <c r="D264" s="18"/>
      <c r="E264" s="18"/>
      <c r="F264" s="18"/>
      <c r="G264" s="18"/>
      <c r="H264" s="72"/>
      <c r="I264" s="72"/>
    </row>
    <row r="265">
      <c r="B265" s="18"/>
      <c r="D265" s="18"/>
      <c r="E265" s="18"/>
      <c r="F265" s="18"/>
      <c r="G265" s="18"/>
      <c r="H265" s="72"/>
      <c r="I265" s="72"/>
    </row>
    <row r="266">
      <c r="B266" s="18"/>
      <c r="D266" s="18"/>
      <c r="E266" s="18"/>
      <c r="F266" s="18"/>
      <c r="G266" s="18"/>
      <c r="H266" s="72"/>
      <c r="I266" s="72"/>
    </row>
    <row r="267">
      <c r="B267" s="18"/>
      <c r="D267" s="18"/>
      <c r="E267" s="18"/>
      <c r="F267" s="18"/>
      <c r="G267" s="18"/>
      <c r="H267" s="72"/>
      <c r="I267" s="72"/>
    </row>
    <row r="268">
      <c r="B268" s="18"/>
      <c r="D268" s="18"/>
      <c r="E268" s="18"/>
      <c r="F268" s="18"/>
      <c r="G268" s="18"/>
      <c r="H268" s="72"/>
      <c r="I268" s="72"/>
    </row>
    <row r="269">
      <c r="B269" s="18"/>
      <c r="D269" s="18"/>
      <c r="E269" s="18"/>
      <c r="F269" s="18"/>
      <c r="G269" s="18"/>
      <c r="H269" s="72"/>
      <c r="I269" s="72"/>
    </row>
    <row r="270">
      <c r="B270" s="18"/>
      <c r="D270" s="18"/>
      <c r="E270" s="18"/>
      <c r="F270" s="18"/>
      <c r="G270" s="18"/>
      <c r="H270" s="72"/>
      <c r="I270" s="72"/>
    </row>
    <row r="271">
      <c r="B271" s="18"/>
      <c r="D271" s="18"/>
      <c r="E271" s="18"/>
      <c r="F271" s="18"/>
      <c r="G271" s="18"/>
      <c r="H271" s="72"/>
      <c r="I271" s="72"/>
    </row>
    <row r="272">
      <c r="B272" s="18"/>
      <c r="D272" s="18"/>
      <c r="E272" s="18"/>
      <c r="F272" s="18"/>
      <c r="G272" s="18"/>
      <c r="H272" s="72"/>
      <c r="I272" s="72"/>
    </row>
    <row r="273">
      <c r="B273" s="18"/>
      <c r="D273" s="18"/>
      <c r="E273" s="18"/>
      <c r="F273" s="18"/>
      <c r="G273" s="18"/>
      <c r="H273" s="72"/>
      <c r="I273" s="72"/>
    </row>
    <row r="274">
      <c r="B274" s="18"/>
      <c r="D274" s="18"/>
      <c r="E274" s="18"/>
      <c r="F274" s="18"/>
      <c r="G274" s="18"/>
      <c r="H274" s="72"/>
      <c r="I274" s="72"/>
    </row>
    <row r="275">
      <c r="B275" s="18"/>
      <c r="D275" s="18"/>
      <c r="E275" s="18"/>
      <c r="F275" s="18"/>
      <c r="G275" s="18"/>
      <c r="H275" s="72"/>
      <c r="I275" s="72"/>
    </row>
    <row r="276">
      <c r="B276" s="18"/>
      <c r="D276" s="18"/>
      <c r="E276" s="18"/>
      <c r="F276" s="18"/>
      <c r="G276" s="18"/>
      <c r="H276" s="72"/>
      <c r="I276" s="72"/>
    </row>
    <row r="277">
      <c r="B277" s="18"/>
      <c r="D277" s="18"/>
      <c r="E277" s="18"/>
      <c r="F277" s="18"/>
      <c r="G277" s="18"/>
      <c r="H277" s="72"/>
      <c r="I277" s="72"/>
    </row>
    <row r="278">
      <c r="B278" s="18"/>
      <c r="D278" s="18"/>
      <c r="E278" s="18"/>
      <c r="F278" s="18"/>
      <c r="G278" s="18"/>
      <c r="H278" s="72"/>
      <c r="I278" s="72"/>
    </row>
    <row r="279">
      <c r="B279" s="18"/>
      <c r="D279" s="18"/>
      <c r="E279" s="18"/>
      <c r="F279" s="18"/>
      <c r="G279" s="18"/>
      <c r="H279" s="72"/>
      <c r="I279" s="72"/>
    </row>
    <row r="280">
      <c r="B280" s="18"/>
      <c r="D280" s="18"/>
      <c r="E280" s="18"/>
      <c r="F280" s="18"/>
      <c r="G280" s="18"/>
      <c r="H280" s="72"/>
      <c r="I280" s="72"/>
    </row>
    <row r="281">
      <c r="B281" s="18"/>
      <c r="D281" s="18"/>
      <c r="E281" s="18"/>
      <c r="F281" s="18"/>
      <c r="G281" s="18"/>
      <c r="H281" s="72"/>
      <c r="I281" s="72"/>
    </row>
    <row r="282">
      <c r="B282" s="18"/>
      <c r="D282" s="18"/>
      <c r="E282" s="18"/>
      <c r="F282" s="18"/>
      <c r="G282" s="18"/>
      <c r="H282" s="72"/>
      <c r="I282" s="72"/>
    </row>
    <row r="283">
      <c r="B283" s="18"/>
      <c r="D283" s="18"/>
      <c r="E283" s="18"/>
      <c r="F283" s="18"/>
      <c r="G283" s="18"/>
      <c r="H283" s="72"/>
      <c r="I283" s="72"/>
    </row>
    <row r="284">
      <c r="B284" s="18"/>
      <c r="D284" s="18"/>
      <c r="E284" s="18"/>
      <c r="F284" s="18"/>
      <c r="G284" s="18"/>
      <c r="H284" s="72"/>
      <c r="I284" s="72"/>
    </row>
    <row r="285">
      <c r="B285" s="18"/>
      <c r="D285" s="18"/>
      <c r="E285" s="18"/>
      <c r="F285" s="18"/>
      <c r="G285" s="18"/>
      <c r="H285" s="72"/>
      <c r="I285" s="72"/>
    </row>
    <row r="286">
      <c r="B286" s="18"/>
      <c r="D286" s="18"/>
      <c r="E286" s="18"/>
      <c r="F286" s="18"/>
      <c r="G286" s="18"/>
      <c r="H286" s="72"/>
      <c r="I286" s="72"/>
    </row>
    <row r="287">
      <c r="B287" s="18"/>
      <c r="D287" s="18"/>
      <c r="E287" s="18"/>
      <c r="F287" s="18"/>
      <c r="G287" s="18"/>
      <c r="H287" s="72"/>
      <c r="I287" s="72"/>
    </row>
    <row r="288">
      <c r="B288" s="18"/>
      <c r="D288" s="18"/>
      <c r="E288" s="18"/>
      <c r="F288" s="18"/>
      <c r="G288" s="18"/>
      <c r="H288" s="72"/>
      <c r="I288" s="72"/>
    </row>
    <row r="289">
      <c r="B289" s="18"/>
      <c r="D289" s="18"/>
      <c r="E289" s="18"/>
      <c r="F289" s="18"/>
      <c r="G289" s="18"/>
      <c r="H289" s="72"/>
      <c r="I289" s="72"/>
    </row>
    <row r="290">
      <c r="B290" s="18"/>
      <c r="D290" s="18"/>
      <c r="E290" s="18"/>
      <c r="F290" s="18"/>
      <c r="G290" s="18"/>
      <c r="H290" s="72"/>
      <c r="I290" s="72"/>
    </row>
    <row r="291">
      <c r="B291" s="18"/>
      <c r="D291" s="18"/>
      <c r="E291" s="18"/>
      <c r="F291" s="18"/>
      <c r="G291" s="18"/>
      <c r="H291" s="72"/>
      <c r="I291" s="72"/>
    </row>
    <row r="292">
      <c r="B292" s="18"/>
      <c r="D292" s="18"/>
      <c r="E292" s="18"/>
      <c r="F292" s="18"/>
      <c r="G292" s="18"/>
      <c r="H292" s="72"/>
      <c r="I292" s="72"/>
    </row>
    <row r="293">
      <c r="B293" s="18"/>
      <c r="D293" s="18"/>
      <c r="E293" s="18"/>
      <c r="F293" s="18"/>
      <c r="G293" s="18"/>
      <c r="H293" s="72"/>
      <c r="I293" s="72"/>
    </row>
    <row r="294">
      <c r="B294" s="18"/>
      <c r="D294" s="18"/>
      <c r="E294" s="18"/>
      <c r="F294" s="18"/>
      <c r="G294" s="18"/>
      <c r="H294" s="72"/>
      <c r="I294" s="72"/>
    </row>
    <row r="295">
      <c r="B295" s="18"/>
      <c r="D295" s="18"/>
      <c r="E295" s="18"/>
      <c r="F295" s="18"/>
      <c r="G295" s="18"/>
      <c r="H295" s="72"/>
      <c r="I295" s="72"/>
    </row>
    <row r="296">
      <c r="B296" s="18"/>
      <c r="D296" s="18"/>
      <c r="E296" s="18"/>
      <c r="F296" s="18"/>
      <c r="G296" s="18"/>
      <c r="H296" s="72"/>
      <c r="I296" s="72"/>
    </row>
    <row r="297">
      <c r="B297" s="18"/>
      <c r="D297" s="18"/>
      <c r="E297" s="18"/>
      <c r="F297" s="18"/>
      <c r="G297" s="18"/>
      <c r="H297" s="72"/>
      <c r="I297" s="72"/>
    </row>
    <row r="298">
      <c r="B298" s="18"/>
      <c r="D298" s="18"/>
      <c r="E298" s="18"/>
      <c r="F298" s="18"/>
      <c r="G298" s="18"/>
      <c r="H298" s="72"/>
      <c r="I298" s="72"/>
    </row>
    <row r="299">
      <c r="B299" s="18"/>
      <c r="D299" s="18"/>
      <c r="E299" s="18"/>
      <c r="F299" s="18"/>
      <c r="G299" s="18"/>
      <c r="H299" s="72"/>
      <c r="I299" s="72"/>
    </row>
    <row r="300">
      <c r="B300" s="18"/>
      <c r="D300" s="18"/>
      <c r="E300" s="18"/>
      <c r="F300" s="18"/>
      <c r="G300" s="18"/>
      <c r="H300" s="72"/>
      <c r="I300" s="72"/>
    </row>
    <row r="301">
      <c r="B301" s="18"/>
      <c r="D301" s="18"/>
      <c r="E301" s="18"/>
      <c r="F301" s="18"/>
      <c r="G301" s="18"/>
      <c r="H301" s="72"/>
      <c r="I301" s="72"/>
    </row>
    <row r="302">
      <c r="B302" s="18"/>
      <c r="D302" s="18"/>
      <c r="E302" s="18"/>
      <c r="F302" s="18"/>
      <c r="G302" s="18"/>
      <c r="H302" s="72"/>
      <c r="I302" s="72"/>
    </row>
    <row r="303">
      <c r="B303" s="18"/>
      <c r="D303" s="18"/>
      <c r="E303" s="18"/>
      <c r="F303" s="18"/>
      <c r="G303" s="18"/>
      <c r="H303" s="72"/>
      <c r="I303" s="72"/>
    </row>
    <row r="304">
      <c r="B304" s="18"/>
      <c r="D304" s="18"/>
      <c r="E304" s="18"/>
      <c r="F304" s="18"/>
      <c r="G304" s="18"/>
      <c r="H304" s="72"/>
      <c r="I304" s="72"/>
    </row>
    <row r="305">
      <c r="B305" s="18"/>
      <c r="D305" s="18"/>
      <c r="E305" s="18"/>
      <c r="F305" s="18"/>
      <c r="G305" s="18"/>
      <c r="H305" s="72"/>
      <c r="I305" s="72"/>
    </row>
    <row r="306">
      <c r="B306" s="18"/>
      <c r="D306" s="18"/>
      <c r="E306" s="18"/>
      <c r="F306" s="18"/>
      <c r="G306" s="18"/>
      <c r="H306" s="72"/>
      <c r="I306" s="72"/>
    </row>
    <row r="307">
      <c r="B307" s="18"/>
      <c r="D307" s="18"/>
      <c r="E307" s="18"/>
      <c r="F307" s="18"/>
      <c r="G307" s="18"/>
      <c r="H307" s="72"/>
      <c r="I307" s="72"/>
    </row>
    <row r="308">
      <c r="B308" s="18"/>
      <c r="D308" s="18"/>
      <c r="E308" s="18"/>
      <c r="F308" s="18"/>
      <c r="G308" s="18"/>
      <c r="H308" s="72"/>
      <c r="I308" s="72"/>
    </row>
    <row r="309">
      <c r="B309" s="18"/>
      <c r="D309" s="18"/>
      <c r="E309" s="18"/>
      <c r="F309" s="18"/>
      <c r="G309" s="18"/>
      <c r="H309" s="72"/>
      <c r="I309" s="72"/>
    </row>
    <row r="310">
      <c r="B310" s="18"/>
      <c r="D310" s="18"/>
      <c r="E310" s="18"/>
      <c r="F310" s="18"/>
      <c r="G310" s="18"/>
      <c r="H310" s="72"/>
      <c r="I310" s="72"/>
    </row>
    <row r="311">
      <c r="B311" s="18"/>
      <c r="D311" s="18"/>
      <c r="E311" s="18"/>
      <c r="F311" s="18"/>
      <c r="G311" s="18"/>
      <c r="H311" s="72"/>
      <c r="I311" s="72"/>
    </row>
    <row r="312">
      <c r="B312" s="18"/>
      <c r="D312" s="18"/>
      <c r="E312" s="18"/>
      <c r="F312" s="18"/>
      <c r="G312" s="18"/>
      <c r="H312" s="72"/>
      <c r="I312" s="72"/>
    </row>
    <row r="313">
      <c r="B313" s="18"/>
      <c r="D313" s="18"/>
      <c r="E313" s="18"/>
      <c r="F313" s="18"/>
      <c r="G313" s="18"/>
      <c r="H313" s="72"/>
      <c r="I313" s="72"/>
    </row>
    <row r="314">
      <c r="B314" s="18"/>
      <c r="D314" s="18"/>
      <c r="E314" s="18"/>
      <c r="F314" s="18"/>
      <c r="G314" s="18"/>
      <c r="H314" s="72"/>
      <c r="I314" s="72"/>
    </row>
    <row r="315">
      <c r="B315" s="18"/>
      <c r="D315" s="18"/>
      <c r="E315" s="18"/>
      <c r="F315" s="18"/>
      <c r="G315" s="18"/>
      <c r="H315" s="72"/>
      <c r="I315" s="72"/>
    </row>
    <row r="316">
      <c r="B316" s="18"/>
      <c r="D316" s="18"/>
      <c r="E316" s="18"/>
      <c r="F316" s="18"/>
      <c r="G316" s="18"/>
      <c r="H316" s="72"/>
      <c r="I316" s="72"/>
    </row>
    <row r="317">
      <c r="B317" s="18"/>
      <c r="D317" s="18"/>
      <c r="E317" s="18"/>
      <c r="F317" s="18"/>
      <c r="G317" s="18"/>
      <c r="H317" s="72"/>
      <c r="I317" s="72"/>
    </row>
    <row r="318">
      <c r="B318" s="18"/>
      <c r="D318" s="18"/>
      <c r="E318" s="18"/>
      <c r="F318" s="18"/>
      <c r="G318" s="18"/>
      <c r="H318" s="72"/>
      <c r="I318" s="72"/>
    </row>
    <row r="319">
      <c r="B319" s="18"/>
      <c r="D319" s="18"/>
      <c r="E319" s="18"/>
      <c r="F319" s="18"/>
      <c r="G319" s="18"/>
      <c r="H319" s="72"/>
      <c r="I319" s="72"/>
    </row>
    <row r="320">
      <c r="B320" s="18"/>
      <c r="D320" s="18"/>
      <c r="E320" s="18"/>
      <c r="F320" s="18"/>
      <c r="G320" s="18"/>
      <c r="H320" s="72"/>
      <c r="I320" s="72"/>
    </row>
    <row r="321">
      <c r="B321" s="18"/>
      <c r="D321" s="18"/>
      <c r="E321" s="18"/>
      <c r="F321" s="18"/>
      <c r="G321" s="18"/>
      <c r="H321" s="72"/>
      <c r="I321" s="72"/>
    </row>
    <row r="322">
      <c r="B322" s="18"/>
      <c r="D322" s="18"/>
      <c r="E322" s="18"/>
      <c r="F322" s="18"/>
      <c r="G322" s="18"/>
      <c r="H322" s="72"/>
      <c r="I322" s="72"/>
    </row>
    <row r="323">
      <c r="B323" s="18"/>
      <c r="D323" s="18"/>
      <c r="E323" s="18"/>
      <c r="F323" s="18"/>
      <c r="G323" s="18"/>
      <c r="H323" s="72"/>
      <c r="I323" s="72"/>
    </row>
    <row r="324">
      <c r="B324" s="18"/>
      <c r="D324" s="18"/>
      <c r="E324" s="18"/>
      <c r="F324" s="18"/>
      <c r="G324" s="18"/>
      <c r="H324" s="72"/>
      <c r="I324" s="72"/>
    </row>
    <row r="325">
      <c r="B325" s="18"/>
      <c r="D325" s="18"/>
      <c r="E325" s="18"/>
      <c r="F325" s="18"/>
      <c r="G325" s="18"/>
      <c r="H325" s="72"/>
      <c r="I325" s="72"/>
    </row>
    <row r="326">
      <c r="B326" s="18"/>
      <c r="D326" s="18"/>
      <c r="E326" s="18"/>
      <c r="F326" s="18"/>
      <c r="G326" s="18"/>
      <c r="H326" s="72"/>
      <c r="I326" s="72"/>
    </row>
    <row r="327">
      <c r="B327" s="18"/>
      <c r="D327" s="18"/>
      <c r="E327" s="18"/>
      <c r="F327" s="18"/>
      <c r="G327" s="18"/>
      <c r="H327" s="72"/>
      <c r="I327" s="72"/>
    </row>
    <row r="328">
      <c r="B328" s="18"/>
      <c r="D328" s="18"/>
      <c r="E328" s="18"/>
      <c r="F328" s="18"/>
      <c r="G328" s="18"/>
      <c r="H328" s="72"/>
      <c r="I328" s="72"/>
    </row>
    <row r="329">
      <c r="B329" s="18"/>
      <c r="D329" s="18"/>
      <c r="E329" s="18"/>
      <c r="F329" s="18"/>
      <c r="G329" s="18"/>
      <c r="H329" s="72"/>
      <c r="I329" s="72"/>
    </row>
    <row r="330">
      <c r="B330" s="18"/>
      <c r="D330" s="18"/>
      <c r="E330" s="18"/>
      <c r="F330" s="18"/>
      <c r="G330" s="18"/>
      <c r="H330" s="72"/>
      <c r="I330" s="72"/>
    </row>
    <row r="331">
      <c r="B331" s="18"/>
      <c r="D331" s="18"/>
      <c r="E331" s="18"/>
      <c r="F331" s="18"/>
      <c r="G331" s="18"/>
      <c r="H331" s="72"/>
      <c r="I331" s="72"/>
    </row>
    <row r="332">
      <c r="B332" s="18"/>
      <c r="D332" s="18"/>
      <c r="E332" s="18"/>
      <c r="F332" s="18"/>
      <c r="G332" s="18"/>
      <c r="H332" s="72"/>
      <c r="I332" s="72"/>
    </row>
    <row r="333">
      <c r="B333" s="18"/>
      <c r="D333" s="18"/>
      <c r="E333" s="18"/>
      <c r="F333" s="18"/>
      <c r="G333" s="18"/>
      <c r="H333" s="72"/>
      <c r="I333" s="72"/>
    </row>
    <row r="334">
      <c r="B334" s="18"/>
      <c r="D334" s="18"/>
      <c r="E334" s="18"/>
      <c r="F334" s="18"/>
      <c r="G334" s="18"/>
      <c r="H334" s="72"/>
      <c r="I334" s="72"/>
    </row>
    <row r="335">
      <c r="B335" s="18"/>
      <c r="D335" s="18"/>
      <c r="E335" s="18"/>
      <c r="F335" s="18"/>
      <c r="G335" s="18"/>
      <c r="H335" s="72"/>
      <c r="I335" s="72"/>
    </row>
    <row r="336">
      <c r="B336" s="18"/>
      <c r="D336" s="18"/>
      <c r="E336" s="18"/>
      <c r="F336" s="18"/>
      <c r="G336" s="18"/>
      <c r="H336" s="72"/>
      <c r="I336" s="72"/>
    </row>
    <row r="337">
      <c r="B337" s="18"/>
      <c r="D337" s="18"/>
      <c r="E337" s="18"/>
      <c r="F337" s="18"/>
      <c r="G337" s="18"/>
      <c r="H337" s="72"/>
      <c r="I337" s="72"/>
    </row>
    <row r="338">
      <c r="B338" s="18"/>
      <c r="D338" s="18"/>
      <c r="E338" s="18"/>
      <c r="F338" s="18"/>
      <c r="G338" s="18"/>
      <c r="H338" s="72"/>
      <c r="I338" s="72"/>
    </row>
    <row r="339">
      <c r="B339" s="18"/>
      <c r="D339" s="18"/>
      <c r="E339" s="18"/>
      <c r="F339" s="18"/>
      <c r="G339" s="18"/>
      <c r="H339" s="72"/>
      <c r="I339" s="72"/>
    </row>
    <row r="340">
      <c r="B340" s="18"/>
      <c r="D340" s="18"/>
      <c r="E340" s="18"/>
      <c r="F340" s="18"/>
      <c r="G340" s="18"/>
      <c r="H340" s="72"/>
      <c r="I340" s="72"/>
    </row>
    <row r="341">
      <c r="B341" s="18"/>
      <c r="D341" s="18"/>
      <c r="E341" s="18"/>
      <c r="F341" s="18"/>
      <c r="G341" s="18"/>
      <c r="H341" s="72"/>
      <c r="I341" s="72"/>
    </row>
    <row r="342">
      <c r="B342" s="18"/>
      <c r="D342" s="18"/>
      <c r="E342" s="18"/>
      <c r="F342" s="18"/>
      <c r="G342" s="18"/>
      <c r="H342" s="72"/>
      <c r="I342" s="72"/>
    </row>
    <row r="343">
      <c r="B343" s="18"/>
      <c r="D343" s="18"/>
      <c r="E343" s="18"/>
      <c r="F343" s="18"/>
      <c r="G343" s="18"/>
      <c r="H343" s="72"/>
      <c r="I343" s="72"/>
    </row>
    <row r="344">
      <c r="B344" s="18"/>
      <c r="D344" s="18"/>
      <c r="E344" s="18"/>
      <c r="F344" s="18"/>
      <c r="G344" s="18"/>
      <c r="H344" s="72"/>
      <c r="I344" s="72"/>
    </row>
    <row r="345">
      <c r="B345" s="18"/>
      <c r="D345" s="18"/>
      <c r="E345" s="18"/>
      <c r="F345" s="18"/>
      <c r="G345" s="18"/>
      <c r="H345" s="72"/>
      <c r="I345" s="72"/>
    </row>
    <row r="346">
      <c r="B346" s="18"/>
      <c r="D346" s="18"/>
      <c r="E346" s="18"/>
      <c r="F346" s="18"/>
      <c r="G346" s="18"/>
      <c r="H346" s="72"/>
      <c r="I346" s="72"/>
    </row>
    <row r="347">
      <c r="B347" s="18"/>
      <c r="D347" s="18"/>
      <c r="E347" s="18"/>
      <c r="F347" s="18"/>
      <c r="G347" s="18"/>
      <c r="H347" s="72"/>
      <c r="I347" s="72"/>
    </row>
    <row r="348">
      <c r="B348" s="18"/>
      <c r="D348" s="18"/>
      <c r="E348" s="18"/>
      <c r="F348" s="18"/>
      <c r="G348" s="18"/>
      <c r="H348" s="72"/>
      <c r="I348" s="72"/>
    </row>
    <row r="349">
      <c r="B349" s="18"/>
      <c r="D349" s="18"/>
      <c r="E349" s="18"/>
      <c r="F349" s="18"/>
      <c r="G349" s="18"/>
      <c r="H349" s="72"/>
      <c r="I349" s="72"/>
    </row>
    <row r="350">
      <c r="B350" s="18"/>
      <c r="D350" s="18"/>
      <c r="E350" s="18"/>
      <c r="F350" s="18"/>
      <c r="G350" s="18"/>
      <c r="H350" s="72"/>
      <c r="I350" s="72"/>
    </row>
    <row r="351">
      <c r="B351" s="18"/>
      <c r="D351" s="18"/>
      <c r="E351" s="18"/>
      <c r="F351" s="18"/>
      <c r="G351" s="18"/>
      <c r="H351" s="72"/>
      <c r="I351" s="72"/>
    </row>
    <row r="352">
      <c r="B352" s="18"/>
      <c r="D352" s="18"/>
      <c r="E352" s="18"/>
      <c r="F352" s="18"/>
      <c r="G352" s="18"/>
      <c r="H352" s="72"/>
      <c r="I352" s="72"/>
    </row>
    <row r="353">
      <c r="B353" s="18"/>
      <c r="D353" s="18"/>
      <c r="E353" s="18"/>
      <c r="F353" s="18"/>
      <c r="G353" s="18"/>
      <c r="H353" s="72"/>
      <c r="I353" s="72"/>
    </row>
    <row r="354">
      <c r="B354" s="18"/>
      <c r="D354" s="18"/>
      <c r="E354" s="18"/>
      <c r="F354" s="18"/>
      <c r="G354" s="18"/>
      <c r="H354" s="72"/>
      <c r="I354" s="72"/>
    </row>
    <row r="355">
      <c r="B355" s="18"/>
      <c r="D355" s="18"/>
      <c r="E355" s="18"/>
      <c r="F355" s="18"/>
      <c r="G355" s="18"/>
      <c r="H355" s="72"/>
      <c r="I355" s="72"/>
    </row>
    <row r="356">
      <c r="B356" s="18"/>
      <c r="D356" s="18"/>
      <c r="E356" s="18"/>
      <c r="F356" s="18"/>
      <c r="G356" s="18"/>
      <c r="H356" s="72"/>
      <c r="I356" s="72"/>
    </row>
    <row r="357">
      <c r="B357" s="18"/>
      <c r="D357" s="18"/>
      <c r="E357" s="18"/>
      <c r="F357" s="18"/>
      <c r="G357" s="18"/>
      <c r="H357" s="72"/>
      <c r="I357" s="72"/>
    </row>
    <row r="358">
      <c r="B358" s="18"/>
      <c r="D358" s="18"/>
      <c r="E358" s="18"/>
      <c r="F358" s="18"/>
      <c r="G358" s="18"/>
      <c r="H358" s="72"/>
      <c r="I358" s="72"/>
    </row>
    <row r="359">
      <c r="B359" s="18"/>
      <c r="D359" s="18"/>
      <c r="E359" s="18"/>
      <c r="F359" s="18"/>
      <c r="G359" s="18"/>
      <c r="H359" s="72"/>
      <c r="I359" s="72"/>
    </row>
    <row r="360">
      <c r="B360" s="18"/>
      <c r="D360" s="18"/>
      <c r="E360" s="18"/>
      <c r="F360" s="18"/>
      <c r="G360" s="18"/>
      <c r="H360" s="72"/>
      <c r="I360" s="72"/>
    </row>
    <row r="361">
      <c r="B361" s="18"/>
      <c r="D361" s="18"/>
      <c r="E361" s="18"/>
      <c r="F361" s="18"/>
      <c r="G361" s="18"/>
      <c r="H361" s="72"/>
      <c r="I361" s="72"/>
    </row>
    <row r="362">
      <c r="B362" s="18"/>
      <c r="D362" s="18"/>
      <c r="E362" s="18"/>
      <c r="F362" s="18"/>
      <c r="G362" s="18"/>
      <c r="H362" s="72"/>
      <c r="I362" s="72"/>
    </row>
    <row r="363">
      <c r="B363" s="18"/>
      <c r="D363" s="18"/>
      <c r="E363" s="18"/>
      <c r="F363" s="18"/>
      <c r="G363" s="18"/>
      <c r="H363" s="72"/>
      <c r="I363" s="72"/>
    </row>
    <row r="364">
      <c r="B364" s="18"/>
      <c r="D364" s="18"/>
      <c r="E364" s="18"/>
      <c r="F364" s="18"/>
      <c r="G364" s="18"/>
      <c r="H364" s="72"/>
      <c r="I364" s="72"/>
    </row>
    <row r="365">
      <c r="B365" s="18"/>
      <c r="D365" s="18"/>
      <c r="E365" s="18"/>
      <c r="F365" s="18"/>
      <c r="G365" s="18"/>
      <c r="H365" s="72"/>
      <c r="I365" s="72"/>
    </row>
    <row r="366">
      <c r="B366" s="18"/>
      <c r="D366" s="18"/>
      <c r="E366" s="18"/>
      <c r="F366" s="18"/>
      <c r="G366" s="18"/>
      <c r="H366" s="72"/>
      <c r="I366" s="72"/>
    </row>
    <row r="367">
      <c r="B367" s="18"/>
      <c r="D367" s="18"/>
      <c r="E367" s="18"/>
      <c r="F367" s="18"/>
      <c r="G367" s="18"/>
      <c r="H367" s="72"/>
      <c r="I367" s="72"/>
    </row>
    <row r="368">
      <c r="B368" s="18"/>
      <c r="D368" s="18"/>
      <c r="E368" s="18"/>
      <c r="F368" s="18"/>
      <c r="G368" s="18"/>
      <c r="H368" s="72"/>
      <c r="I368" s="72"/>
    </row>
    <row r="369">
      <c r="B369" s="18"/>
      <c r="D369" s="18"/>
      <c r="E369" s="18"/>
      <c r="F369" s="18"/>
      <c r="G369" s="18"/>
      <c r="H369" s="72"/>
      <c r="I369" s="72"/>
    </row>
    <row r="370">
      <c r="B370" s="18"/>
      <c r="D370" s="18"/>
      <c r="E370" s="18"/>
      <c r="F370" s="18"/>
      <c r="G370" s="18"/>
      <c r="H370" s="72"/>
      <c r="I370" s="72"/>
    </row>
    <row r="371">
      <c r="B371" s="18"/>
      <c r="D371" s="18"/>
      <c r="E371" s="18"/>
      <c r="F371" s="18"/>
      <c r="G371" s="18"/>
      <c r="H371" s="72"/>
      <c r="I371" s="72"/>
    </row>
    <row r="372">
      <c r="B372" s="18"/>
      <c r="D372" s="18"/>
      <c r="E372" s="18"/>
      <c r="F372" s="18"/>
      <c r="G372" s="18"/>
      <c r="H372" s="72"/>
      <c r="I372" s="72"/>
    </row>
    <row r="373">
      <c r="B373" s="18"/>
      <c r="D373" s="18"/>
      <c r="E373" s="18"/>
      <c r="F373" s="18"/>
      <c r="G373" s="18"/>
      <c r="H373" s="72"/>
      <c r="I373" s="72"/>
    </row>
    <row r="374">
      <c r="B374" s="18"/>
      <c r="D374" s="18"/>
      <c r="E374" s="18"/>
      <c r="F374" s="18"/>
      <c r="G374" s="18"/>
      <c r="H374" s="72"/>
      <c r="I374" s="72"/>
    </row>
    <row r="375">
      <c r="B375" s="18"/>
      <c r="D375" s="18"/>
      <c r="E375" s="18"/>
      <c r="F375" s="18"/>
      <c r="G375" s="18"/>
      <c r="H375" s="72"/>
      <c r="I375" s="72"/>
    </row>
    <row r="376">
      <c r="B376" s="18"/>
      <c r="D376" s="18"/>
      <c r="E376" s="18"/>
      <c r="F376" s="18"/>
      <c r="G376" s="18"/>
      <c r="H376" s="72"/>
      <c r="I376" s="72"/>
    </row>
    <row r="377">
      <c r="B377" s="18"/>
      <c r="D377" s="18"/>
      <c r="E377" s="18"/>
      <c r="F377" s="18"/>
      <c r="G377" s="18"/>
      <c r="H377" s="72"/>
      <c r="I377" s="72"/>
    </row>
    <row r="378">
      <c r="B378" s="18"/>
      <c r="D378" s="18"/>
      <c r="E378" s="18"/>
      <c r="F378" s="18"/>
      <c r="G378" s="18"/>
      <c r="H378" s="72"/>
      <c r="I378" s="72"/>
    </row>
    <row r="379">
      <c r="B379" s="18"/>
      <c r="D379" s="18"/>
      <c r="E379" s="18"/>
      <c r="F379" s="18"/>
      <c r="G379" s="18"/>
      <c r="H379" s="72"/>
      <c r="I379" s="72"/>
    </row>
    <row r="380">
      <c r="B380" s="18"/>
      <c r="D380" s="18"/>
      <c r="E380" s="18"/>
      <c r="F380" s="18"/>
      <c r="G380" s="18"/>
      <c r="H380" s="72"/>
      <c r="I380" s="72"/>
    </row>
    <row r="381">
      <c r="B381" s="18"/>
      <c r="D381" s="18"/>
      <c r="E381" s="18"/>
      <c r="F381" s="18"/>
      <c r="G381" s="18"/>
      <c r="H381" s="72"/>
      <c r="I381" s="72"/>
    </row>
    <row r="382">
      <c r="B382" s="18"/>
      <c r="D382" s="18"/>
      <c r="E382" s="18"/>
      <c r="F382" s="18"/>
      <c r="G382" s="18"/>
      <c r="H382" s="72"/>
      <c r="I382" s="72"/>
    </row>
    <row r="383">
      <c r="B383" s="18"/>
      <c r="D383" s="18"/>
      <c r="E383" s="18"/>
      <c r="F383" s="18"/>
      <c r="G383" s="18"/>
      <c r="H383" s="72"/>
      <c r="I383" s="72"/>
    </row>
    <row r="384">
      <c r="B384" s="18"/>
      <c r="D384" s="18"/>
      <c r="E384" s="18"/>
      <c r="F384" s="18"/>
      <c r="G384" s="18"/>
      <c r="H384" s="72"/>
      <c r="I384" s="72"/>
    </row>
    <row r="385">
      <c r="B385" s="18"/>
      <c r="D385" s="18"/>
      <c r="E385" s="18"/>
      <c r="F385" s="18"/>
      <c r="G385" s="18"/>
      <c r="H385" s="72"/>
      <c r="I385" s="72"/>
    </row>
    <row r="386">
      <c r="B386" s="18"/>
      <c r="D386" s="18"/>
      <c r="E386" s="18"/>
      <c r="F386" s="18"/>
      <c r="G386" s="18"/>
      <c r="H386" s="72"/>
      <c r="I386" s="72"/>
    </row>
    <row r="387">
      <c r="B387" s="18"/>
      <c r="D387" s="18"/>
      <c r="E387" s="18"/>
      <c r="F387" s="18"/>
      <c r="G387" s="18"/>
      <c r="H387" s="72"/>
      <c r="I387" s="72"/>
    </row>
    <row r="388">
      <c r="B388" s="18"/>
      <c r="D388" s="18"/>
      <c r="E388" s="18"/>
      <c r="F388" s="18"/>
      <c r="G388" s="18"/>
      <c r="H388" s="72"/>
      <c r="I388" s="72"/>
    </row>
    <row r="389">
      <c r="B389" s="18"/>
      <c r="D389" s="18"/>
      <c r="E389" s="18"/>
      <c r="F389" s="18"/>
      <c r="G389" s="18"/>
      <c r="H389" s="72"/>
      <c r="I389" s="72"/>
    </row>
    <row r="390">
      <c r="B390" s="18"/>
      <c r="D390" s="18"/>
      <c r="E390" s="18"/>
      <c r="F390" s="18"/>
      <c r="G390" s="18"/>
      <c r="H390" s="72"/>
      <c r="I390" s="72"/>
    </row>
    <row r="391">
      <c r="B391" s="18"/>
      <c r="D391" s="18"/>
      <c r="E391" s="18"/>
      <c r="F391" s="18"/>
      <c r="G391" s="18"/>
      <c r="H391" s="72"/>
      <c r="I391" s="72"/>
    </row>
    <row r="392">
      <c r="B392" s="18"/>
      <c r="D392" s="18"/>
      <c r="E392" s="18"/>
      <c r="F392" s="18"/>
      <c r="G392" s="18"/>
      <c r="H392" s="72"/>
      <c r="I392" s="72"/>
    </row>
    <row r="393">
      <c r="B393" s="18"/>
      <c r="D393" s="18"/>
      <c r="E393" s="18"/>
      <c r="F393" s="18"/>
      <c r="G393" s="18"/>
      <c r="H393" s="72"/>
      <c r="I393" s="72"/>
    </row>
    <row r="394">
      <c r="B394" s="18"/>
      <c r="D394" s="18"/>
      <c r="E394" s="18"/>
      <c r="F394" s="18"/>
      <c r="G394" s="18"/>
      <c r="H394" s="72"/>
      <c r="I394" s="72"/>
    </row>
    <row r="395">
      <c r="B395" s="18"/>
      <c r="D395" s="18"/>
      <c r="E395" s="18"/>
      <c r="F395" s="18"/>
      <c r="G395" s="18"/>
      <c r="H395" s="72"/>
      <c r="I395" s="72"/>
    </row>
    <row r="396">
      <c r="B396" s="18"/>
      <c r="D396" s="18"/>
      <c r="E396" s="18"/>
      <c r="F396" s="18"/>
      <c r="G396" s="18"/>
      <c r="H396" s="72"/>
      <c r="I396" s="72"/>
    </row>
    <row r="397">
      <c r="B397" s="18"/>
      <c r="D397" s="18"/>
      <c r="E397" s="18"/>
      <c r="F397" s="18"/>
      <c r="G397" s="18"/>
      <c r="H397" s="72"/>
      <c r="I397" s="72"/>
    </row>
    <row r="398">
      <c r="B398" s="18"/>
      <c r="D398" s="18"/>
      <c r="E398" s="18"/>
      <c r="F398" s="18"/>
      <c r="G398" s="18"/>
      <c r="H398" s="72"/>
      <c r="I398" s="72"/>
    </row>
    <row r="399">
      <c r="B399" s="18"/>
      <c r="D399" s="18"/>
      <c r="E399" s="18"/>
      <c r="F399" s="18"/>
      <c r="G399" s="18"/>
      <c r="H399" s="72"/>
      <c r="I399" s="72"/>
    </row>
    <row r="400">
      <c r="B400" s="18"/>
      <c r="D400" s="18"/>
      <c r="E400" s="18"/>
      <c r="F400" s="18"/>
      <c r="G400" s="18"/>
      <c r="H400" s="72"/>
      <c r="I400" s="72"/>
    </row>
    <row r="401">
      <c r="B401" s="18"/>
      <c r="D401" s="18"/>
      <c r="E401" s="18"/>
      <c r="F401" s="18"/>
      <c r="G401" s="18"/>
      <c r="H401" s="72"/>
      <c r="I401" s="72"/>
    </row>
    <row r="402">
      <c r="B402" s="18"/>
      <c r="D402" s="18"/>
      <c r="E402" s="18"/>
      <c r="F402" s="18"/>
      <c r="G402" s="18"/>
      <c r="H402" s="72"/>
      <c r="I402" s="72"/>
    </row>
    <row r="403">
      <c r="B403" s="18"/>
      <c r="D403" s="18"/>
      <c r="E403" s="18"/>
      <c r="F403" s="18"/>
      <c r="G403" s="18"/>
      <c r="H403" s="72"/>
      <c r="I403" s="72"/>
    </row>
    <row r="404">
      <c r="B404" s="18"/>
      <c r="D404" s="18"/>
      <c r="E404" s="18"/>
      <c r="F404" s="18"/>
      <c r="G404" s="18"/>
      <c r="H404" s="72"/>
      <c r="I404" s="72"/>
    </row>
    <row r="405">
      <c r="B405" s="18"/>
      <c r="D405" s="18"/>
      <c r="E405" s="18"/>
      <c r="F405" s="18"/>
      <c r="G405" s="18"/>
      <c r="H405" s="72"/>
      <c r="I405" s="72"/>
    </row>
    <row r="406">
      <c r="B406" s="18"/>
      <c r="D406" s="18"/>
      <c r="E406" s="18"/>
      <c r="F406" s="18"/>
      <c r="G406" s="18"/>
      <c r="H406" s="72"/>
      <c r="I406" s="72"/>
    </row>
    <row r="407">
      <c r="B407" s="18"/>
      <c r="D407" s="18"/>
      <c r="E407" s="18"/>
      <c r="F407" s="18"/>
      <c r="G407" s="18"/>
      <c r="H407" s="72"/>
      <c r="I407" s="72"/>
    </row>
    <row r="408">
      <c r="B408" s="18"/>
      <c r="D408" s="18"/>
      <c r="E408" s="18"/>
      <c r="F408" s="18"/>
      <c r="G408" s="18"/>
      <c r="H408" s="72"/>
      <c r="I408" s="72"/>
    </row>
    <row r="409">
      <c r="B409" s="18"/>
      <c r="D409" s="18"/>
      <c r="E409" s="18"/>
      <c r="F409" s="18"/>
      <c r="G409" s="18"/>
      <c r="H409" s="72"/>
      <c r="I409" s="72"/>
    </row>
    <row r="410">
      <c r="B410" s="18"/>
      <c r="D410" s="18"/>
      <c r="E410" s="18"/>
      <c r="F410" s="18"/>
      <c r="G410" s="18"/>
      <c r="H410" s="72"/>
      <c r="I410" s="72"/>
    </row>
    <row r="411">
      <c r="B411" s="18"/>
      <c r="D411" s="18"/>
      <c r="E411" s="18"/>
      <c r="F411" s="18"/>
      <c r="G411" s="18"/>
      <c r="H411" s="72"/>
      <c r="I411" s="72"/>
    </row>
    <row r="412">
      <c r="B412" s="18"/>
      <c r="D412" s="18"/>
      <c r="E412" s="18"/>
      <c r="F412" s="18"/>
      <c r="G412" s="18"/>
      <c r="H412" s="72"/>
      <c r="I412" s="72"/>
    </row>
    <row r="413">
      <c r="B413" s="18"/>
      <c r="D413" s="18"/>
      <c r="E413" s="18"/>
      <c r="F413" s="18"/>
      <c r="G413" s="18"/>
      <c r="H413" s="72"/>
      <c r="I413" s="72"/>
    </row>
    <row r="414">
      <c r="B414" s="18"/>
      <c r="D414" s="18"/>
      <c r="E414" s="18"/>
      <c r="F414" s="18"/>
      <c r="G414" s="18"/>
      <c r="H414" s="72"/>
      <c r="I414" s="72"/>
    </row>
    <row r="415">
      <c r="B415" s="18"/>
      <c r="D415" s="18"/>
      <c r="E415" s="18"/>
      <c r="F415" s="18"/>
      <c r="G415" s="18"/>
      <c r="H415" s="72"/>
      <c r="I415" s="72"/>
    </row>
    <row r="416">
      <c r="B416" s="18"/>
      <c r="D416" s="18"/>
      <c r="E416" s="18"/>
      <c r="F416" s="18"/>
      <c r="G416" s="18"/>
      <c r="H416" s="72"/>
      <c r="I416" s="72"/>
    </row>
    <row r="417">
      <c r="B417" s="18"/>
      <c r="D417" s="18"/>
      <c r="E417" s="18"/>
      <c r="F417" s="18"/>
      <c r="G417" s="18"/>
      <c r="H417" s="72"/>
      <c r="I417" s="72"/>
    </row>
    <row r="418">
      <c r="B418" s="18"/>
      <c r="D418" s="18"/>
      <c r="E418" s="18"/>
      <c r="F418" s="18"/>
      <c r="G418" s="18"/>
      <c r="H418" s="72"/>
      <c r="I418" s="72"/>
    </row>
    <row r="419">
      <c r="B419" s="18"/>
      <c r="D419" s="18"/>
      <c r="E419" s="18"/>
      <c r="F419" s="18"/>
      <c r="G419" s="18"/>
      <c r="H419" s="72"/>
      <c r="I419" s="72"/>
    </row>
    <row r="420">
      <c r="B420" s="18"/>
      <c r="D420" s="18"/>
      <c r="E420" s="18"/>
      <c r="F420" s="18"/>
      <c r="G420" s="18"/>
      <c r="H420" s="72"/>
      <c r="I420" s="72"/>
    </row>
    <row r="421">
      <c r="B421" s="18"/>
      <c r="D421" s="18"/>
      <c r="E421" s="18"/>
      <c r="F421" s="18"/>
      <c r="G421" s="18"/>
      <c r="H421" s="72"/>
      <c r="I421" s="72"/>
    </row>
    <row r="422">
      <c r="B422" s="18"/>
      <c r="D422" s="18"/>
      <c r="E422" s="18"/>
      <c r="F422" s="18"/>
      <c r="G422" s="18"/>
      <c r="H422" s="72"/>
      <c r="I422" s="72"/>
    </row>
    <row r="423">
      <c r="B423" s="18"/>
      <c r="D423" s="18"/>
      <c r="E423" s="18"/>
      <c r="F423" s="18"/>
      <c r="G423" s="18"/>
      <c r="H423" s="72"/>
      <c r="I423" s="72"/>
    </row>
    <row r="424">
      <c r="B424" s="18"/>
      <c r="D424" s="18"/>
      <c r="E424" s="18"/>
      <c r="F424" s="18"/>
      <c r="G424" s="18"/>
      <c r="H424" s="72"/>
      <c r="I424" s="72"/>
    </row>
    <row r="425">
      <c r="B425" s="18"/>
      <c r="D425" s="18"/>
      <c r="E425" s="18"/>
      <c r="F425" s="18"/>
      <c r="G425" s="18"/>
      <c r="H425" s="72"/>
      <c r="I425" s="72"/>
    </row>
    <row r="426">
      <c r="B426" s="18"/>
      <c r="D426" s="18"/>
      <c r="E426" s="18"/>
      <c r="F426" s="18"/>
      <c r="G426" s="18"/>
      <c r="H426" s="72"/>
      <c r="I426" s="72"/>
    </row>
    <row r="427">
      <c r="B427" s="18"/>
      <c r="D427" s="18"/>
      <c r="E427" s="18"/>
      <c r="F427" s="18"/>
      <c r="G427" s="18"/>
      <c r="H427" s="72"/>
      <c r="I427" s="72"/>
    </row>
    <row r="428">
      <c r="B428" s="18"/>
      <c r="D428" s="18"/>
      <c r="E428" s="18"/>
      <c r="F428" s="18"/>
      <c r="G428" s="18"/>
      <c r="H428" s="72"/>
      <c r="I428" s="72"/>
    </row>
    <row r="429">
      <c r="B429" s="18"/>
      <c r="D429" s="18"/>
      <c r="E429" s="18"/>
      <c r="F429" s="18"/>
      <c r="G429" s="18"/>
      <c r="H429" s="72"/>
      <c r="I429" s="72"/>
    </row>
    <row r="430">
      <c r="B430" s="18"/>
      <c r="D430" s="18"/>
      <c r="E430" s="18"/>
      <c r="F430" s="18"/>
      <c r="G430" s="18"/>
      <c r="H430" s="72"/>
      <c r="I430" s="72"/>
    </row>
    <row r="431">
      <c r="B431" s="18"/>
      <c r="D431" s="18"/>
      <c r="E431" s="18"/>
      <c r="F431" s="18"/>
      <c r="G431" s="18"/>
      <c r="H431" s="72"/>
      <c r="I431" s="72"/>
    </row>
    <row r="432">
      <c r="B432" s="18"/>
      <c r="D432" s="18"/>
      <c r="E432" s="18"/>
      <c r="F432" s="18"/>
      <c r="G432" s="18"/>
      <c r="H432" s="72"/>
      <c r="I432" s="72"/>
    </row>
    <row r="433">
      <c r="B433" s="18"/>
      <c r="D433" s="18"/>
      <c r="E433" s="18"/>
      <c r="F433" s="18"/>
      <c r="G433" s="18"/>
      <c r="H433" s="72"/>
      <c r="I433" s="72"/>
    </row>
    <row r="434">
      <c r="B434" s="18"/>
      <c r="D434" s="18"/>
      <c r="E434" s="18"/>
      <c r="F434" s="18"/>
      <c r="G434" s="18"/>
      <c r="H434" s="72"/>
      <c r="I434" s="72"/>
    </row>
    <row r="435">
      <c r="B435" s="18"/>
      <c r="D435" s="18"/>
      <c r="E435" s="18"/>
      <c r="F435" s="18"/>
      <c r="G435" s="18"/>
      <c r="H435" s="72"/>
      <c r="I435" s="72"/>
    </row>
    <row r="436">
      <c r="B436" s="18"/>
      <c r="D436" s="18"/>
      <c r="E436" s="18"/>
      <c r="F436" s="18"/>
      <c r="G436" s="18"/>
      <c r="H436" s="72"/>
      <c r="I436" s="72"/>
    </row>
    <row r="437">
      <c r="B437" s="18"/>
      <c r="D437" s="18"/>
      <c r="E437" s="18"/>
      <c r="F437" s="18"/>
      <c r="G437" s="18"/>
      <c r="H437" s="72"/>
      <c r="I437" s="72"/>
    </row>
    <row r="438">
      <c r="B438" s="18"/>
      <c r="D438" s="18"/>
      <c r="E438" s="18"/>
      <c r="F438" s="18"/>
      <c r="G438" s="18"/>
      <c r="H438" s="72"/>
      <c r="I438" s="72"/>
    </row>
    <row r="439">
      <c r="B439" s="18"/>
      <c r="D439" s="18"/>
      <c r="E439" s="18"/>
      <c r="F439" s="18"/>
      <c r="G439" s="18"/>
      <c r="H439" s="72"/>
      <c r="I439" s="72"/>
    </row>
    <row r="440">
      <c r="B440" s="18"/>
      <c r="D440" s="18"/>
      <c r="E440" s="18"/>
      <c r="F440" s="18"/>
      <c r="G440" s="18"/>
      <c r="H440" s="72"/>
      <c r="I440" s="72"/>
    </row>
    <row r="441">
      <c r="B441" s="18"/>
      <c r="D441" s="18"/>
      <c r="E441" s="18"/>
      <c r="F441" s="18"/>
      <c r="G441" s="18"/>
      <c r="H441" s="72"/>
      <c r="I441" s="72"/>
    </row>
    <row r="442">
      <c r="B442" s="18"/>
      <c r="D442" s="18"/>
      <c r="E442" s="18"/>
      <c r="F442" s="18"/>
      <c r="G442" s="18"/>
      <c r="H442" s="72"/>
      <c r="I442" s="72"/>
    </row>
    <row r="443">
      <c r="B443" s="18"/>
      <c r="D443" s="18"/>
      <c r="E443" s="18"/>
      <c r="F443" s="18"/>
      <c r="G443" s="18"/>
      <c r="H443" s="72"/>
      <c r="I443" s="72"/>
    </row>
    <row r="444">
      <c r="B444" s="18"/>
      <c r="D444" s="18"/>
      <c r="E444" s="18"/>
      <c r="F444" s="18"/>
      <c r="G444" s="18"/>
      <c r="H444" s="72"/>
      <c r="I444" s="72"/>
    </row>
    <row r="445">
      <c r="B445" s="18"/>
      <c r="D445" s="18"/>
      <c r="E445" s="18"/>
      <c r="F445" s="18"/>
      <c r="G445" s="18"/>
      <c r="H445" s="72"/>
      <c r="I445" s="72"/>
    </row>
    <row r="446">
      <c r="B446" s="18"/>
      <c r="D446" s="18"/>
      <c r="E446" s="18"/>
      <c r="F446" s="18"/>
      <c r="G446" s="18"/>
      <c r="H446" s="72"/>
      <c r="I446" s="72"/>
    </row>
    <row r="447">
      <c r="B447" s="18"/>
      <c r="D447" s="18"/>
      <c r="E447" s="18"/>
      <c r="F447" s="18"/>
      <c r="G447" s="18"/>
      <c r="H447" s="72"/>
      <c r="I447" s="72"/>
    </row>
    <row r="448">
      <c r="B448" s="18"/>
      <c r="D448" s="18"/>
      <c r="E448" s="18"/>
      <c r="F448" s="18"/>
      <c r="G448" s="18"/>
      <c r="H448" s="72"/>
      <c r="I448" s="72"/>
    </row>
    <row r="449">
      <c r="B449" s="18"/>
      <c r="D449" s="18"/>
      <c r="E449" s="18"/>
      <c r="F449" s="18"/>
      <c r="G449" s="18"/>
      <c r="H449" s="72"/>
      <c r="I449" s="72"/>
    </row>
    <row r="450">
      <c r="B450" s="18"/>
      <c r="D450" s="18"/>
      <c r="E450" s="18"/>
      <c r="F450" s="18"/>
      <c r="G450" s="18"/>
      <c r="H450" s="72"/>
      <c r="I450" s="72"/>
    </row>
    <row r="451">
      <c r="B451" s="18"/>
      <c r="D451" s="18"/>
      <c r="E451" s="18"/>
      <c r="F451" s="18"/>
      <c r="G451" s="18"/>
      <c r="H451" s="72"/>
      <c r="I451" s="72"/>
    </row>
    <row r="452">
      <c r="B452" s="18"/>
      <c r="D452" s="18"/>
      <c r="E452" s="18"/>
      <c r="F452" s="18"/>
      <c r="G452" s="18"/>
      <c r="H452" s="72"/>
      <c r="I452" s="72"/>
    </row>
    <row r="453">
      <c r="B453" s="18"/>
      <c r="D453" s="18"/>
      <c r="E453" s="18"/>
      <c r="F453" s="18"/>
      <c r="G453" s="18"/>
      <c r="H453" s="72"/>
      <c r="I453" s="72"/>
    </row>
    <row r="454">
      <c r="B454" s="18"/>
      <c r="D454" s="18"/>
      <c r="E454" s="18"/>
      <c r="F454" s="18"/>
      <c r="G454" s="18"/>
      <c r="H454" s="72"/>
      <c r="I454" s="72"/>
    </row>
    <row r="455">
      <c r="B455" s="18"/>
      <c r="D455" s="18"/>
      <c r="E455" s="18"/>
      <c r="F455" s="18"/>
      <c r="G455" s="18"/>
      <c r="H455" s="72"/>
      <c r="I455" s="72"/>
    </row>
    <row r="456">
      <c r="B456" s="18"/>
      <c r="D456" s="18"/>
      <c r="E456" s="18"/>
      <c r="F456" s="18"/>
      <c r="G456" s="18"/>
      <c r="H456" s="72"/>
      <c r="I456" s="72"/>
    </row>
    <row r="457">
      <c r="B457" s="18"/>
      <c r="D457" s="18"/>
      <c r="E457" s="18"/>
      <c r="F457" s="18"/>
      <c r="G457" s="18"/>
      <c r="H457" s="72"/>
      <c r="I457" s="72"/>
    </row>
    <row r="458">
      <c r="B458" s="18"/>
      <c r="D458" s="18"/>
      <c r="E458" s="18"/>
      <c r="F458" s="18"/>
      <c r="G458" s="18"/>
      <c r="H458" s="72"/>
      <c r="I458" s="72"/>
    </row>
    <row r="459">
      <c r="B459" s="18"/>
      <c r="D459" s="18"/>
      <c r="E459" s="18"/>
      <c r="F459" s="18"/>
      <c r="G459" s="18"/>
      <c r="H459" s="72"/>
      <c r="I459" s="72"/>
    </row>
    <row r="460">
      <c r="B460" s="18"/>
      <c r="D460" s="18"/>
      <c r="E460" s="18"/>
      <c r="F460" s="18"/>
      <c r="G460" s="18"/>
      <c r="H460" s="72"/>
      <c r="I460" s="72"/>
    </row>
    <row r="461">
      <c r="B461" s="18"/>
      <c r="D461" s="18"/>
      <c r="E461" s="18"/>
      <c r="F461" s="18"/>
      <c r="G461" s="18"/>
      <c r="H461" s="72"/>
      <c r="I461" s="72"/>
    </row>
    <row r="462">
      <c r="B462" s="18"/>
      <c r="D462" s="18"/>
      <c r="E462" s="18"/>
      <c r="F462" s="18"/>
      <c r="G462" s="18"/>
      <c r="H462" s="72"/>
      <c r="I462" s="72"/>
    </row>
    <row r="463">
      <c r="B463" s="18"/>
      <c r="D463" s="18"/>
      <c r="E463" s="18"/>
      <c r="F463" s="18"/>
      <c r="G463" s="18"/>
      <c r="H463" s="72"/>
      <c r="I463" s="72"/>
    </row>
    <row r="464">
      <c r="B464" s="18"/>
      <c r="D464" s="18"/>
      <c r="E464" s="18"/>
      <c r="F464" s="18"/>
      <c r="G464" s="18"/>
      <c r="H464" s="72"/>
      <c r="I464" s="72"/>
    </row>
    <row r="465">
      <c r="B465" s="18"/>
      <c r="D465" s="18"/>
      <c r="E465" s="18"/>
      <c r="F465" s="18"/>
      <c r="G465" s="18"/>
      <c r="H465" s="72"/>
      <c r="I465" s="72"/>
    </row>
    <row r="466">
      <c r="B466" s="18"/>
      <c r="D466" s="18"/>
      <c r="E466" s="18"/>
      <c r="F466" s="18"/>
      <c r="G466" s="18"/>
      <c r="H466" s="72"/>
      <c r="I466" s="72"/>
    </row>
    <row r="467">
      <c r="B467" s="18"/>
      <c r="D467" s="18"/>
      <c r="E467" s="18"/>
      <c r="F467" s="18"/>
      <c r="G467" s="18"/>
      <c r="H467" s="72"/>
      <c r="I467" s="72"/>
    </row>
    <row r="468">
      <c r="B468" s="18"/>
      <c r="D468" s="18"/>
      <c r="E468" s="18"/>
      <c r="F468" s="18"/>
      <c r="G468" s="18"/>
      <c r="H468" s="72"/>
      <c r="I468" s="72"/>
    </row>
    <row r="469">
      <c r="B469" s="18"/>
      <c r="D469" s="18"/>
      <c r="E469" s="18"/>
      <c r="F469" s="18"/>
      <c r="G469" s="18"/>
      <c r="H469" s="72"/>
      <c r="I469" s="72"/>
    </row>
    <row r="470">
      <c r="B470" s="18"/>
      <c r="D470" s="18"/>
      <c r="E470" s="18"/>
      <c r="F470" s="18"/>
      <c r="G470" s="18"/>
      <c r="H470" s="72"/>
      <c r="I470" s="72"/>
    </row>
    <row r="471">
      <c r="B471" s="18"/>
      <c r="D471" s="18"/>
      <c r="E471" s="18"/>
      <c r="F471" s="18"/>
      <c r="G471" s="18"/>
      <c r="H471" s="72"/>
      <c r="I471" s="72"/>
    </row>
    <row r="472">
      <c r="B472" s="18"/>
      <c r="D472" s="18"/>
      <c r="E472" s="18"/>
      <c r="F472" s="18"/>
      <c r="G472" s="18"/>
      <c r="H472" s="72"/>
      <c r="I472" s="72"/>
    </row>
    <row r="473">
      <c r="B473" s="18"/>
      <c r="D473" s="18"/>
      <c r="E473" s="18"/>
      <c r="F473" s="18"/>
      <c r="G473" s="18"/>
      <c r="H473" s="72"/>
      <c r="I473" s="72"/>
    </row>
    <row r="474">
      <c r="B474" s="18"/>
      <c r="D474" s="18"/>
      <c r="E474" s="18"/>
      <c r="F474" s="18"/>
      <c r="G474" s="18"/>
      <c r="H474" s="72"/>
      <c r="I474" s="72"/>
    </row>
    <row r="475">
      <c r="B475" s="18"/>
      <c r="D475" s="18"/>
      <c r="E475" s="18"/>
      <c r="F475" s="18"/>
      <c r="G475" s="18"/>
      <c r="H475" s="72"/>
      <c r="I475" s="72"/>
    </row>
    <row r="476">
      <c r="B476" s="18"/>
      <c r="D476" s="18"/>
      <c r="E476" s="18"/>
      <c r="F476" s="18"/>
      <c r="G476" s="18"/>
      <c r="H476" s="72"/>
      <c r="I476" s="72"/>
    </row>
    <row r="477">
      <c r="B477" s="18"/>
      <c r="D477" s="18"/>
      <c r="E477" s="18"/>
      <c r="F477" s="18"/>
      <c r="G477" s="18"/>
      <c r="H477" s="72"/>
      <c r="I477" s="72"/>
    </row>
    <row r="478">
      <c r="B478" s="18"/>
      <c r="D478" s="18"/>
      <c r="E478" s="18"/>
      <c r="F478" s="18"/>
      <c r="G478" s="18"/>
      <c r="H478" s="72"/>
      <c r="I478" s="72"/>
    </row>
    <row r="479">
      <c r="B479" s="18"/>
      <c r="D479" s="18"/>
      <c r="E479" s="18"/>
      <c r="F479" s="18"/>
      <c r="G479" s="18"/>
      <c r="H479" s="72"/>
      <c r="I479" s="72"/>
    </row>
    <row r="480">
      <c r="B480" s="18"/>
      <c r="D480" s="18"/>
      <c r="E480" s="18"/>
      <c r="F480" s="18"/>
      <c r="G480" s="18"/>
      <c r="H480" s="72"/>
      <c r="I480" s="72"/>
    </row>
    <row r="481">
      <c r="B481" s="18"/>
      <c r="D481" s="18"/>
      <c r="E481" s="18"/>
      <c r="F481" s="18"/>
      <c r="G481" s="18"/>
      <c r="H481" s="72"/>
      <c r="I481" s="72"/>
    </row>
    <row r="482">
      <c r="B482" s="18"/>
      <c r="D482" s="18"/>
      <c r="E482" s="18"/>
      <c r="F482" s="18"/>
      <c r="G482" s="18"/>
      <c r="H482" s="72"/>
      <c r="I482" s="72"/>
    </row>
    <row r="483">
      <c r="B483" s="18"/>
      <c r="D483" s="18"/>
      <c r="E483" s="18"/>
      <c r="F483" s="18"/>
      <c r="G483" s="18"/>
      <c r="H483" s="72"/>
      <c r="I483" s="72"/>
    </row>
    <row r="484">
      <c r="B484" s="18"/>
      <c r="D484" s="18"/>
      <c r="E484" s="18"/>
      <c r="F484" s="18"/>
      <c r="G484" s="18"/>
      <c r="H484" s="72"/>
      <c r="I484" s="72"/>
    </row>
    <row r="485">
      <c r="B485" s="18"/>
      <c r="D485" s="18"/>
      <c r="E485" s="18"/>
      <c r="F485" s="18"/>
      <c r="G485" s="18"/>
      <c r="H485" s="72"/>
      <c r="I485" s="72"/>
    </row>
    <row r="486">
      <c r="B486" s="18"/>
      <c r="D486" s="18"/>
      <c r="E486" s="18"/>
      <c r="F486" s="18"/>
      <c r="G486" s="18"/>
      <c r="H486" s="72"/>
      <c r="I486" s="72"/>
    </row>
    <row r="487">
      <c r="B487" s="18"/>
      <c r="D487" s="18"/>
      <c r="E487" s="18"/>
      <c r="F487" s="18"/>
      <c r="G487" s="18"/>
      <c r="H487" s="72"/>
      <c r="I487" s="72"/>
    </row>
    <row r="488">
      <c r="B488" s="18"/>
      <c r="D488" s="18"/>
      <c r="E488" s="18"/>
      <c r="F488" s="18"/>
      <c r="G488" s="18"/>
      <c r="H488" s="72"/>
      <c r="I488" s="72"/>
    </row>
    <row r="489">
      <c r="B489" s="18"/>
      <c r="D489" s="18"/>
      <c r="E489" s="18"/>
      <c r="F489" s="18"/>
      <c r="G489" s="18"/>
      <c r="H489" s="72"/>
      <c r="I489" s="72"/>
    </row>
    <row r="490">
      <c r="B490" s="18"/>
      <c r="D490" s="18"/>
      <c r="E490" s="18"/>
      <c r="F490" s="18"/>
      <c r="G490" s="18"/>
      <c r="H490" s="72"/>
      <c r="I490" s="72"/>
    </row>
    <row r="491">
      <c r="B491" s="18"/>
      <c r="D491" s="18"/>
      <c r="E491" s="18"/>
      <c r="F491" s="18"/>
      <c r="G491" s="18"/>
      <c r="H491" s="72"/>
      <c r="I491" s="72"/>
    </row>
    <row r="492">
      <c r="B492" s="18"/>
      <c r="D492" s="18"/>
      <c r="E492" s="18"/>
      <c r="F492" s="18"/>
      <c r="G492" s="18"/>
      <c r="H492" s="72"/>
      <c r="I492" s="72"/>
    </row>
    <row r="493">
      <c r="B493" s="18"/>
      <c r="D493" s="18"/>
      <c r="E493" s="18"/>
      <c r="F493" s="18"/>
      <c r="G493" s="18"/>
      <c r="H493" s="72"/>
      <c r="I493" s="72"/>
    </row>
    <row r="494">
      <c r="B494" s="18"/>
      <c r="D494" s="18"/>
      <c r="E494" s="18"/>
      <c r="F494" s="18"/>
      <c r="G494" s="18"/>
      <c r="H494" s="72"/>
      <c r="I494" s="72"/>
    </row>
    <row r="495">
      <c r="B495" s="18"/>
      <c r="D495" s="18"/>
      <c r="E495" s="18"/>
      <c r="F495" s="18"/>
      <c r="G495" s="18"/>
      <c r="H495" s="72"/>
      <c r="I495" s="72"/>
    </row>
    <row r="496">
      <c r="B496" s="18"/>
      <c r="D496" s="18"/>
      <c r="E496" s="18"/>
      <c r="F496" s="18"/>
      <c r="G496" s="18"/>
      <c r="H496" s="72"/>
      <c r="I496" s="72"/>
    </row>
    <row r="497">
      <c r="B497" s="18"/>
      <c r="D497" s="18"/>
      <c r="E497" s="18"/>
      <c r="F497" s="18"/>
      <c r="G497" s="18"/>
      <c r="H497" s="72"/>
      <c r="I497" s="72"/>
    </row>
    <row r="498">
      <c r="B498" s="18"/>
      <c r="D498" s="18"/>
      <c r="E498" s="18"/>
      <c r="F498" s="18"/>
      <c r="G498" s="18"/>
      <c r="H498" s="72"/>
      <c r="I498" s="72"/>
    </row>
    <row r="499">
      <c r="B499" s="18"/>
      <c r="D499" s="18"/>
      <c r="E499" s="18"/>
      <c r="F499" s="18"/>
      <c r="G499" s="18"/>
      <c r="H499" s="72"/>
      <c r="I499" s="72"/>
    </row>
    <row r="500">
      <c r="B500" s="18"/>
      <c r="D500" s="18"/>
      <c r="E500" s="18"/>
      <c r="F500" s="18"/>
      <c r="G500" s="18"/>
      <c r="H500" s="72"/>
      <c r="I500" s="72"/>
    </row>
    <row r="501">
      <c r="B501" s="18"/>
      <c r="D501" s="18"/>
      <c r="E501" s="18"/>
      <c r="F501" s="18"/>
      <c r="G501" s="18"/>
      <c r="H501" s="72"/>
      <c r="I501" s="72"/>
    </row>
    <row r="502">
      <c r="B502" s="18"/>
      <c r="D502" s="18"/>
      <c r="E502" s="18"/>
      <c r="F502" s="18"/>
      <c r="G502" s="18"/>
      <c r="H502" s="72"/>
      <c r="I502" s="72"/>
    </row>
    <row r="503">
      <c r="B503" s="18"/>
      <c r="D503" s="18"/>
      <c r="E503" s="18"/>
      <c r="F503" s="18"/>
      <c r="G503" s="18"/>
      <c r="H503" s="72"/>
      <c r="I503" s="72"/>
    </row>
    <row r="504">
      <c r="B504" s="18"/>
      <c r="D504" s="18"/>
      <c r="E504" s="18"/>
      <c r="F504" s="18"/>
      <c r="G504" s="18"/>
      <c r="H504" s="72"/>
      <c r="I504" s="72"/>
    </row>
    <row r="505">
      <c r="B505" s="18"/>
      <c r="D505" s="18"/>
      <c r="E505" s="18"/>
      <c r="F505" s="18"/>
      <c r="G505" s="18"/>
      <c r="H505" s="72"/>
      <c r="I505" s="72"/>
    </row>
    <row r="506">
      <c r="B506" s="18"/>
      <c r="D506" s="18"/>
      <c r="E506" s="18"/>
      <c r="F506" s="18"/>
      <c r="G506" s="18"/>
      <c r="H506" s="72"/>
      <c r="I506" s="72"/>
    </row>
    <row r="507">
      <c r="B507" s="18"/>
      <c r="D507" s="18"/>
      <c r="E507" s="18"/>
      <c r="F507" s="18"/>
      <c r="G507" s="18"/>
      <c r="H507" s="72"/>
      <c r="I507" s="72"/>
    </row>
    <row r="508">
      <c r="B508" s="18"/>
      <c r="D508" s="18"/>
      <c r="E508" s="18"/>
      <c r="F508" s="18"/>
      <c r="G508" s="18"/>
      <c r="H508" s="72"/>
      <c r="I508" s="72"/>
    </row>
    <row r="509">
      <c r="B509" s="18"/>
      <c r="D509" s="18"/>
      <c r="E509" s="18"/>
      <c r="F509" s="18"/>
      <c r="G509" s="18"/>
      <c r="H509" s="72"/>
      <c r="I509" s="72"/>
    </row>
    <row r="510">
      <c r="B510" s="18"/>
      <c r="D510" s="18"/>
      <c r="E510" s="18"/>
      <c r="F510" s="18"/>
      <c r="G510" s="18"/>
      <c r="H510" s="72"/>
      <c r="I510" s="72"/>
    </row>
    <row r="511">
      <c r="B511" s="18"/>
      <c r="D511" s="18"/>
      <c r="E511" s="18"/>
      <c r="F511" s="18"/>
      <c r="G511" s="18"/>
      <c r="H511" s="72"/>
      <c r="I511" s="72"/>
    </row>
    <row r="512">
      <c r="B512" s="18"/>
      <c r="D512" s="18"/>
      <c r="E512" s="18"/>
      <c r="F512" s="18"/>
      <c r="G512" s="18"/>
      <c r="H512" s="72"/>
      <c r="I512" s="72"/>
    </row>
    <row r="513">
      <c r="B513" s="18"/>
      <c r="D513" s="18"/>
      <c r="E513" s="18"/>
      <c r="F513" s="18"/>
      <c r="G513" s="18"/>
      <c r="H513" s="72"/>
      <c r="I513" s="72"/>
    </row>
    <row r="514">
      <c r="B514" s="18"/>
      <c r="D514" s="18"/>
      <c r="E514" s="18"/>
      <c r="F514" s="18"/>
      <c r="G514" s="18"/>
      <c r="H514" s="72"/>
      <c r="I514" s="72"/>
    </row>
    <row r="515">
      <c r="B515" s="18"/>
      <c r="D515" s="18"/>
      <c r="E515" s="18"/>
      <c r="F515" s="18"/>
      <c r="G515" s="18"/>
      <c r="H515" s="72"/>
      <c r="I515" s="72"/>
    </row>
    <row r="516">
      <c r="B516" s="18"/>
      <c r="D516" s="18"/>
      <c r="E516" s="18"/>
      <c r="F516" s="18"/>
      <c r="G516" s="18"/>
      <c r="H516" s="72"/>
      <c r="I516" s="72"/>
    </row>
    <row r="517">
      <c r="B517" s="18"/>
      <c r="D517" s="18"/>
      <c r="E517" s="18"/>
      <c r="F517" s="18"/>
      <c r="G517" s="18"/>
      <c r="H517" s="72"/>
      <c r="I517" s="72"/>
    </row>
    <row r="518">
      <c r="B518" s="18"/>
      <c r="D518" s="18"/>
      <c r="E518" s="18"/>
      <c r="F518" s="18"/>
      <c r="G518" s="18"/>
      <c r="H518" s="72"/>
      <c r="I518" s="72"/>
    </row>
    <row r="519">
      <c r="B519" s="18"/>
      <c r="D519" s="18"/>
      <c r="E519" s="18"/>
      <c r="F519" s="18"/>
      <c r="G519" s="18"/>
      <c r="H519" s="72"/>
      <c r="I519" s="72"/>
    </row>
    <row r="520">
      <c r="B520" s="18"/>
      <c r="D520" s="18"/>
      <c r="E520" s="18"/>
      <c r="F520" s="18"/>
      <c r="G520" s="18"/>
      <c r="H520" s="72"/>
      <c r="I520" s="72"/>
    </row>
    <row r="521">
      <c r="B521" s="18"/>
      <c r="D521" s="18"/>
      <c r="E521" s="18"/>
      <c r="F521" s="18"/>
      <c r="G521" s="18"/>
      <c r="H521" s="72"/>
      <c r="I521" s="72"/>
    </row>
    <row r="522">
      <c r="B522" s="18"/>
      <c r="D522" s="18"/>
      <c r="E522" s="18"/>
      <c r="F522" s="18"/>
      <c r="G522" s="18"/>
      <c r="H522" s="72"/>
      <c r="I522" s="72"/>
    </row>
    <row r="523">
      <c r="B523" s="18"/>
      <c r="D523" s="18"/>
      <c r="E523" s="18"/>
      <c r="F523" s="18"/>
      <c r="G523" s="18"/>
      <c r="H523" s="72"/>
      <c r="I523" s="72"/>
    </row>
    <row r="524">
      <c r="B524" s="18"/>
      <c r="D524" s="18"/>
      <c r="E524" s="18"/>
      <c r="F524" s="18"/>
      <c r="G524" s="18"/>
      <c r="H524" s="72"/>
      <c r="I524" s="72"/>
    </row>
    <row r="525">
      <c r="B525" s="18"/>
      <c r="D525" s="18"/>
      <c r="E525" s="18"/>
      <c r="F525" s="18"/>
      <c r="G525" s="18"/>
      <c r="H525" s="72"/>
      <c r="I525" s="72"/>
    </row>
    <row r="526">
      <c r="B526" s="18"/>
      <c r="D526" s="18"/>
      <c r="E526" s="18"/>
      <c r="F526" s="18"/>
      <c r="G526" s="18"/>
      <c r="H526" s="72"/>
      <c r="I526" s="72"/>
    </row>
    <row r="527">
      <c r="B527" s="18"/>
      <c r="D527" s="18"/>
      <c r="E527" s="18"/>
      <c r="F527" s="18"/>
      <c r="G527" s="18"/>
      <c r="H527" s="72"/>
      <c r="I527" s="72"/>
    </row>
    <row r="528">
      <c r="B528" s="18"/>
      <c r="D528" s="18"/>
      <c r="E528" s="18"/>
      <c r="F528" s="18"/>
      <c r="G528" s="18"/>
      <c r="H528" s="72"/>
      <c r="I528" s="72"/>
    </row>
    <row r="529">
      <c r="B529" s="18"/>
      <c r="D529" s="18"/>
      <c r="E529" s="18"/>
      <c r="F529" s="18"/>
      <c r="G529" s="18"/>
      <c r="H529" s="72"/>
      <c r="I529" s="72"/>
    </row>
    <row r="530">
      <c r="B530" s="18"/>
      <c r="D530" s="18"/>
      <c r="E530" s="18"/>
      <c r="F530" s="18"/>
      <c r="G530" s="18"/>
      <c r="H530" s="72"/>
      <c r="I530" s="72"/>
    </row>
    <row r="531">
      <c r="B531" s="18"/>
      <c r="D531" s="18"/>
      <c r="E531" s="18"/>
      <c r="F531" s="18"/>
      <c r="G531" s="18"/>
      <c r="H531" s="72"/>
      <c r="I531" s="72"/>
    </row>
    <row r="532">
      <c r="B532" s="18"/>
      <c r="D532" s="18"/>
      <c r="E532" s="18"/>
      <c r="F532" s="18"/>
      <c r="G532" s="18"/>
      <c r="H532" s="72"/>
      <c r="I532" s="72"/>
    </row>
    <row r="533">
      <c r="B533" s="18"/>
      <c r="D533" s="18"/>
      <c r="E533" s="18"/>
      <c r="F533" s="18"/>
      <c r="G533" s="18"/>
      <c r="H533" s="72"/>
      <c r="I533" s="72"/>
    </row>
    <row r="534">
      <c r="B534" s="18"/>
      <c r="D534" s="18"/>
      <c r="E534" s="18"/>
      <c r="F534" s="18"/>
      <c r="G534" s="18"/>
      <c r="H534" s="72"/>
      <c r="I534" s="72"/>
    </row>
    <row r="535">
      <c r="B535" s="18"/>
      <c r="D535" s="18"/>
      <c r="E535" s="18"/>
      <c r="F535" s="18"/>
      <c r="G535" s="18"/>
      <c r="H535" s="72"/>
      <c r="I535" s="72"/>
    </row>
    <row r="536">
      <c r="B536" s="18"/>
      <c r="D536" s="18"/>
      <c r="E536" s="18"/>
      <c r="F536" s="18"/>
      <c r="G536" s="18"/>
      <c r="H536" s="72"/>
      <c r="I536" s="72"/>
    </row>
    <row r="537">
      <c r="B537" s="18"/>
      <c r="D537" s="18"/>
      <c r="E537" s="18"/>
      <c r="F537" s="18"/>
      <c r="G537" s="18"/>
      <c r="H537" s="72"/>
      <c r="I537" s="72"/>
    </row>
    <row r="538">
      <c r="B538" s="18"/>
      <c r="D538" s="18"/>
      <c r="E538" s="18"/>
      <c r="F538" s="18"/>
      <c r="G538" s="18"/>
      <c r="H538" s="72"/>
      <c r="I538" s="72"/>
    </row>
    <row r="539">
      <c r="B539" s="18"/>
      <c r="D539" s="18"/>
      <c r="E539" s="18"/>
      <c r="F539" s="18"/>
      <c r="G539" s="18"/>
      <c r="H539" s="72"/>
      <c r="I539" s="72"/>
    </row>
    <row r="540">
      <c r="B540" s="18"/>
      <c r="D540" s="18"/>
      <c r="E540" s="18"/>
      <c r="F540" s="18"/>
      <c r="G540" s="18"/>
      <c r="H540" s="72"/>
      <c r="I540" s="72"/>
    </row>
    <row r="541">
      <c r="B541" s="18"/>
      <c r="D541" s="18"/>
      <c r="E541" s="18"/>
      <c r="F541" s="18"/>
      <c r="G541" s="18"/>
      <c r="H541" s="72"/>
      <c r="I541" s="72"/>
    </row>
    <row r="542">
      <c r="B542" s="18"/>
      <c r="D542" s="18"/>
      <c r="E542" s="18"/>
      <c r="F542" s="18"/>
      <c r="G542" s="18"/>
      <c r="H542" s="72"/>
      <c r="I542" s="72"/>
    </row>
    <row r="543">
      <c r="B543" s="18"/>
      <c r="D543" s="18"/>
      <c r="E543" s="18"/>
      <c r="F543" s="18"/>
      <c r="G543" s="18"/>
      <c r="H543" s="72"/>
      <c r="I543" s="72"/>
    </row>
    <row r="544">
      <c r="B544" s="18"/>
      <c r="D544" s="18"/>
      <c r="E544" s="18"/>
      <c r="F544" s="18"/>
      <c r="G544" s="18"/>
      <c r="H544" s="72"/>
      <c r="I544" s="72"/>
    </row>
    <row r="545">
      <c r="B545" s="18"/>
      <c r="D545" s="18"/>
      <c r="E545" s="18"/>
      <c r="F545" s="18"/>
      <c r="G545" s="18"/>
      <c r="H545" s="72"/>
      <c r="I545" s="72"/>
    </row>
    <row r="546">
      <c r="B546" s="18"/>
      <c r="D546" s="18"/>
      <c r="E546" s="18"/>
      <c r="F546" s="18"/>
      <c r="G546" s="18"/>
      <c r="H546" s="72"/>
      <c r="I546" s="72"/>
    </row>
    <row r="547">
      <c r="B547" s="18"/>
      <c r="D547" s="18"/>
      <c r="E547" s="18"/>
      <c r="F547" s="18"/>
      <c r="G547" s="18"/>
      <c r="H547" s="72"/>
      <c r="I547" s="72"/>
    </row>
    <row r="548">
      <c r="B548" s="18"/>
      <c r="D548" s="18"/>
      <c r="E548" s="18"/>
      <c r="F548" s="18"/>
      <c r="G548" s="18"/>
      <c r="H548" s="72"/>
      <c r="I548" s="72"/>
    </row>
    <row r="549">
      <c r="B549" s="18"/>
      <c r="D549" s="18"/>
      <c r="E549" s="18"/>
      <c r="F549" s="18"/>
      <c r="G549" s="18"/>
      <c r="H549" s="72"/>
      <c r="I549" s="72"/>
    </row>
    <row r="550">
      <c r="B550" s="18"/>
      <c r="D550" s="18"/>
      <c r="E550" s="18"/>
      <c r="F550" s="18"/>
      <c r="G550" s="18"/>
      <c r="H550" s="72"/>
      <c r="I550" s="72"/>
    </row>
    <row r="551">
      <c r="B551" s="18"/>
      <c r="D551" s="18"/>
      <c r="E551" s="18"/>
      <c r="F551" s="18"/>
      <c r="G551" s="18"/>
      <c r="H551" s="72"/>
      <c r="I551" s="72"/>
    </row>
    <row r="552">
      <c r="B552" s="18"/>
      <c r="D552" s="18"/>
      <c r="E552" s="18"/>
      <c r="F552" s="18"/>
      <c r="G552" s="18"/>
      <c r="H552" s="72"/>
      <c r="I552" s="72"/>
    </row>
    <row r="553">
      <c r="B553" s="18"/>
      <c r="D553" s="18"/>
      <c r="E553" s="18"/>
      <c r="F553" s="18"/>
      <c r="G553" s="18"/>
      <c r="H553" s="72"/>
      <c r="I553" s="72"/>
    </row>
    <row r="554">
      <c r="B554" s="18"/>
      <c r="D554" s="18"/>
      <c r="E554" s="18"/>
      <c r="F554" s="18"/>
      <c r="G554" s="18"/>
      <c r="H554" s="72"/>
      <c r="I554" s="72"/>
    </row>
    <row r="555">
      <c r="B555" s="18"/>
      <c r="D555" s="18"/>
      <c r="E555" s="18"/>
      <c r="F555" s="18"/>
      <c r="G555" s="18"/>
      <c r="H555" s="72"/>
      <c r="I555" s="72"/>
    </row>
    <row r="556">
      <c r="B556" s="18"/>
      <c r="D556" s="18"/>
      <c r="E556" s="18"/>
      <c r="F556" s="18"/>
      <c r="G556" s="18"/>
      <c r="H556" s="72"/>
      <c r="I556" s="72"/>
    </row>
    <row r="557">
      <c r="B557" s="18"/>
      <c r="D557" s="18"/>
      <c r="E557" s="18"/>
      <c r="F557" s="18"/>
      <c r="G557" s="18"/>
      <c r="H557" s="72"/>
      <c r="I557" s="72"/>
    </row>
    <row r="558">
      <c r="B558" s="18"/>
      <c r="D558" s="18"/>
      <c r="E558" s="18"/>
      <c r="F558" s="18"/>
      <c r="G558" s="18"/>
      <c r="H558" s="72"/>
      <c r="I558" s="72"/>
    </row>
    <row r="559">
      <c r="B559" s="18"/>
      <c r="D559" s="18"/>
      <c r="E559" s="18"/>
      <c r="F559" s="18"/>
      <c r="G559" s="18"/>
      <c r="H559" s="72"/>
      <c r="I559" s="72"/>
    </row>
    <row r="560">
      <c r="B560" s="18"/>
      <c r="D560" s="18"/>
      <c r="E560" s="18"/>
      <c r="F560" s="18"/>
      <c r="G560" s="18"/>
      <c r="H560" s="72"/>
      <c r="I560" s="72"/>
    </row>
    <row r="561">
      <c r="B561" s="18"/>
      <c r="D561" s="18"/>
      <c r="E561" s="18"/>
      <c r="F561" s="18"/>
      <c r="G561" s="18"/>
      <c r="H561" s="72"/>
      <c r="I561" s="72"/>
    </row>
    <row r="562">
      <c r="B562" s="18"/>
      <c r="D562" s="18"/>
      <c r="E562" s="18"/>
      <c r="F562" s="18"/>
      <c r="G562" s="18"/>
      <c r="H562" s="72"/>
      <c r="I562" s="72"/>
    </row>
    <row r="563">
      <c r="B563" s="18"/>
      <c r="D563" s="18"/>
      <c r="E563" s="18"/>
      <c r="F563" s="18"/>
      <c r="G563" s="18"/>
      <c r="H563" s="72"/>
      <c r="I563" s="72"/>
    </row>
    <row r="564">
      <c r="B564" s="18"/>
      <c r="D564" s="18"/>
      <c r="E564" s="18"/>
      <c r="F564" s="18"/>
      <c r="G564" s="18"/>
      <c r="H564" s="72"/>
      <c r="I564" s="72"/>
    </row>
    <row r="565">
      <c r="B565" s="18"/>
      <c r="D565" s="18"/>
      <c r="E565" s="18"/>
      <c r="F565" s="18"/>
      <c r="G565" s="18"/>
      <c r="H565" s="72"/>
      <c r="I565" s="72"/>
    </row>
    <row r="566">
      <c r="B566" s="18"/>
      <c r="D566" s="18"/>
      <c r="E566" s="18"/>
      <c r="F566" s="18"/>
      <c r="G566" s="18"/>
      <c r="H566" s="72"/>
      <c r="I566" s="72"/>
    </row>
    <row r="567">
      <c r="B567" s="18"/>
      <c r="D567" s="18"/>
      <c r="E567" s="18"/>
      <c r="F567" s="18"/>
      <c r="G567" s="18"/>
      <c r="H567" s="72"/>
      <c r="I567" s="72"/>
    </row>
    <row r="568">
      <c r="B568" s="18"/>
      <c r="D568" s="18"/>
      <c r="E568" s="18"/>
      <c r="F568" s="18"/>
      <c r="G568" s="18"/>
      <c r="H568" s="72"/>
      <c r="I568" s="72"/>
    </row>
    <row r="569">
      <c r="B569" s="18"/>
      <c r="D569" s="18"/>
      <c r="E569" s="18"/>
      <c r="F569" s="18"/>
      <c r="G569" s="18"/>
      <c r="H569" s="72"/>
      <c r="I569" s="72"/>
    </row>
    <row r="570">
      <c r="B570" s="18"/>
      <c r="D570" s="18"/>
      <c r="E570" s="18"/>
      <c r="F570" s="18"/>
      <c r="G570" s="18"/>
      <c r="H570" s="72"/>
      <c r="I570" s="72"/>
    </row>
    <row r="571">
      <c r="B571" s="18"/>
      <c r="D571" s="18"/>
      <c r="E571" s="18"/>
      <c r="F571" s="18"/>
      <c r="G571" s="18"/>
      <c r="H571" s="72"/>
      <c r="I571" s="72"/>
    </row>
    <row r="572">
      <c r="B572" s="18"/>
      <c r="D572" s="18"/>
      <c r="E572" s="18"/>
      <c r="F572" s="18"/>
      <c r="G572" s="18"/>
      <c r="H572" s="72"/>
      <c r="I572" s="72"/>
    </row>
    <row r="573">
      <c r="B573" s="18"/>
      <c r="D573" s="18"/>
      <c r="E573" s="18"/>
      <c r="F573" s="18"/>
      <c r="G573" s="18"/>
      <c r="H573" s="72"/>
      <c r="I573" s="72"/>
    </row>
    <row r="574">
      <c r="B574" s="18"/>
      <c r="D574" s="18"/>
      <c r="E574" s="18"/>
      <c r="F574" s="18"/>
      <c r="G574" s="18"/>
      <c r="H574" s="72"/>
      <c r="I574" s="72"/>
    </row>
    <row r="575">
      <c r="B575" s="18"/>
      <c r="D575" s="18"/>
      <c r="E575" s="18"/>
      <c r="F575" s="18"/>
      <c r="G575" s="18"/>
      <c r="H575" s="72"/>
      <c r="I575" s="72"/>
    </row>
    <row r="576">
      <c r="B576" s="18"/>
      <c r="D576" s="18"/>
      <c r="E576" s="18"/>
      <c r="F576" s="18"/>
      <c r="G576" s="18"/>
      <c r="H576" s="72"/>
      <c r="I576" s="72"/>
    </row>
    <row r="577">
      <c r="B577" s="18"/>
      <c r="D577" s="18"/>
      <c r="E577" s="18"/>
      <c r="F577" s="18"/>
      <c r="G577" s="18"/>
      <c r="H577" s="72"/>
      <c r="I577" s="72"/>
    </row>
    <row r="578">
      <c r="B578" s="18"/>
      <c r="D578" s="18"/>
      <c r="E578" s="18"/>
      <c r="F578" s="18"/>
      <c r="G578" s="18"/>
      <c r="H578" s="72"/>
      <c r="I578" s="72"/>
    </row>
    <row r="579">
      <c r="B579" s="18"/>
      <c r="D579" s="18"/>
      <c r="E579" s="18"/>
      <c r="F579" s="18"/>
      <c r="G579" s="18"/>
      <c r="H579" s="72"/>
      <c r="I579" s="72"/>
    </row>
    <row r="580">
      <c r="B580" s="18"/>
      <c r="D580" s="18"/>
      <c r="E580" s="18"/>
      <c r="F580" s="18"/>
      <c r="G580" s="18"/>
      <c r="H580" s="72"/>
      <c r="I580" s="72"/>
    </row>
    <row r="581">
      <c r="B581" s="18"/>
      <c r="D581" s="18"/>
      <c r="E581" s="18"/>
      <c r="F581" s="18"/>
      <c r="G581" s="18"/>
      <c r="H581" s="72"/>
      <c r="I581" s="72"/>
    </row>
    <row r="582">
      <c r="B582" s="18"/>
      <c r="D582" s="18"/>
      <c r="E582" s="18"/>
      <c r="F582" s="18"/>
      <c r="G582" s="18"/>
      <c r="H582" s="72"/>
      <c r="I582" s="72"/>
    </row>
    <row r="583">
      <c r="B583" s="18"/>
      <c r="D583" s="18"/>
      <c r="E583" s="18"/>
      <c r="F583" s="18"/>
      <c r="G583" s="18"/>
      <c r="H583" s="72"/>
      <c r="I583" s="72"/>
    </row>
    <row r="584">
      <c r="B584" s="18"/>
      <c r="D584" s="18"/>
      <c r="E584" s="18"/>
      <c r="F584" s="18"/>
      <c r="G584" s="18"/>
      <c r="H584" s="72"/>
      <c r="I584" s="72"/>
    </row>
    <row r="585">
      <c r="B585" s="18"/>
      <c r="D585" s="18"/>
      <c r="E585" s="18"/>
      <c r="F585" s="18"/>
      <c r="G585" s="18"/>
      <c r="H585" s="72"/>
      <c r="I585" s="72"/>
    </row>
    <row r="586">
      <c r="B586" s="18"/>
      <c r="D586" s="18"/>
      <c r="E586" s="18"/>
      <c r="F586" s="18"/>
      <c r="G586" s="18"/>
      <c r="H586" s="72"/>
      <c r="I586" s="72"/>
    </row>
    <row r="587">
      <c r="B587" s="18"/>
      <c r="D587" s="18"/>
      <c r="E587" s="18"/>
      <c r="F587" s="18"/>
      <c r="G587" s="18"/>
      <c r="H587" s="72"/>
      <c r="I587" s="72"/>
    </row>
    <row r="588">
      <c r="B588" s="18"/>
      <c r="D588" s="18"/>
      <c r="E588" s="18"/>
      <c r="F588" s="18"/>
      <c r="G588" s="18"/>
      <c r="H588" s="72"/>
      <c r="I588" s="72"/>
    </row>
    <row r="589">
      <c r="B589" s="18"/>
      <c r="D589" s="18"/>
      <c r="E589" s="18"/>
      <c r="F589" s="18"/>
      <c r="G589" s="18"/>
      <c r="H589" s="72"/>
      <c r="I589" s="72"/>
    </row>
    <row r="590">
      <c r="B590" s="18"/>
      <c r="D590" s="18"/>
      <c r="E590" s="18"/>
      <c r="F590" s="18"/>
      <c r="G590" s="18"/>
      <c r="H590" s="72"/>
      <c r="I590" s="72"/>
    </row>
    <row r="591">
      <c r="B591" s="18"/>
      <c r="D591" s="18"/>
      <c r="E591" s="18"/>
      <c r="F591" s="18"/>
      <c r="G591" s="18"/>
      <c r="H591" s="72"/>
      <c r="I591" s="72"/>
    </row>
    <row r="592">
      <c r="B592" s="18"/>
      <c r="D592" s="18"/>
      <c r="E592" s="18"/>
      <c r="F592" s="18"/>
      <c r="G592" s="18"/>
      <c r="H592" s="72"/>
      <c r="I592" s="72"/>
    </row>
    <row r="593">
      <c r="B593" s="18"/>
      <c r="D593" s="18"/>
      <c r="E593" s="18"/>
      <c r="F593" s="18"/>
      <c r="G593" s="18"/>
      <c r="H593" s="72"/>
      <c r="I593" s="72"/>
    </row>
    <row r="594">
      <c r="B594" s="18"/>
      <c r="D594" s="18"/>
      <c r="E594" s="18"/>
      <c r="F594" s="18"/>
      <c r="G594" s="18"/>
      <c r="H594" s="72"/>
      <c r="I594" s="72"/>
    </row>
    <row r="595">
      <c r="B595" s="18"/>
      <c r="D595" s="18"/>
      <c r="E595" s="18"/>
      <c r="F595" s="18"/>
      <c r="G595" s="18"/>
      <c r="H595" s="72"/>
      <c r="I595" s="72"/>
    </row>
    <row r="596">
      <c r="B596" s="18"/>
      <c r="D596" s="18"/>
      <c r="E596" s="18"/>
      <c r="F596" s="18"/>
      <c r="G596" s="18"/>
      <c r="H596" s="72"/>
      <c r="I596" s="72"/>
    </row>
    <row r="597">
      <c r="B597" s="18"/>
      <c r="D597" s="18"/>
      <c r="E597" s="18"/>
      <c r="F597" s="18"/>
      <c r="G597" s="18"/>
      <c r="H597" s="72"/>
      <c r="I597" s="72"/>
    </row>
    <row r="598">
      <c r="B598" s="18"/>
      <c r="D598" s="18"/>
      <c r="E598" s="18"/>
      <c r="F598" s="18"/>
      <c r="G598" s="18"/>
      <c r="H598" s="72"/>
      <c r="I598" s="72"/>
    </row>
    <row r="599">
      <c r="B599" s="18"/>
      <c r="D599" s="18"/>
      <c r="E599" s="18"/>
      <c r="F599" s="18"/>
      <c r="G599" s="18"/>
      <c r="H599" s="72"/>
      <c r="I599" s="72"/>
    </row>
    <row r="600">
      <c r="B600" s="18"/>
      <c r="D600" s="18"/>
      <c r="E600" s="18"/>
      <c r="F600" s="18"/>
      <c r="G600" s="18"/>
      <c r="H600" s="72"/>
      <c r="I600" s="72"/>
    </row>
    <row r="601">
      <c r="B601" s="18"/>
      <c r="D601" s="18"/>
      <c r="E601" s="18"/>
      <c r="F601" s="18"/>
      <c r="G601" s="18"/>
      <c r="H601" s="72"/>
      <c r="I601" s="72"/>
    </row>
    <row r="602">
      <c r="B602" s="18"/>
      <c r="D602" s="18"/>
      <c r="E602" s="18"/>
      <c r="F602" s="18"/>
      <c r="G602" s="18"/>
      <c r="H602" s="72"/>
      <c r="I602" s="72"/>
    </row>
    <row r="603">
      <c r="B603" s="18"/>
      <c r="D603" s="18"/>
      <c r="E603" s="18"/>
      <c r="F603" s="18"/>
      <c r="G603" s="18"/>
      <c r="H603" s="72"/>
      <c r="I603" s="72"/>
    </row>
    <row r="604">
      <c r="B604" s="18"/>
      <c r="D604" s="18"/>
      <c r="E604" s="18"/>
      <c r="F604" s="18"/>
      <c r="G604" s="18"/>
      <c r="H604" s="72"/>
      <c r="I604" s="72"/>
    </row>
    <row r="605">
      <c r="B605" s="18"/>
      <c r="D605" s="18"/>
      <c r="E605" s="18"/>
      <c r="F605" s="18"/>
      <c r="G605" s="18"/>
      <c r="H605" s="72"/>
      <c r="I605" s="72"/>
    </row>
    <row r="606">
      <c r="B606" s="18"/>
      <c r="D606" s="18"/>
      <c r="E606" s="18"/>
      <c r="F606" s="18"/>
      <c r="G606" s="18"/>
      <c r="H606" s="72"/>
      <c r="I606" s="72"/>
    </row>
    <row r="607">
      <c r="B607" s="18"/>
      <c r="D607" s="18"/>
      <c r="E607" s="18"/>
      <c r="F607" s="18"/>
      <c r="G607" s="18"/>
      <c r="H607" s="72"/>
      <c r="I607" s="72"/>
    </row>
    <row r="608">
      <c r="B608" s="18"/>
      <c r="D608" s="18"/>
      <c r="E608" s="18"/>
      <c r="F608" s="18"/>
      <c r="G608" s="18"/>
      <c r="H608" s="72"/>
      <c r="I608" s="72"/>
    </row>
    <row r="609">
      <c r="B609" s="18"/>
      <c r="D609" s="18"/>
      <c r="E609" s="18"/>
      <c r="F609" s="18"/>
      <c r="G609" s="18"/>
      <c r="H609" s="72"/>
      <c r="I609" s="72"/>
    </row>
    <row r="610">
      <c r="B610" s="18"/>
      <c r="D610" s="18"/>
      <c r="E610" s="18"/>
      <c r="F610" s="18"/>
      <c r="G610" s="18"/>
      <c r="H610" s="72"/>
      <c r="I610" s="72"/>
    </row>
    <row r="611">
      <c r="B611" s="18"/>
      <c r="D611" s="18"/>
      <c r="E611" s="18"/>
      <c r="F611" s="18"/>
      <c r="G611" s="18"/>
      <c r="H611" s="72"/>
      <c r="I611" s="72"/>
    </row>
    <row r="612">
      <c r="B612" s="18"/>
      <c r="D612" s="18"/>
      <c r="E612" s="18"/>
      <c r="F612" s="18"/>
      <c r="G612" s="18"/>
      <c r="H612" s="72"/>
      <c r="I612" s="72"/>
    </row>
    <row r="613">
      <c r="B613" s="18"/>
      <c r="D613" s="18"/>
      <c r="E613" s="18"/>
      <c r="F613" s="18"/>
      <c r="G613" s="18"/>
      <c r="H613" s="72"/>
      <c r="I613" s="72"/>
    </row>
    <row r="614">
      <c r="B614" s="18"/>
      <c r="D614" s="18"/>
      <c r="E614" s="18"/>
      <c r="F614" s="18"/>
      <c r="G614" s="18"/>
      <c r="H614" s="72"/>
      <c r="I614" s="72"/>
    </row>
    <row r="615">
      <c r="B615" s="18"/>
      <c r="D615" s="18"/>
      <c r="E615" s="18"/>
      <c r="F615" s="18"/>
      <c r="G615" s="18"/>
      <c r="H615" s="72"/>
      <c r="I615" s="72"/>
    </row>
    <row r="616">
      <c r="B616" s="18"/>
      <c r="D616" s="18"/>
      <c r="E616" s="18"/>
      <c r="F616" s="18"/>
      <c r="G616" s="18"/>
      <c r="H616" s="72"/>
      <c r="I616" s="72"/>
    </row>
    <row r="617">
      <c r="B617" s="18"/>
      <c r="D617" s="18"/>
      <c r="E617" s="18"/>
      <c r="F617" s="18"/>
      <c r="G617" s="18"/>
      <c r="H617" s="72"/>
      <c r="I617" s="72"/>
    </row>
    <row r="618">
      <c r="B618" s="18"/>
      <c r="D618" s="18"/>
      <c r="E618" s="18"/>
      <c r="F618" s="18"/>
      <c r="G618" s="18"/>
      <c r="H618" s="72"/>
      <c r="I618" s="72"/>
    </row>
    <row r="619">
      <c r="B619" s="18"/>
      <c r="D619" s="18"/>
      <c r="E619" s="18"/>
      <c r="F619" s="18"/>
      <c r="G619" s="18"/>
      <c r="H619" s="72"/>
      <c r="I619" s="72"/>
    </row>
    <row r="620">
      <c r="B620" s="18"/>
      <c r="D620" s="18"/>
      <c r="E620" s="18"/>
      <c r="F620" s="18"/>
      <c r="G620" s="18"/>
      <c r="H620" s="72"/>
      <c r="I620" s="72"/>
    </row>
    <row r="621">
      <c r="B621" s="18"/>
      <c r="D621" s="18"/>
      <c r="E621" s="18"/>
      <c r="F621" s="18"/>
      <c r="G621" s="18"/>
      <c r="H621" s="72"/>
      <c r="I621" s="72"/>
    </row>
    <row r="622">
      <c r="B622" s="18"/>
      <c r="D622" s="18"/>
      <c r="E622" s="18"/>
      <c r="F622" s="18"/>
      <c r="G622" s="18"/>
      <c r="H622" s="72"/>
      <c r="I622" s="72"/>
    </row>
    <row r="623">
      <c r="B623" s="18"/>
      <c r="D623" s="18"/>
      <c r="E623" s="18"/>
      <c r="F623" s="18"/>
      <c r="G623" s="18"/>
      <c r="H623" s="72"/>
      <c r="I623" s="72"/>
    </row>
    <row r="624">
      <c r="B624" s="18"/>
      <c r="D624" s="18"/>
      <c r="E624" s="18"/>
      <c r="F624" s="18"/>
      <c r="G624" s="18"/>
      <c r="H624" s="72"/>
      <c r="I624" s="72"/>
    </row>
    <row r="625">
      <c r="B625" s="18"/>
      <c r="D625" s="18"/>
      <c r="E625" s="18"/>
      <c r="F625" s="18"/>
      <c r="G625" s="18"/>
      <c r="H625" s="72"/>
      <c r="I625" s="72"/>
    </row>
    <row r="626">
      <c r="B626" s="18"/>
      <c r="D626" s="18"/>
      <c r="E626" s="18"/>
      <c r="F626" s="18"/>
      <c r="G626" s="18"/>
      <c r="H626" s="72"/>
      <c r="I626" s="72"/>
    </row>
    <row r="627">
      <c r="B627" s="18"/>
      <c r="D627" s="18"/>
      <c r="E627" s="18"/>
      <c r="F627" s="18"/>
      <c r="G627" s="18"/>
      <c r="H627" s="72"/>
      <c r="I627" s="72"/>
    </row>
    <row r="628">
      <c r="B628" s="18"/>
      <c r="D628" s="18"/>
      <c r="E628" s="18"/>
      <c r="F628" s="18"/>
      <c r="G628" s="18"/>
      <c r="H628" s="72"/>
      <c r="I628" s="72"/>
    </row>
    <row r="629">
      <c r="B629" s="18"/>
      <c r="D629" s="18"/>
      <c r="E629" s="18"/>
      <c r="F629" s="18"/>
      <c r="G629" s="18"/>
      <c r="H629" s="72"/>
      <c r="I629" s="72"/>
    </row>
    <row r="630">
      <c r="B630" s="18"/>
      <c r="D630" s="18"/>
      <c r="E630" s="18"/>
      <c r="F630" s="18"/>
      <c r="G630" s="18"/>
      <c r="H630" s="72"/>
      <c r="I630" s="72"/>
    </row>
    <row r="631">
      <c r="B631" s="18"/>
      <c r="D631" s="18"/>
      <c r="E631" s="18"/>
      <c r="F631" s="18"/>
      <c r="G631" s="18"/>
      <c r="H631" s="72"/>
      <c r="I631" s="72"/>
    </row>
    <row r="632">
      <c r="B632" s="18"/>
      <c r="D632" s="18"/>
      <c r="E632" s="18"/>
      <c r="F632" s="18"/>
      <c r="G632" s="18"/>
      <c r="H632" s="72"/>
      <c r="I632" s="72"/>
    </row>
    <row r="633">
      <c r="B633" s="18"/>
      <c r="D633" s="18"/>
      <c r="E633" s="18"/>
      <c r="F633" s="18"/>
      <c r="G633" s="18"/>
      <c r="H633" s="72"/>
      <c r="I633" s="72"/>
    </row>
    <row r="634">
      <c r="B634" s="18"/>
      <c r="D634" s="18"/>
      <c r="E634" s="18"/>
      <c r="F634" s="18"/>
      <c r="G634" s="18"/>
      <c r="H634" s="72"/>
      <c r="I634" s="72"/>
    </row>
    <row r="635">
      <c r="B635" s="18"/>
      <c r="D635" s="18"/>
      <c r="E635" s="18"/>
      <c r="F635" s="18"/>
      <c r="G635" s="18"/>
      <c r="H635" s="72"/>
      <c r="I635" s="72"/>
    </row>
    <row r="636">
      <c r="B636" s="18"/>
      <c r="D636" s="18"/>
      <c r="E636" s="18"/>
      <c r="F636" s="18"/>
      <c r="G636" s="18"/>
      <c r="H636" s="72"/>
      <c r="I636" s="72"/>
    </row>
    <row r="637">
      <c r="B637" s="18"/>
      <c r="D637" s="18"/>
      <c r="E637" s="18"/>
      <c r="F637" s="18"/>
      <c r="G637" s="18"/>
      <c r="H637" s="72"/>
      <c r="I637" s="72"/>
    </row>
    <row r="638">
      <c r="B638" s="18"/>
      <c r="D638" s="18"/>
      <c r="E638" s="18"/>
      <c r="F638" s="18"/>
      <c r="G638" s="18"/>
      <c r="H638" s="72"/>
      <c r="I638" s="72"/>
    </row>
    <row r="639">
      <c r="B639" s="18"/>
      <c r="D639" s="18"/>
      <c r="E639" s="18"/>
      <c r="F639" s="18"/>
      <c r="G639" s="18"/>
      <c r="H639" s="72"/>
      <c r="I639" s="72"/>
    </row>
    <row r="640">
      <c r="B640" s="18"/>
      <c r="D640" s="18"/>
      <c r="E640" s="18"/>
      <c r="F640" s="18"/>
      <c r="G640" s="18"/>
      <c r="H640" s="72"/>
      <c r="I640" s="72"/>
    </row>
    <row r="641">
      <c r="B641" s="18"/>
      <c r="D641" s="18"/>
      <c r="E641" s="18"/>
      <c r="F641" s="18"/>
      <c r="G641" s="18"/>
      <c r="H641" s="72"/>
      <c r="I641" s="72"/>
    </row>
    <row r="642">
      <c r="B642" s="18"/>
      <c r="D642" s="18"/>
      <c r="E642" s="18"/>
      <c r="F642" s="18"/>
      <c r="G642" s="18"/>
      <c r="H642" s="72"/>
      <c r="I642" s="72"/>
    </row>
    <row r="643">
      <c r="B643" s="18"/>
      <c r="D643" s="18"/>
      <c r="E643" s="18"/>
      <c r="F643" s="18"/>
      <c r="G643" s="18"/>
      <c r="H643" s="72"/>
      <c r="I643" s="72"/>
    </row>
    <row r="644">
      <c r="B644" s="18"/>
      <c r="D644" s="18"/>
      <c r="E644" s="18"/>
      <c r="F644" s="18"/>
      <c r="G644" s="18"/>
      <c r="H644" s="72"/>
      <c r="I644" s="72"/>
    </row>
    <row r="645">
      <c r="B645" s="18"/>
      <c r="D645" s="18"/>
      <c r="E645" s="18"/>
      <c r="F645" s="18"/>
      <c r="G645" s="18"/>
      <c r="H645" s="72"/>
      <c r="I645" s="72"/>
    </row>
    <row r="646">
      <c r="B646" s="18"/>
      <c r="D646" s="18"/>
      <c r="E646" s="18"/>
      <c r="F646" s="18"/>
      <c r="G646" s="18"/>
      <c r="H646" s="72"/>
      <c r="I646" s="72"/>
    </row>
    <row r="647">
      <c r="B647" s="18"/>
      <c r="D647" s="18"/>
      <c r="E647" s="18"/>
      <c r="F647" s="18"/>
      <c r="G647" s="18"/>
      <c r="H647" s="72"/>
      <c r="I647" s="72"/>
    </row>
    <row r="648">
      <c r="B648" s="18"/>
      <c r="D648" s="18"/>
      <c r="E648" s="18"/>
      <c r="F648" s="18"/>
      <c r="G648" s="18"/>
      <c r="H648" s="72"/>
      <c r="I648" s="72"/>
    </row>
    <row r="649">
      <c r="B649" s="18"/>
      <c r="D649" s="18"/>
      <c r="E649" s="18"/>
      <c r="F649" s="18"/>
      <c r="G649" s="18"/>
      <c r="H649" s="72"/>
      <c r="I649" s="72"/>
    </row>
    <row r="650">
      <c r="B650" s="18"/>
      <c r="D650" s="18"/>
      <c r="E650" s="18"/>
      <c r="F650" s="18"/>
      <c r="G650" s="18"/>
      <c r="H650" s="72"/>
      <c r="I650" s="72"/>
    </row>
    <row r="651">
      <c r="B651" s="18"/>
      <c r="D651" s="18"/>
      <c r="E651" s="18"/>
      <c r="F651" s="18"/>
      <c r="G651" s="18"/>
      <c r="H651" s="72"/>
      <c r="I651" s="72"/>
    </row>
    <row r="652">
      <c r="B652" s="18"/>
      <c r="D652" s="18"/>
      <c r="E652" s="18"/>
      <c r="F652" s="18"/>
      <c r="G652" s="18"/>
      <c r="H652" s="72"/>
      <c r="I652" s="72"/>
    </row>
    <row r="653">
      <c r="B653" s="18"/>
      <c r="D653" s="18"/>
      <c r="E653" s="18"/>
      <c r="F653" s="18"/>
      <c r="G653" s="18"/>
      <c r="H653" s="72"/>
      <c r="I653" s="72"/>
    </row>
    <row r="654">
      <c r="B654" s="18"/>
      <c r="D654" s="18"/>
      <c r="E654" s="18"/>
      <c r="F654" s="18"/>
      <c r="G654" s="18"/>
      <c r="H654" s="72"/>
      <c r="I654" s="72"/>
    </row>
    <row r="655">
      <c r="B655" s="18"/>
      <c r="D655" s="18"/>
      <c r="E655" s="18"/>
      <c r="F655" s="18"/>
      <c r="G655" s="18"/>
      <c r="H655" s="72"/>
      <c r="I655" s="72"/>
    </row>
    <row r="656">
      <c r="B656" s="18"/>
      <c r="D656" s="18"/>
      <c r="E656" s="18"/>
      <c r="F656" s="18"/>
      <c r="G656" s="18"/>
      <c r="H656" s="72"/>
      <c r="I656" s="72"/>
    </row>
    <row r="657">
      <c r="B657" s="18"/>
      <c r="D657" s="18"/>
      <c r="E657" s="18"/>
      <c r="F657" s="18"/>
      <c r="G657" s="18"/>
      <c r="H657" s="72"/>
      <c r="I657" s="72"/>
    </row>
    <row r="658">
      <c r="B658" s="18"/>
      <c r="D658" s="18"/>
      <c r="E658" s="18"/>
      <c r="F658" s="18"/>
      <c r="G658" s="18"/>
      <c r="H658" s="72"/>
      <c r="I658" s="72"/>
    </row>
    <row r="659">
      <c r="B659" s="18"/>
      <c r="D659" s="18"/>
      <c r="E659" s="18"/>
      <c r="F659" s="18"/>
      <c r="G659" s="18"/>
      <c r="H659" s="72"/>
      <c r="I659" s="72"/>
    </row>
    <row r="660">
      <c r="B660" s="18"/>
      <c r="D660" s="18"/>
      <c r="E660" s="18"/>
      <c r="F660" s="18"/>
      <c r="G660" s="18"/>
      <c r="H660" s="72"/>
      <c r="I660" s="72"/>
    </row>
    <row r="661">
      <c r="B661" s="18"/>
      <c r="D661" s="18"/>
      <c r="E661" s="18"/>
      <c r="F661" s="18"/>
      <c r="G661" s="18"/>
      <c r="H661" s="72"/>
      <c r="I661" s="72"/>
    </row>
    <row r="662">
      <c r="B662" s="18"/>
      <c r="D662" s="18"/>
      <c r="E662" s="18"/>
      <c r="F662" s="18"/>
      <c r="G662" s="18"/>
      <c r="H662" s="72"/>
      <c r="I662" s="72"/>
    </row>
    <row r="663">
      <c r="B663" s="18"/>
      <c r="D663" s="18"/>
      <c r="E663" s="18"/>
      <c r="F663" s="18"/>
      <c r="G663" s="18"/>
      <c r="H663" s="72"/>
      <c r="I663" s="72"/>
    </row>
    <row r="664">
      <c r="B664" s="18"/>
      <c r="D664" s="18"/>
      <c r="E664" s="18"/>
      <c r="F664" s="18"/>
      <c r="G664" s="18"/>
      <c r="H664" s="72"/>
      <c r="I664" s="72"/>
    </row>
    <row r="665">
      <c r="B665" s="18"/>
      <c r="D665" s="18"/>
      <c r="E665" s="18"/>
      <c r="F665" s="18"/>
      <c r="G665" s="18"/>
      <c r="H665" s="72"/>
      <c r="I665" s="72"/>
    </row>
    <row r="666">
      <c r="B666" s="18"/>
      <c r="D666" s="18"/>
      <c r="E666" s="18"/>
      <c r="F666" s="18"/>
      <c r="G666" s="18"/>
      <c r="H666" s="72"/>
      <c r="I666" s="72"/>
    </row>
    <row r="667">
      <c r="B667" s="18"/>
      <c r="D667" s="18"/>
      <c r="E667" s="18"/>
      <c r="F667" s="18"/>
      <c r="G667" s="18"/>
      <c r="H667" s="72"/>
      <c r="I667" s="72"/>
    </row>
    <row r="668">
      <c r="B668" s="18"/>
      <c r="D668" s="18"/>
      <c r="E668" s="18"/>
      <c r="F668" s="18"/>
      <c r="G668" s="18"/>
      <c r="H668" s="72"/>
      <c r="I668" s="72"/>
    </row>
    <row r="669">
      <c r="B669" s="18"/>
      <c r="D669" s="18"/>
      <c r="E669" s="18"/>
      <c r="F669" s="18"/>
      <c r="G669" s="18"/>
      <c r="H669" s="72"/>
      <c r="I669" s="72"/>
    </row>
    <row r="670">
      <c r="B670" s="18"/>
      <c r="D670" s="18"/>
      <c r="E670" s="18"/>
      <c r="F670" s="18"/>
      <c r="G670" s="18"/>
      <c r="H670" s="72"/>
      <c r="I670" s="72"/>
    </row>
    <row r="671">
      <c r="B671" s="18"/>
      <c r="D671" s="18"/>
      <c r="E671" s="18"/>
      <c r="F671" s="18"/>
      <c r="G671" s="18"/>
      <c r="H671" s="72"/>
      <c r="I671" s="72"/>
    </row>
    <row r="672">
      <c r="B672" s="18"/>
      <c r="D672" s="18"/>
      <c r="E672" s="18"/>
      <c r="F672" s="18"/>
      <c r="G672" s="18"/>
      <c r="H672" s="72"/>
      <c r="I672" s="72"/>
    </row>
    <row r="673">
      <c r="B673" s="18"/>
      <c r="D673" s="18"/>
      <c r="E673" s="18"/>
      <c r="F673" s="18"/>
      <c r="G673" s="18"/>
      <c r="H673" s="72"/>
      <c r="I673" s="72"/>
    </row>
    <row r="674">
      <c r="B674" s="18"/>
      <c r="D674" s="18"/>
      <c r="E674" s="18"/>
      <c r="F674" s="18"/>
      <c r="G674" s="18"/>
      <c r="H674" s="72"/>
      <c r="I674" s="72"/>
    </row>
    <row r="675">
      <c r="B675" s="18"/>
      <c r="D675" s="18"/>
      <c r="E675" s="18"/>
      <c r="F675" s="18"/>
      <c r="G675" s="18"/>
      <c r="H675" s="72"/>
      <c r="I675" s="72"/>
    </row>
    <row r="676">
      <c r="B676" s="18"/>
      <c r="D676" s="18"/>
      <c r="E676" s="18"/>
      <c r="F676" s="18"/>
      <c r="G676" s="18"/>
      <c r="H676" s="72"/>
      <c r="I676" s="72"/>
    </row>
    <row r="677">
      <c r="B677" s="18"/>
      <c r="D677" s="18"/>
      <c r="E677" s="18"/>
      <c r="F677" s="18"/>
      <c r="G677" s="18"/>
      <c r="H677" s="72"/>
      <c r="I677" s="72"/>
    </row>
    <row r="678">
      <c r="B678" s="18"/>
      <c r="D678" s="18"/>
      <c r="E678" s="18"/>
      <c r="F678" s="18"/>
      <c r="G678" s="18"/>
      <c r="H678" s="72"/>
      <c r="I678" s="72"/>
    </row>
    <row r="679">
      <c r="B679" s="18"/>
      <c r="D679" s="18"/>
      <c r="E679" s="18"/>
      <c r="F679" s="18"/>
      <c r="G679" s="18"/>
      <c r="H679" s="72"/>
      <c r="I679" s="72"/>
    </row>
    <row r="680">
      <c r="B680" s="18"/>
      <c r="D680" s="18"/>
      <c r="E680" s="18"/>
      <c r="F680" s="18"/>
      <c r="G680" s="18"/>
      <c r="H680" s="72"/>
      <c r="I680" s="72"/>
    </row>
    <row r="681">
      <c r="B681" s="18"/>
      <c r="D681" s="18"/>
      <c r="E681" s="18"/>
      <c r="F681" s="18"/>
      <c r="G681" s="18"/>
      <c r="H681" s="72"/>
      <c r="I681" s="72"/>
    </row>
    <row r="682">
      <c r="B682" s="18"/>
      <c r="D682" s="18"/>
      <c r="E682" s="18"/>
      <c r="F682" s="18"/>
      <c r="G682" s="18"/>
      <c r="H682" s="72"/>
      <c r="I682" s="72"/>
    </row>
    <row r="683">
      <c r="B683" s="18"/>
      <c r="D683" s="18"/>
      <c r="E683" s="18"/>
      <c r="F683" s="18"/>
      <c r="G683" s="18"/>
      <c r="H683" s="72"/>
      <c r="I683" s="72"/>
    </row>
    <row r="684">
      <c r="B684" s="18"/>
      <c r="D684" s="18"/>
      <c r="E684" s="18"/>
      <c r="F684" s="18"/>
      <c r="G684" s="18"/>
      <c r="H684" s="72"/>
      <c r="I684" s="72"/>
    </row>
    <row r="685">
      <c r="B685" s="18"/>
      <c r="D685" s="18"/>
      <c r="E685" s="18"/>
      <c r="F685" s="18"/>
      <c r="G685" s="18"/>
      <c r="H685" s="72"/>
      <c r="I685" s="72"/>
    </row>
    <row r="686">
      <c r="B686" s="18"/>
      <c r="D686" s="18"/>
      <c r="E686" s="18"/>
      <c r="F686" s="18"/>
      <c r="G686" s="18"/>
      <c r="H686" s="72"/>
      <c r="I686" s="72"/>
    </row>
    <row r="687">
      <c r="B687" s="18"/>
      <c r="D687" s="18"/>
      <c r="E687" s="18"/>
      <c r="F687" s="18"/>
      <c r="G687" s="18"/>
      <c r="H687" s="72"/>
      <c r="I687" s="72"/>
    </row>
    <row r="688">
      <c r="B688" s="18"/>
      <c r="D688" s="18"/>
      <c r="E688" s="18"/>
      <c r="F688" s="18"/>
      <c r="G688" s="18"/>
      <c r="H688" s="72"/>
      <c r="I688" s="72"/>
    </row>
    <row r="689">
      <c r="B689" s="18"/>
      <c r="D689" s="18"/>
      <c r="E689" s="18"/>
      <c r="F689" s="18"/>
      <c r="G689" s="18"/>
      <c r="H689" s="72"/>
      <c r="I689" s="72"/>
    </row>
    <row r="690">
      <c r="B690" s="18"/>
      <c r="D690" s="18"/>
      <c r="E690" s="18"/>
      <c r="F690" s="18"/>
      <c r="G690" s="18"/>
      <c r="H690" s="72"/>
      <c r="I690" s="72"/>
    </row>
    <row r="691">
      <c r="B691" s="18"/>
      <c r="D691" s="18"/>
      <c r="E691" s="18"/>
      <c r="F691" s="18"/>
      <c r="G691" s="18"/>
      <c r="H691" s="72"/>
      <c r="I691" s="72"/>
    </row>
    <row r="692">
      <c r="B692" s="18"/>
      <c r="D692" s="18"/>
      <c r="E692" s="18"/>
      <c r="F692" s="18"/>
      <c r="G692" s="18"/>
      <c r="H692" s="72"/>
      <c r="I692" s="72"/>
    </row>
    <row r="693">
      <c r="B693" s="18"/>
      <c r="D693" s="18"/>
      <c r="E693" s="18"/>
      <c r="F693" s="18"/>
      <c r="G693" s="18"/>
      <c r="H693" s="72"/>
      <c r="I693" s="72"/>
    </row>
    <row r="694">
      <c r="B694" s="18"/>
      <c r="D694" s="18"/>
      <c r="E694" s="18"/>
      <c r="F694" s="18"/>
      <c r="G694" s="18"/>
      <c r="H694" s="72"/>
      <c r="I694" s="72"/>
    </row>
    <row r="695">
      <c r="B695" s="18"/>
      <c r="D695" s="18"/>
      <c r="E695" s="18"/>
      <c r="F695" s="18"/>
      <c r="G695" s="18"/>
      <c r="H695" s="72"/>
      <c r="I695" s="72"/>
    </row>
    <row r="696">
      <c r="B696" s="18"/>
      <c r="D696" s="18"/>
      <c r="E696" s="18"/>
      <c r="F696" s="18"/>
      <c r="G696" s="18"/>
      <c r="H696" s="72"/>
      <c r="I696" s="72"/>
    </row>
    <row r="697">
      <c r="B697" s="18"/>
      <c r="D697" s="18"/>
      <c r="E697" s="18"/>
      <c r="F697" s="18"/>
      <c r="G697" s="18"/>
      <c r="H697" s="72"/>
      <c r="I697" s="72"/>
    </row>
    <row r="698">
      <c r="B698" s="18"/>
      <c r="D698" s="18"/>
      <c r="E698" s="18"/>
      <c r="F698" s="18"/>
      <c r="G698" s="18"/>
      <c r="H698" s="72"/>
      <c r="I698" s="72"/>
    </row>
    <row r="699">
      <c r="B699" s="18"/>
      <c r="D699" s="18"/>
      <c r="E699" s="18"/>
      <c r="F699" s="18"/>
      <c r="G699" s="18"/>
      <c r="H699" s="72"/>
      <c r="I699" s="72"/>
    </row>
    <row r="700">
      <c r="B700" s="18"/>
      <c r="D700" s="18"/>
      <c r="E700" s="18"/>
      <c r="F700" s="18"/>
      <c r="G700" s="18"/>
      <c r="H700" s="72"/>
      <c r="I700" s="72"/>
    </row>
    <row r="701">
      <c r="B701" s="18"/>
      <c r="D701" s="18"/>
      <c r="E701" s="18"/>
      <c r="F701" s="18"/>
      <c r="G701" s="18"/>
      <c r="H701" s="72"/>
      <c r="I701" s="72"/>
    </row>
    <row r="702">
      <c r="B702" s="18"/>
      <c r="D702" s="18"/>
      <c r="E702" s="18"/>
      <c r="F702" s="18"/>
      <c r="G702" s="18"/>
      <c r="H702" s="72"/>
      <c r="I702" s="72"/>
    </row>
    <row r="703">
      <c r="B703" s="18"/>
      <c r="D703" s="18"/>
      <c r="E703" s="18"/>
      <c r="F703" s="18"/>
      <c r="G703" s="18"/>
      <c r="H703" s="72"/>
      <c r="I703" s="72"/>
    </row>
    <row r="704">
      <c r="B704" s="18"/>
      <c r="D704" s="18"/>
      <c r="E704" s="18"/>
      <c r="F704" s="18"/>
      <c r="G704" s="18"/>
      <c r="H704" s="72"/>
      <c r="I704" s="72"/>
    </row>
    <row r="705">
      <c r="B705" s="18"/>
      <c r="D705" s="18"/>
      <c r="E705" s="18"/>
      <c r="F705" s="18"/>
      <c r="G705" s="18"/>
      <c r="H705" s="72"/>
      <c r="I705" s="72"/>
    </row>
    <row r="706">
      <c r="B706" s="18"/>
      <c r="D706" s="18"/>
      <c r="E706" s="18"/>
      <c r="F706" s="18"/>
      <c r="G706" s="18"/>
      <c r="H706" s="72"/>
      <c r="I706" s="72"/>
    </row>
    <row r="707">
      <c r="B707" s="18"/>
      <c r="D707" s="18"/>
      <c r="E707" s="18"/>
      <c r="F707" s="18"/>
      <c r="G707" s="18"/>
      <c r="H707" s="72"/>
      <c r="I707" s="72"/>
    </row>
    <row r="708">
      <c r="B708" s="18"/>
      <c r="D708" s="18"/>
      <c r="E708" s="18"/>
      <c r="F708" s="18"/>
      <c r="G708" s="18"/>
      <c r="H708" s="72"/>
      <c r="I708" s="72"/>
    </row>
    <row r="709">
      <c r="B709" s="18"/>
      <c r="D709" s="18"/>
      <c r="E709" s="18"/>
      <c r="F709" s="18"/>
      <c r="G709" s="18"/>
      <c r="H709" s="72"/>
      <c r="I709" s="72"/>
    </row>
    <row r="710">
      <c r="B710" s="18"/>
      <c r="D710" s="18"/>
      <c r="E710" s="18"/>
      <c r="F710" s="18"/>
      <c r="G710" s="18"/>
      <c r="H710" s="72"/>
      <c r="I710" s="72"/>
    </row>
    <row r="711">
      <c r="B711" s="18"/>
      <c r="D711" s="18"/>
      <c r="E711" s="18"/>
      <c r="F711" s="18"/>
      <c r="G711" s="18"/>
      <c r="H711" s="72"/>
      <c r="I711" s="72"/>
    </row>
    <row r="712">
      <c r="B712" s="18"/>
      <c r="D712" s="18"/>
      <c r="E712" s="18"/>
      <c r="F712" s="18"/>
      <c r="G712" s="18"/>
      <c r="H712" s="72"/>
      <c r="I712" s="72"/>
    </row>
    <row r="713">
      <c r="B713" s="18"/>
      <c r="D713" s="18"/>
      <c r="E713" s="18"/>
      <c r="F713" s="18"/>
      <c r="G713" s="18"/>
      <c r="H713" s="72"/>
      <c r="I713" s="72"/>
    </row>
    <row r="714">
      <c r="B714" s="18"/>
      <c r="D714" s="18"/>
      <c r="E714" s="18"/>
      <c r="F714" s="18"/>
      <c r="G714" s="18"/>
      <c r="H714" s="72"/>
      <c r="I714" s="72"/>
    </row>
    <row r="715">
      <c r="B715" s="18"/>
      <c r="D715" s="18"/>
      <c r="E715" s="18"/>
      <c r="F715" s="18"/>
      <c r="G715" s="18"/>
      <c r="H715" s="72"/>
      <c r="I715" s="72"/>
    </row>
    <row r="716">
      <c r="B716" s="18"/>
      <c r="D716" s="18"/>
      <c r="E716" s="18"/>
      <c r="F716" s="18"/>
      <c r="G716" s="18"/>
      <c r="H716" s="72"/>
      <c r="I716" s="72"/>
    </row>
    <row r="717">
      <c r="B717" s="18"/>
      <c r="D717" s="18"/>
      <c r="E717" s="18"/>
      <c r="F717" s="18"/>
      <c r="G717" s="18"/>
      <c r="H717" s="72"/>
      <c r="I717" s="72"/>
    </row>
    <row r="718">
      <c r="B718" s="18"/>
      <c r="D718" s="18"/>
      <c r="E718" s="18"/>
      <c r="F718" s="18"/>
      <c r="G718" s="18"/>
      <c r="H718" s="72"/>
      <c r="I718" s="72"/>
    </row>
    <row r="719">
      <c r="B719" s="18"/>
      <c r="D719" s="18"/>
      <c r="E719" s="18"/>
      <c r="F719" s="18"/>
      <c r="G719" s="18"/>
      <c r="H719" s="72"/>
      <c r="I719" s="72"/>
    </row>
    <row r="720">
      <c r="B720" s="18"/>
      <c r="D720" s="18"/>
      <c r="E720" s="18"/>
      <c r="F720" s="18"/>
      <c r="G720" s="18"/>
      <c r="H720" s="72"/>
      <c r="I720" s="72"/>
    </row>
    <row r="721">
      <c r="B721" s="18"/>
      <c r="D721" s="18"/>
      <c r="E721" s="18"/>
      <c r="F721" s="18"/>
      <c r="G721" s="18"/>
      <c r="H721" s="72"/>
      <c r="I721" s="72"/>
    </row>
    <row r="722">
      <c r="B722" s="18"/>
      <c r="D722" s="18"/>
      <c r="E722" s="18"/>
      <c r="F722" s="18"/>
      <c r="G722" s="18"/>
      <c r="H722" s="72"/>
      <c r="I722" s="72"/>
    </row>
    <row r="723">
      <c r="B723" s="18"/>
      <c r="D723" s="18"/>
      <c r="E723" s="18"/>
      <c r="F723" s="18"/>
      <c r="G723" s="18"/>
      <c r="H723" s="72"/>
      <c r="I723" s="72"/>
    </row>
    <row r="724">
      <c r="B724" s="18"/>
      <c r="D724" s="18"/>
      <c r="E724" s="18"/>
      <c r="F724" s="18"/>
      <c r="G724" s="18"/>
      <c r="H724" s="72"/>
      <c r="I724" s="72"/>
    </row>
    <row r="725">
      <c r="B725" s="18"/>
      <c r="D725" s="18"/>
      <c r="E725" s="18"/>
      <c r="F725" s="18"/>
      <c r="G725" s="18"/>
      <c r="H725" s="72"/>
      <c r="I725" s="72"/>
    </row>
    <row r="726">
      <c r="B726" s="18"/>
      <c r="D726" s="18"/>
      <c r="E726" s="18"/>
      <c r="F726" s="18"/>
      <c r="G726" s="18"/>
      <c r="H726" s="72"/>
      <c r="I726" s="72"/>
    </row>
    <row r="727">
      <c r="B727" s="18"/>
      <c r="D727" s="18"/>
      <c r="E727" s="18"/>
      <c r="F727" s="18"/>
      <c r="G727" s="18"/>
      <c r="H727" s="72"/>
      <c r="I727" s="72"/>
    </row>
    <row r="728">
      <c r="B728" s="18"/>
      <c r="D728" s="18"/>
      <c r="E728" s="18"/>
      <c r="F728" s="18"/>
      <c r="G728" s="18"/>
      <c r="H728" s="72"/>
      <c r="I728" s="72"/>
    </row>
    <row r="729">
      <c r="B729" s="18"/>
      <c r="D729" s="18"/>
      <c r="E729" s="18"/>
      <c r="F729" s="18"/>
      <c r="G729" s="18"/>
      <c r="H729" s="72"/>
      <c r="I729" s="72"/>
    </row>
    <row r="730">
      <c r="B730" s="18"/>
      <c r="D730" s="18"/>
      <c r="E730" s="18"/>
      <c r="F730" s="18"/>
      <c r="G730" s="18"/>
      <c r="H730" s="72"/>
      <c r="I730" s="72"/>
    </row>
    <row r="731">
      <c r="B731" s="18"/>
      <c r="D731" s="18"/>
      <c r="E731" s="18"/>
      <c r="F731" s="18"/>
      <c r="G731" s="18"/>
      <c r="H731" s="72"/>
      <c r="I731" s="72"/>
    </row>
    <row r="732">
      <c r="B732" s="18"/>
      <c r="D732" s="18"/>
      <c r="E732" s="18"/>
      <c r="F732" s="18"/>
      <c r="G732" s="18"/>
      <c r="H732" s="72"/>
      <c r="I732" s="72"/>
    </row>
    <row r="733">
      <c r="B733" s="18"/>
      <c r="D733" s="18"/>
      <c r="E733" s="18"/>
      <c r="F733" s="18"/>
      <c r="G733" s="18"/>
      <c r="H733" s="72"/>
      <c r="I733" s="72"/>
    </row>
    <row r="734">
      <c r="B734" s="18"/>
      <c r="D734" s="18"/>
      <c r="E734" s="18"/>
      <c r="F734" s="18"/>
      <c r="G734" s="18"/>
      <c r="H734" s="72"/>
      <c r="I734" s="72"/>
    </row>
    <row r="735">
      <c r="B735" s="18"/>
      <c r="D735" s="18"/>
      <c r="E735" s="18"/>
      <c r="F735" s="18"/>
      <c r="G735" s="18"/>
      <c r="H735" s="72"/>
      <c r="I735" s="72"/>
    </row>
    <row r="736">
      <c r="B736" s="18"/>
      <c r="D736" s="18"/>
      <c r="E736" s="18"/>
      <c r="F736" s="18"/>
      <c r="G736" s="18"/>
      <c r="H736" s="72"/>
      <c r="I736" s="72"/>
    </row>
    <row r="737">
      <c r="B737" s="18"/>
      <c r="D737" s="18"/>
      <c r="E737" s="18"/>
      <c r="F737" s="18"/>
      <c r="G737" s="18"/>
      <c r="H737" s="72"/>
      <c r="I737" s="72"/>
    </row>
    <row r="738">
      <c r="B738" s="18"/>
      <c r="D738" s="18"/>
      <c r="E738" s="18"/>
      <c r="F738" s="18"/>
      <c r="G738" s="18"/>
      <c r="H738" s="72"/>
      <c r="I738" s="72"/>
    </row>
    <row r="739">
      <c r="B739" s="18"/>
      <c r="D739" s="18"/>
      <c r="E739" s="18"/>
      <c r="F739" s="18"/>
      <c r="G739" s="18"/>
      <c r="H739" s="72"/>
      <c r="I739" s="72"/>
    </row>
    <row r="740">
      <c r="B740" s="18"/>
      <c r="D740" s="18"/>
      <c r="E740" s="18"/>
      <c r="F740" s="18"/>
      <c r="G740" s="18"/>
      <c r="H740" s="72"/>
      <c r="I740" s="72"/>
    </row>
    <row r="741">
      <c r="B741" s="18"/>
      <c r="D741" s="18"/>
      <c r="E741" s="18"/>
      <c r="F741" s="18"/>
      <c r="G741" s="18"/>
      <c r="H741" s="72"/>
      <c r="I741" s="72"/>
    </row>
    <row r="742">
      <c r="B742" s="18"/>
      <c r="D742" s="18"/>
      <c r="E742" s="18"/>
      <c r="F742" s="18"/>
      <c r="G742" s="18"/>
      <c r="H742" s="72"/>
      <c r="I742" s="72"/>
    </row>
    <row r="743">
      <c r="B743" s="18"/>
      <c r="D743" s="18"/>
      <c r="E743" s="18"/>
      <c r="F743" s="18"/>
      <c r="G743" s="18"/>
      <c r="H743" s="72"/>
      <c r="I743" s="72"/>
    </row>
    <row r="744">
      <c r="B744" s="18"/>
      <c r="D744" s="18"/>
      <c r="E744" s="18"/>
      <c r="F744" s="18"/>
      <c r="G744" s="18"/>
      <c r="H744" s="72"/>
      <c r="I744" s="72"/>
    </row>
    <row r="745">
      <c r="B745" s="18"/>
      <c r="D745" s="18"/>
      <c r="E745" s="18"/>
      <c r="F745" s="18"/>
      <c r="G745" s="18"/>
      <c r="H745" s="72"/>
      <c r="I745" s="72"/>
    </row>
    <row r="746">
      <c r="B746" s="18"/>
      <c r="D746" s="18"/>
      <c r="E746" s="18"/>
      <c r="F746" s="18"/>
      <c r="G746" s="18"/>
      <c r="H746" s="72"/>
      <c r="I746" s="72"/>
    </row>
    <row r="747">
      <c r="B747" s="18"/>
      <c r="D747" s="18"/>
      <c r="E747" s="18"/>
      <c r="F747" s="18"/>
      <c r="G747" s="18"/>
      <c r="H747" s="72"/>
      <c r="I747" s="72"/>
    </row>
    <row r="748">
      <c r="B748" s="18"/>
      <c r="D748" s="18"/>
      <c r="E748" s="18"/>
      <c r="F748" s="18"/>
      <c r="G748" s="18"/>
      <c r="H748" s="72"/>
      <c r="I748" s="72"/>
    </row>
    <row r="749">
      <c r="B749" s="18"/>
      <c r="D749" s="18"/>
      <c r="E749" s="18"/>
      <c r="F749" s="18"/>
      <c r="G749" s="18"/>
      <c r="H749" s="72"/>
      <c r="I749" s="72"/>
    </row>
    <row r="750">
      <c r="B750" s="18"/>
      <c r="D750" s="18"/>
      <c r="E750" s="18"/>
      <c r="F750" s="18"/>
      <c r="G750" s="18"/>
      <c r="H750" s="72"/>
      <c r="I750" s="72"/>
    </row>
    <row r="751">
      <c r="B751" s="18"/>
      <c r="D751" s="18"/>
      <c r="E751" s="18"/>
      <c r="F751" s="18"/>
      <c r="G751" s="18"/>
      <c r="H751" s="72"/>
      <c r="I751" s="72"/>
    </row>
    <row r="752">
      <c r="B752" s="18"/>
      <c r="D752" s="18"/>
      <c r="E752" s="18"/>
      <c r="F752" s="18"/>
      <c r="G752" s="18"/>
      <c r="H752" s="72"/>
      <c r="I752" s="72"/>
    </row>
    <row r="753">
      <c r="B753" s="18"/>
      <c r="D753" s="18"/>
      <c r="E753" s="18"/>
      <c r="F753" s="18"/>
      <c r="G753" s="18"/>
      <c r="H753" s="72"/>
      <c r="I753" s="72"/>
    </row>
    <row r="754">
      <c r="B754" s="18"/>
      <c r="D754" s="18"/>
      <c r="E754" s="18"/>
      <c r="F754" s="18"/>
      <c r="G754" s="18"/>
      <c r="H754" s="72"/>
      <c r="I754" s="72"/>
    </row>
    <row r="755">
      <c r="B755" s="18"/>
      <c r="D755" s="18"/>
      <c r="E755" s="18"/>
      <c r="F755" s="18"/>
      <c r="G755" s="18"/>
      <c r="H755" s="72"/>
      <c r="I755" s="72"/>
    </row>
    <row r="756">
      <c r="B756" s="18"/>
      <c r="D756" s="18"/>
      <c r="E756" s="18"/>
      <c r="F756" s="18"/>
      <c r="G756" s="18"/>
      <c r="H756" s="72"/>
      <c r="I756" s="72"/>
    </row>
    <row r="757">
      <c r="B757" s="18"/>
      <c r="D757" s="18"/>
      <c r="E757" s="18"/>
      <c r="F757" s="18"/>
      <c r="G757" s="18"/>
      <c r="H757" s="72"/>
      <c r="I757" s="72"/>
    </row>
    <row r="758">
      <c r="B758" s="18"/>
      <c r="D758" s="18"/>
      <c r="E758" s="18"/>
      <c r="F758" s="18"/>
      <c r="G758" s="18"/>
      <c r="H758" s="72"/>
      <c r="I758" s="72"/>
    </row>
    <row r="759">
      <c r="B759" s="18"/>
      <c r="D759" s="18"/>
      <c r="E759" s="18"/>
      <c r="F759" s="18"/>
      <c r="G759" s="18"/>
      <c r="H759" s="72"/>
      <c r="I759" s="72"/>
    </row>
    <row r="760">
      <c r="B760" s="18"/>
      <c r="D760" s="18"/>
      <c r="E760" s="18"/>
      <c r="F760" s="18"/>
      <c r="G760" s="18"/>
      <c r="H760" s="72"/>
      <c r="I760" s="72"/>
    </row>
    <row r="761">
      <c r="B761" s="18"/>
      <c r="D761" s="18"/>
      <c r="E761" s="18"/>
      <c r="F761" s="18"/>
      <c r="G761" s="18"/>
      <c r="H761" s="72"/>
      <c r="I761" s="72"/>
    </row>
    <row r="762">
      <c r="B762" s="18"/>
      <c r="D762" s="18"/>
      <c r="E762" s="18"/>
      <c r="F762" s="18"/>
      <c r="G762" s="18"/>
      <c r="H762" s="72"/>
      <c r="I762" s="72"/>
    </row>
    <row r="763">
      <c r="B763" s="18"/>
      <c r="D763" s="18"/>
      <c r="E763" s="18"/>
      <c r="F763" s="18"/>
      <c r="G763" s="18"/>
      <c r="H763" s="72"/>
      <c r="I763" s="72"/>
    </row>
    <row r="764">
      <c r="B764" s="18"/>
      <c r="D764" s="18"/>
      <c r="E764" s="18"/>
      <c r="F764" s="18"/>
      <c r="G764" s="18"/>
      <c r="H764" s="72"/>
      <c r="I764" s="72"/>
    </row>
    <row r="765">
      <c r="B765" s="18"/>
      <c r="D765" s="18"/>
      <c r="E765" s="18"/>
      <c r="F765" s="18"/>
      <c r="G765" s="18"/>
      <c r="H765" s="72"/>
      <c r="I765" s="72"/>
    </row>
    <row r="766">
      <c r="B766" s="18"/>
      <c r="D766" s="18"/>
      <c r="E766" s="18"/>
      <c r="F766" s="18"/>
      <c r="G766" s="18"/>
      <c r="H766" s="72"/>
      <c r="I766" s="72"/>
    </row>
    <row r="767">
      <c r="B767" s="18"/>
      <c r="D767" s="18"/>
      <c r="E767" s="18"/>
      <c r="F767" s="18"/>
      <c r="G767" s="18"/>
      <c r="H767" s="72"/>
      <c r="I767" s="72"/>
    </row>
    <row r="768">
      <c r="B768" s="18"/>
      <c r="D768" s="18"/>
      <c r="E768" s="18"/>
      <c r="F768" s="18"/>
      <c r="G768" s="18"/>
      <c r="H768" s="72"/>
      <c r="I768" s="72"/>
    </row>
    <row r="769">
      <c r="B769" s="18"/>
      <c r="D769" s="18"/>
      <c r="E769" s="18"/>
      <c r="F769" s="18"/>
      <c r="G769" s="18"/>
      <c r="H769" s="72"/>
      <c r="I769" s="72"/>
    </row>
    <row r="770">
      <c r="B770" s="18"/>
      <c r="D770" s="18"/>
      <c r="E770" s="18"/>
      <c r="F770" s="18"/>
      <c r="G770" s="18"/>
      <c r="H770" s="72"/>
      <c r="I770" s="72"/>
    </row>
    <row r="771">
      <c r="B771" s="18"/>
      <c r="D771" s="18"/>
      <c r="E771" s="18"/>
      <c r="F771" s="18"/>
      <c r="G771" s="18"/>
      <c r="H771" s="72"/>
      <c r="I771" s="72"/>
    </row>
    <row r="772">
      <c r="B772" s="18"/>
      <c r="D772" s="18"/>
      <c r="E772" s="18"/>
      <c r="F772" s="18"/>
      <c r="G772" s="18"/>
      <c r="H772" s="72"/>
      <c r="I772" s="72"/>
    </row>
    <row r="773">
      <c r="B773" s="18"/>
      <c r="D773" s="18"/>
      <c r="E773" s="18"/>
      <c r="F773" s="18"/>
      <c r="G773" s="18"/>
      <c r="H773" s="72"/>
      <c r="I773" s="72"/>
    </row>
    <row r="774">
      <c r="B774" s="18"/>
      <c r="D774" s="18"/>
      <c r="E774" s="18"/>
      <c r="F774" s="18"/>
      <c r="G774" s="18"/>
      <c r="H774" s="72"/>
      <c r="I774" s="72"/>
    </row>
    <row r="775">
      <c r="B775" s="18"/>
      <c r="D775" s="18"/>
      <c r="E775" s="18"/>
      <c r="F775" s="18"/>
      <c r="G775" s="18"/>
      <c r="H775" s="72"/>
      <c r="I775" s="72"/>
    </row>
    <row r="776">
      <c r="B776" s="18"/>
      <c r="D776" s="18"/>
      <c r="E776" s="18"/>
      <c r="F776" s="18"/>
      <c r="G776" s="18"/>
      <c r="H776" s="72"/>
      <c r="I776" s="72"/>
    </row>
    <row r="777">
      <c r="B777" s="18"/>
      <c r="D777" s="18"/>
      <c r="E777" s="18"/>
      <c r="F777" s="18"/>
      <c r="G777" s="18"/>
      <c r="H777" s="72"/>
      <c r="I777" s="72"/>
    </row>
    <row r="778">
      <c r="B778" s="18"/>
      <c r="D778" s="18"/>
      <c r="E778" s="18"/>
      <c r="F778" s="18"/>
      <c r="G778" s="18"/>
      <c r="H778" s="72"/>
      <c r="I778" s="72"/>
    </row>
    <row r="779">
      <c r="B779" s="18"/>
      <c r="D779" s="18"/>
      <c r="E779" s="18"/>
      <c r="F779" s="18"/>
      <c r="G779" s="18"/>
      <c r="H779" s="72"/>
      <c r="I779" s="72"/>
    </row>
    <row r="780">
      <c r="B780" s="18"/>
      <c r="D780" s="18"/>
      <c r="E780" s="18"/>
      <c r="F780" s="18"/>
      <c r="G780" s="18"/>
      <c r="H780" s="72"/>
      <c r="I780" s="72"/>
    </row>
    <row r="781">
      <c r="B781" s="18"/>
      <c r="D781" s="18"/>
      <c r="E781" s="18"/>
      <c r="F781" s="18"/>
      <c r="G781" s="18"/>
      <c r="H781" s="72"/>
      <c r="I781" s="72"/>
    </row>
    <row r="782">
      <c r="B782" s="18"/>
      <c r="D782" s="18"/>
      <c r="E782" s="18"/>
      <c r="F782" s="18"/>
      <c r="G782" s="18"/>
      <c r="H782" s="72"/>
      <c r="I782" s="72"/>
    </row>
    <row r="783">
      <c r="B783" s="18"/>
      <c r="D783" s="18"/>
      <c r="E783" s="18"/>
      <c r="F783" s="18"/>
      <c r="G783" s="18"/>
      <c r="H783" s="72"/>
      <c r="I783" s="72"/>
    </row>
    <row r="784">
      <c r="B784" s="18"/>
      <c r="D784" s="18"/>
      <c r="E784" s="18"/>
      <c r="F784" s="18"/>
      <c r="G784" s="18"/>
      <c r="H784" s="72"/>
      <c r="I784" s="72"/>
    </row>
    <row r="785">
      <c r="B785" s="18"/>
      <c r="D785" s="18"/>
      <c r="E785" s="18"/>
      <c r="F785" s="18"/>
      <c r="G785" s="18"/>
      <c r="H785" s="72"/>
      <c r="I785" s="72"/>
    </row>
    <row r="786">
      <c r="B786" s="18"/>
      <c r="D786" s="18"/>
      <c r="E786" s="18"/>
      <c r="F786" s="18"/>
      <c r="G786" s="18"/>
      <c r="H786" s="72"/>
      <c r="I786" s="72"/>
    </row>
    <row r="787">
      <c r="B787" s="18"/>
      <c r="D787" s="18"/>
      <c r="E787" s="18"/>
      <c r="F787" s="18"/>
      <c r="G787" s="18"/>
      <c r="H787" s="72"/>
      <c r="I787" s="72"/>
    </row>
    <row r="788">
      <c r="B788" s="18"/>
      <c r="D788" s="18"/>
      <c r="E788" s="18"/>
      <c r="F788" s="18"/>
      <c r="G788" s="18"/>
      <c r="H788" s="72"/>
      <c r="I788" s="72"/>
    </row>
    <row r="789">
      <c r="B789" s="18"/>
      <c r="D789" s="18"/>
      <c r="E789" s="18"/>
      <c r="F789" s="18"/>
      <c r="G789" s="18"/>
      <c r="H789" s="72"/>
      <c r="I789" s="72"/>
    </row>
    <row r="790">
      <c r="B790" s="18"/>
      <c r="D790" s="18"/>
      <c r="E790" s="18"/>
      <c r="F790" s="18"/>
      <c r="G790" s="18"/>
      <c r="H790" s="72"/>
      <c r="I790" s="72"/>
    </row>
    <row r="791">
      <c r="B791" s="18"/>
      <c r="D791" s="18"/>
      <c r="E791" s="18"/>
      <c r="F791" s="18"/>
      <c r="G791" s="18"/>
      <c r="H791" s="72"/>
      <c r="I791" s="72"/>
    </row>
    <row r="792">
      <c r="B792" s="18"/>
      <c r="D792" s="18"/>
      <c r="E792" s="18"/>
      <c r="F792" s="18"/>
      <c r="G792" s="18"/>
      <c r="H792" s="72"/>
      <c r="I792" s="72"/>
    </row>
    <row r="793">
      <c r="B793" s="18"/>
      <c r="D793" s="18"/>
      <c r="E793" s="18"/>
      <c r="F793" s="18"/>
      <c r="G793" s="18"/>
      <c r="H793" s="72"/>
      <c r="I793" s="72"/>
    </row>
    <row r="794">
      <c r="B794" s="18"/>
      <c r="D794" s="18"/>
      <c r="E794" s="18"/>
      <c r="F794" s="18"/>
      <c r="G794" s="18"/>
      <c r="H794" s="72"/>
      <c r="I794" s="72"/>
    </row>
    <row r="795">
      <c r="B795" s="18"/>
      <c r="D795" s="18"/>
      <c r="E795" s="18"/>
      <c r="F795" s="18"/>
      <c r="G795" s="18"/>
      <c r="H795" s="72"/>
      <c r="I795" s="72"/>
    </row>
    <row r="796">
      <c r="B796" s="18"/>
      <c r="D796" s="18"/>
      <c r="E796" s="18"/>
      <c r="F796" s="18"/>
      <c r="G796" s="18"/>
      <c r="H796" s="72"/>
      <c r="I796" s="72"/>
    </row>
    <row r="797">
      <c r="B797" s="18"/>
      <c r="D797" s="18"/>
      <c r="E797" s="18"/>
      <c r="F797" s="18"/>
      <c r="G797" s="18"/>
      <c r="H797" s="72"/>
      <c r="I797" s="72"/>
    </row>
    <row r="798">
      <c r="B798" s="18"/>
      <c r="D798" s="18"/>
      <c r="E798" s="18"/>
      <c r="F798" s="18"/>
      <c r="G798" s="18"/>
      <c r="H798" s="72"/>
      <c r="I798" s="72"/>
    </row>
    <row r="799">
      <c r="B799" s="18"/>
      <c r="D799" s="18"/>
      <c r="E799" s="18"/>
      <c r="F799" s="18"/>
      <c r="G799" s="18"/>
      <c r="H799" s="72"/>
      <c r="I799" s="72"/>
    </row>
    <row r="800">
      <c r="B800" s="18"/>
      <c r="D800" s="18"/>
      <c r="E800" s="18"/>
      <c r="F800" s="18"/>
      <c r="G800" s="18"/>
      <c r="H800" s="72"/>
      <c r="I800" s="72"/>
    </row>
    <row r="801">
      <c r="B801" s="18"/>
      <c r="D801" s="18"/>
      <c r="E801" s="18"/>
      <c r="F801" s="18"/>
      <c r="G801" s="18"/>
      <c r="H801" s="72"/>
      <c r="I801" s="72"/>
    </row>
    <row r="802">
      <c r="B802" s="18"/>
      <c r="D802" s="18"/>
      <c r="E802" s="18"/>
      <c r="F802" s="18"/>
      <c r="G802" s="18"/>
      <c r="H802" s="72"/>
      <c r="I802" s="72"/>
    </row>
    <row r="803">
      <c r="B803" s="18"/>
      <c r="D803" s="18"/>
      <c r="E803" s="18"/>
      <c r="F803" s="18"/>
      <c r="G803" s="18"/>
      <c r="H803" s="72"/>
      <c r="I803" s="72"/>
    </row>
    <row r="804">
      <c r="B804" s="18"/>
      <c r="D804" s="18"/>
      <c r="E804" s="18"/>
      <c r="F804" s="18"/>
      <c r="G804" s="18"/>
      <c r="H804" s="72"/>
      <c r="I804" s="72"/>
    </row>
    <row r="805">
      <c r="B805" s="18"/>
      <c r="D805" s="18"/>
      <c r="E805" s="18"/>
      <c r="F805" s="18"/>
      <c r="G805" s="18"/>
      <c r="H805" s="72"/>
      <c r="I805" s="72"/>
    </row>
    <row r="806">
      <c r="B806" s="18"/>
      <c r="D806" s="18"/>
      <c r="E806" s="18"/>
      <c r="F806" s="18"/>
      <c r="G806" s="18"/>
      <c r="H806" s="72"/>
      <c r="I806" s="72"/>
    </row>
    <row r="807">
      <c r="B807" s="18"/>
      <c r="D807" s="18"/>
      <c r="E807" s="18"/>
      <c r="F807" s="18"/>
      <c r="G807" s="18"/>
      <c r="H807" s="72"/>
      <c r="I807" s="72"/>
    </row>
    <row r="808">
      <c r="B808" s="18"/>
      <c r="D808" s="18"/>
      <c r="E808" s="18"/>
      <c r="F808" s="18"/>
      <c r="G808" s="18"/>
      <c r="H808" s="72"/>
      <c r="I808" s="72"/>
    </row>
    <row r="809">
      <c r="B809" s="18"/>
      <c r="D809" s="18"/>
      <c r="E809" s="18"/>
      <c r="F809" s="18"/>
      <c r="G809" s="18"/>
      <c r="H809" s="72"/>
      <c r="I809" s="72"/>
    </row>
    <row r="810">
      <c r="B810" s="18"/>
      <c r="D810" s="18"/>
      <c r="E810" s="18"/>
      <c r="F810" s="18"/>
      <c r="G810" s="18"/>
      <c r="H810" s="72"/>
      <c r="I810" s="72"/>
    </row>
    <row r="811">
      <c r="B811" s="18"/>
      <c r="D811" s="18"/>
      <c r="E811" s="18"/>
      <c r="F811" s="18"/>
      <c r="G811" s="18"/>
      <c r="H811" s="72"/>
      <c r="I811" s="72"/>
    </row>
    <row r="812">
      <c r="B812" s="18"/>
      <c r="D812" s="18"/>
      <c r="E812" s="18"/>
      <c r="F812" s="18"/>
      <c r="G812" s="18"/>
      <c r="H812" s="72"/>
      <c r="I812" s="72"/>
    </row>
    <row r="813">
      <c r="B813" s="18"/>
      <c r="D813" s="18"/>
      <c r="E813" s="18"/>
      <c r="F813" s="18"/>
      <c r="G813" s="18"/>
      <c r="H813" s="72"/>
      <c r="I813" s="72"/>
    </row>
    <row r="814">
      <c r="B814" s="18"/>
      <c r="D814" s="18"/>
      <c r="E814" s="18"/>
      <c r="F814" s="18"/>
      <c r="G814" s="18"/>
      <c r="H814" s="72"/>
      <c r="I814" s="72"/>
    </row>
    <row r="815">
      <c r="B815" s="18"/>
      <c r="D815" s="18"/>
      <c r="E815" s="18"/>
      <c r="F815" s="18"/>
      <c r="G815" s="18"/>
      <c r="H815" s="72"/>
      <c r="I815" s="72"/>
    </row>
    <row r="816">
      <c r="B816" s="18"/>
      <c r="D816" s="18"/>
      <c r="E816" s="18"/>
      <c r="F816" s="18"/>
      <c r="G816" s="18"/>
      <c r="H816" s="72"/>
      <c r="I816" s="72"/>
    </row>
    <row r="817">
      <c r="B817" s="18"/>
      <c r="D817" s="18"/>
      <c r="E817" s="18"/>
      <c r="F817" s="18"/>
      <c r="G817" s="18"/>
      <c r="H817" s="72"/>
      <c r="I817" s="72"/>
    </row>
    <row r="818">
      <c r="B818" s="18"/>
      <c r="D818" s="18"/>
      <c r="E818" s="18"/>
      <c r="F818" s="18"/>
      <c r="G818" s="18"/>
      <c r="H818" s="72"/>
      <c r="I818" s="72"/>
    </row>
    <row r="819">
      <c r="B819" s="18"/>
      <c r="D819" s="18"/>
      <c r="E819" s="18"/>
      <c r="F819" s="18"/>
      <c r="G819" s="18"/>
      <c r="H819" s="72"/>
      <c r="I819" s="72"/>
    </row>
    <row r="820">
      <c r="B820" s="18"/>
      <c r="D820" s="18"/>
      <c r="E820" s="18"/>
      <c r="F820" s="18"/>
      <c r="G820" s="18"/>
      <c r="H820" s="72"/>
      <c r="I820" s="72"/>
    </row>
    <row r="821">
      <c r="B821" s="18"/>
      <c r="D821" s="18"/>
      <c r="E821" s="18"/>
      <c r="F821" s="18"/>
      <c r="G821" s="18"/>
      <c r="H821" s="72"/>
      <c r="I821" s="72"/>
    </row>
    <row r="822">
      <c r="B822" s="18"/>
      <c r="D822" s="18"/>
      <c r="E822" s="18"/>
      <c r="F822" s="18"/>
      <c r="G822" s="18"/>
      <c r="H822" s="72"/>
      <c r="I822" s="72"/>
    </row>
    <row r="823">
      <c r="B823" s="18"/>
      <c r="D823" s="18"/>
      <c r="E823" s="18"/>
      <c r="F823" s="18"/>
      <c r="G823" s="18"/>
      <c r="H823" s="72"/>
      <c r="I823" s="72"/>
    </row>
    <row r="824">
      <c r="B824" s="18"/>
      <c r="D824" s="18"/>
      <c r="E824" s="18"/>
      <c r="F824" s="18"/>
      <c r="G824" s="18"/>
      <c r="H824" s="72"/>
      <c r="I824" s="72"/>
    </row>
    <row r="825">
      <c r="B825" s="18"/>
      <c r="D825" s="18"/>
      <c r="E825" s="18"/>
      <c r="F825" s="18"/>
      <c r="G825" s="18"/>
      <c r="H825" s="72"/>
      <c r="I825" s="72"/>
    </row>
    <row r="826">
      <c r="B826" s="18"/>
      <c r="D826" s="18"/>
      <c r="E826" s="18"/>
      <c r="F826" s="18"/>
      <c r="G826" s="18"/>
      <c r="H826" s="72"/>
      <c r="I826" s="72"/>
    </row>
    <row r="827">
      <c r="B827" s="18"/>
      <c r="D827" s="18"/>
      <c r="E827" s="18"/>
      <c r="F827" s="18"/>
      <c r="G827" s="18"/>
      <c r="H827" s="72"/>
      <c r="I827" s="72"/>
    </row>
    <row r="828">
      <c r="B828" s="18"/>
      <c r="D828" s="18"/>
      <c r="E828" s="18"/>
      <c r="F828" s="18"/>
      <c r="G828" s="18"/>
      <c r="H828" s="72"/>
      <c r="I828" s="72"/>
    </row>
    <row r="829">
      <c r="B829" s="18"/>
      <c r="D829" s="18"/>
      <c r="E829" s="18"/>
      <c r="F829" s="18"/>
      <c r="G829" s="18"/>
      <c r="H829" s="72"/>
      <c r="I829" s="72"/>
    </row>
    <row r="830">
      <c r="B830" s="18"/>
      <c r="D830" s="18"/>
      <c r="E830" s="18"/>
      <c r="F830" s="18"/>
      <c r="G830" s="18"/>
      <c r="H830" s="72"/>
      <c r="I830" s="72"/>
    </row>
    <row r="831">
      <c r="B831" s="18"/>
      <c r="D831" s="18"/>
      <c r="E831" s="18"/>
      <c r="F831" s="18"/>
      <c r="G831" s="18"/>
      <c r="H831" s="72"/>
      <c r="I831" s="72"/>
    </row>
    <row r="832">
      <c r="B832" s="18"/>
      <c r="D832" s="18"/>
      <c r="E832" s="18"/>
      <c r="F832" s="18"/>
      <c r="G832" s="18"/>
      <c r="H832" s="72"/>
      <c r="I832" s="72"/>
    </row>
    <row r="833">
      <c r="B833" s="18"/>
      <c r="D833" s="18"/>
      <c r="E833" s="18"/>
      <c r="F833" s="18"/>
      <c r="G833" s="18"/>
      <c r="H833" s="72"/>
      <c r="I833" s="72"/>
    </row>
    <row r="834">
      <c r="B834" s="18"/>
      <c r="D834" s="18"/>
      <c r="E834" s="18"/>
      <c r="F834" s="18"/>
      <c r="G834" s="18"/>
      <c r="H834" s="72"/>
      <c r="I834" s="72"/>
    </row>
    <row r="835">
      <c r="B835" s="18"/>
      <c r="D835" s="18"/>
      <c r="E835" s="18"/>
      <c r="F835" s="18"/>
      <c r="G835" s="18"/>
      <c r="H835" s="72"/>
      <c r="I835" s="72"/>
    </row>
    <row r="836">
      <c r="B836" s="18"/>
      <c r="D836" s="18"/>
      <c r="E836" s="18"/>
      <c r="F836" s="18"/>
      <c r="G836" s="18"/>
      <c r="H836" s="72"/>
      <c r="I836" s="72"/>
    </row>
    <row r="837">
      <c r="B837" s="18"/>
      <c r="D837" s="18"/>
      <c r="E837" s="18"/>
      <c r="F837" s="18"/>
      <c r="G837" s="18"/>
      <c r="H837" s="72"/>
      <c r="I837" s="72"/>
    </row>
    <row r="838">
      <c r="B838" s="18"/>
      <c r="D838" s="18"/>
      <c r="E838" s="18"/>
      <c r="F838" s="18"/>
      <c r="G838" s="18"/>
      <c r="H838" s="72"/>
      <c r="I838" s="72"/>
    </row>
    <row r="839">
      <c r="B839" s="18"/>
      <c r="D839" s="18"/>
      <c r="E839" s="18"/>
      <c r="F839" s="18"/>
      <c r="G839" s="18"/>
      <c r="H839" s="72"/>
      <c r="I839" s="72"/>
    </row>
    <row r="840">
      <c r="B840" s="18"/>
      <c r="D840" s="18"/>
      <c r="E840" s="18"/>
      <c r="F840" s="18"/>
      <c r="G840" s="18"/>
      <c r="H840" s="72"/>
      <c r="I840" s="72"/>
    </row>
    <row r="841">
      <c r="B841" s="18"/>
      <c r="D841" s="18"/>
      <c r="E841" s="18"/>
      <c r="F841" s="18"/>
      <c r="G841" s="18"/>
      <c r="H841" s="72"/>
      <c r="I841" s="72"/>
    </row>
    <row r="842">
      <c r="B842" s="18"/>
      <c r="D842" s="18"/>
      <c r="E842" s="18"/>
      <c r="F842" s="18"/>
      <c r="G842" s="18"/>
      <c r="H842" s="72"/>
      <c r="I842" s="72"/>
    </row>
    <row r="843">
      <c r="B843" s="18"/>
      <c r="D843" s="18"/>
      <c r="E843" s="18"/>
      <c r="F843" s="18"/>
      <c r="G843" s="18"/>
      <c r="H843" s="72"/>
      <c r="I843" s="72"/>
    </row>
    <row r="844">
      <c r="B844" s="18"/>
      <c r="D844" s="18"/>
      <c r="E844" s="18"/>
      <c r="F844" s="18"/>
      <c r="G844" s="18"/>
      <c r="H844" s="72"/>
      <c r="I844" s="72"/>
    </row>
    <row r="845">
      <c r="B845" s="18"/>
      <c r="D845" s="18"/>
      <c r="E845" s="18"/>
      <c r="F845" s="18"/>
      <c r="G845" s="18"/>
      <c r="H845" s="72"/>
      <c r="I845" s="72"/>
    </row>
    <row r="846">
      <c r="B846" s="18"/>
      <c r="D846" s="18"/>
      <c r="E846" s="18"/>
      <c r="F846" s="18"/>
      <c r="G846" s="18"/>
      <c r="H846" s="72"/>
      <c r="I846" s="72"/>
    </row>
    <row r="847">
      <c r="B847" s="18"/>
      <c r="D847" s="18"/>
      <c r="E847" s="18"/>
      <c r="F847" s="18"/>
      <c r="G847" s="18"/>
      <c r="H847" s="72"/>
      <c r="I847" s="72"/>
    </row>
    <row r="848">
      <c r="B848" s="18"/>
      <c r="D848" s="18"/>
      <c r="E848" s="18"/>
      <c r="F848" s="18"/>
      <c r="G848" s="18"/>
      <c r="H848" s="72"/>
      <c r="I848" s="72"/>
    </row>
    <row r="849">
      <c r="B849" s="18"/>
      <c r="D849" s="18"/>
      <c r="E849" s="18"/>
      <c r="F849" s="18"/>
      <c r="G849" s="18"/>
      <c r="H849" s="72"/>
      <c r="I849" s="72"/>
    </row>
    <row r="850">
      <c r="B850" s="18"/>
      <c r="D850" s="18"/>
      <c r="E850" s="18"/>
      <c r="F850" s="18"/>
      <c r="G850" s="18"/>
      <c r="H850" s="72"/>
      <c r="I850" s="72"/>
    </row>
    <row r="851">
      <c r="B851" s="18"/>
      <c r="D851" s="18"/>
      <c r="E851" s="18"/>
      <c r="F851" s="18"/>
      <c r="G851" s="18"/>
      <c r="H851" s="72"/>
      <c r="I851" s="72"/>
    </row>
    <row r="852">
      <c r="B852" s="18"/>
      <c r="D852" s="18"/>
      <c r="E852" s="18"/>
      <c r="F852" s="18"/>
      <c r="G852" s="18"/>
      <c r="H852" s="72"/>
      <c r="I852" s="72"/>
    </row>
    <row r="853">
      <c r="B853" s="18"/>
      <c r="D853" s="18"/>
      <c r="E853" s="18"/>
      <c r="F853" s="18"/>
      <c r="G853" s="18"/>
      <c r="H853" s="72"/>
      <c r="I853" s="72"/>
    </row>
    <row r="854">
      <c r="B854" s="18"/>
      <c r="D854" s="18"/>
      <c r="E854" s="18"/>
      <c r="F854" s="18"/>
      <c r="G854" s="18"/>
      <c r="H854" s="72"/>
      <c r="I854" s="72"/>
    </row>
    <row r="855">
      <c r="B855" s="18"/>
      <c r="D855" s="18"/>
      <c r="E855" s="18"/>
      <c r="F855" s="18"/>
      <c r="G855" s="18"/>
      <c r="H855" s="72"/>
      <c r="I855" s="72"/>
    </row>
    <row r="856">
      <c r="B856" s="18"/>
      <c r="D856" s="18"/>
      <c r="E856" s="18"/>
      <c r="F856" s="18"/>
      <c r="G856" s="18"/>
      <c r="H856" s="72"/>
      <c r="I856" s="72"/>
    </row>
    <row r="857">
      <c r="B857" s="18"/>
      <c r="D857" s="18"/>
      <c r="E857" s="18"/>
      <c r="F857" s="18"/>
      <c r="G857" s="18"/>
      <c r="H857" s="72"/>
      <c r="I857" s="72"/>
    </row>
    <row r="858">
      <c r="B858" s="18"/>
      <c r="D858" s="18"/>
      <c r="E858" s="18"/>
      <c r="F858" s="18"/>
      <c r="G858" s="18"/>
      <c r="H858" s="72"/>
      <c r="I858" s="72"/>
    </row>
    <row r="859">
      <c r="B859" s="18"/>
      <c r="D859" s="18"/>
      <c r="E859" s="18"/>
      <c r="F859" s="18"/>
      <c r="G859" s="18"/>
      <c r="H859" s="72"/>
      <c r="I859" s="72"/>
    </row>
    <row r="860">
      <c r="B860" s="18"/>
      <c r="D860" s="18"/>
      <c r="E860" s="18"/>
      <c r="F860" s="18"/>
      <c r="G860" s="18"/>
      <c r="H860" s="72"/>
      <c r="I860" s="72"/>
    </row>
    <row r="861">
      <c r="B861" s="18"/>
      <c r="D861" s="18"/>
      <c r="E861" s="18"/>
      <c r="F861" s="18"/>
      <c r="G861" s="18"/>
      <c r="H861" s="72"/>
      <c r="I861" s="72"/>
    </row>
    <row r="862">
      <c r="B862" s="18"/>
      <c r="D862" s="18"/>
      <c r="E862" s="18"/>
      <c r="F862" s="18"/>
      <c r="G862" s="18"/>
      <c r="H862" s="72"/>
      <c r="I862" s="72"/>
    </row>
    <row r="863">
      <c r="B863" s="18"/>
      <c r="D863" s="18"/>
      <c r="E863" s="18"/>
      <c r="F863" s="18"/>
      <c r="G863" s="18"/>
      <c r="H863" s="72"/>
      <c r="I863" s="72"/>
    </row>
    <row r="864">
      <c r="B864" s="18"/>
      <c r="D864" s="18"/>
      <c r="E864" s="18"/>
      <c r="F864" s="18"/>
      <c r="G864" s="18"/>
      <c r="H864" s="72"/>
      <c r="I864" s="72"/>
    </row>
    <row r="865">
      <c r="B865" s="18"/>
      <c r="D865" s="18"/>
      <c r="E865" s="18"/>
      <c r="F865" s="18"/>
      <c r="G865" s="18"/>
      <c r="H865" s="72"/>
      <c r="I865" s="72"/>
    </row>
    <row r="866">
      <c r="B866" s="18"/>
      <c r="D866" s="18"/>
      <c r="E866" s="18"/>
      <c r="F866" s="18"/>
      <c r="G866" s="18"/>
      <c r="H866" s="72"/>
      <c r="I866" s="72"/>
    </row>
    <row r="867">
      <c r="B867" s="18"/>
      <c r="D867" s="18"/>
      <c r="E867" s="18"/>
      <c r="F867" s="18"/>
      <c r="G867" s="18"/>
      <c r="H867" s="72"/>
      <c r="I867" s="72"/>
    </row>
    <row r="868">
      <c r="B868" s="18"/>
      <c r="D868" s="18"/>
      <c r="E868" s="18"/>
      <c r="F868" s="18"/>
      <c r="G868" s="18"/>
      <c r="H868" s="72"/>
      <c r="I868" s="72"/>
    </row>
    <row r="869">
      <c r="B869" s="18"/>
      <c r="D869" s="18"/>
      <c r="E869" s="18"/>
      <c r="F869" s="18"/>
      <c r="G869" s="18"/>
      <c r="H869" s="72"/>
      <c r="I869" s="72"/>
    </row>
    <row r="870">
      <c r="B870" s="18"/>
      <c r="D870" s="18"/>
      <c r="E870" s="18"/>
      <c r="F870" s="18"/>
      <c r="G870" s="18"/>
      <c r="H870" s="72"/>
      <c r="I870" s="72"/>
    </row>
    <row r="871">
      <c r="B871" s="18"/>
      <c r="D871" s="18"/>
      <c r="E871" s="18"/>
      <c r="F871" s="18"/>
      <c r="G871" s="18"/>
      <c r="H871" s="72"/>
      <c r="I871" s="72"/>
    </row>
    <row r="872">
      <c r="B872" s="18"/>
      <c r="D872" s="18"/>
      <c r="E872" s="18"/>
      <c r="F872" s="18"/>
      <c r="G872" s="18"/>
      <c r="H872" s="72"/>
      <c r="I872" s="72"/>
    </row>
    <row r="873">
      <c r="B873" s="18"/>
      <c r="D873" s="18"/>
      <c r="E873" s="18"/>
      <c r="F873" s="18"/>
      <c r="G873" s="18"/>
      <c r="H873" s="72"/>
      <c r="I873" s="72"/>
    </row>
    <row r="874">
      <c r="B874" s="18"/>
      <c r="D874" s="18"/>
      <c r="E874" s="18"/>
      <c r="F874" s="18"/>
      <c r="G874" s="18"/>
      <c r="H874" s="72"/>
      <c r="I874" s="72"/>
    </row>
    <row r="875">
      <c r="B875" s="18"/>
      <c r="D875" s="18"/>
      <c r="E875" s="18"/>
      <c r="F875" s="18"/>
      <c r="G875" s="18"/>
      <c r="H875" s="72"/>
      <c r="I875" s="72"/>
    </row>
    <row r="876">
      <c r="B876" s="18"/>
      <c r="D876" s="18"/>
      <c r="E876" s="18"/>
      <c r="F876" s="18"/>
      <c r="G876" s="18"/>
      <c r="H876" s="72"/>
      <c r="I876" s="72"/>
    </row>
    <row r="877">
      <c r="B877" s="18"/>
      <c r="D877" s="18"/>
      <c r="E877" s="18"/>
      <c r="F877" s="18"/>
      <c r="G877" s="18"/>
      <c r="H877" s="72"/>
      <c r="I877" s="72"/>
    </row>
    <row r="878">
      <c r="B878" s="18"/>
      <c r="D878" s="18"/>
      <c r="E878" s="18"/>
      <c r="F878" s="18"/>
      <c r="G878" s="18"/>
      <c r="H878" s="72"/>
      <c r="I878" s="72"/>
    </row>
    <row r="879">
      <c r="B879" s="18"/>
      <c r="D879" s="18"/>
      <c r="E879" s="18"/>
      <c r="F879" s="18"/>
      <c r="G879" s="18"/>
      <c r="H879" s="72"/>
      <c r="I879" s="72"/>
    </row>
    <row r="880">
      <c r="B880" s="18"/>
      <c r="D880" s="18"/>
      <c r="E880" s="18"/>
      <c r="F880" s="18"/>
      <c r="G880" s="18"/>
      <c r="H880" s="72"/>
      <c r="I880" s="72"/>
    </row>
    <row r="881">
      <c r="B881" s="18"/>
      <c r="D881" s="18"/>
      <c r="E881" s="18"/>
      <c r="F881" s="18"/>
      <c r="G881" s="18"/>
      <c r="H881" s="72"/>
      <c r="I881" s="72"/>
    </row>
    <row r="882">
      <c r="B882" s="18"/>
      <c r="D882" s="18"/>
      <c r="E882" s="18"/>
      <c r="F882" s="18"/>
      <c r="G882" s="18"/>
      <c r="H882" s="72"/>
      <c r="I882" s="72"/>
    </row>
    <row r="883">
      <c r="B883" s="18"/>
      <c r="D883" s="18"/>
      <c r="E883" s="18"/>
      <c r="F883" s="18"/>
      <c r="G883" s="18"/>
      <c r="H883" s="72"/>
      <c r="I883" s="72"/>
    </row>
    <row r="884">
      <c r="B884" s="18"/>
      <c r="D884" s="18"/>
      <c r="E884" s="18"/>
      <c r="F884" s="18"/>
      <c r="G884" s="18"/>
      <c r="H884" s="72"/>
      <c r="I884" s="72"/>
    </row>
    <row r="885">
      <c r="B885" s="18"/>
      <c r="D885" s="18"/>
      <c r="E885" s="18"/>
      <c r="F885" s="18"/>
      <c r="G885" s="18"/>
      <c r="H885" s="72"/>
      <c r="I885" s="72"/>
    </row>
    <row r="886">
      <c r="B886" s="18"/>
      <c r="D886" s="18"/>
      <c r="E886" s="18"/>
      <c r="F886" s="18"/>
      <c r="G886" s="18"/>
      <c r="H886" s="72"/>
      <c r="I886" s="72"/>
    </row>
    <row r="887">
      <c r="B887" s="18"/>
      <c r="D887" s="18"/>
      <c r="E887" s="18"/>
      <c r="F887" s="18"/>
      <c r="G887" s="18"/>
      <c r="H887" s="72"/>
      <c r="I887" s="72"/>
    </row>
    <row r="888">
      <c r="B888" s="18"/>
      <c r="D888" s="18"/>
      <c r="E888" s="18"/>
      <c r="F888" s="18"/>
      <c r="G888" s="18"/>
      <c r="H888" s="72"/>
      <c r="I888" s="72"/>
    </row>
    <row r="889">
      <c r="B889" s="18"/>
      <c r="D889" s="18"/>
      <c r="E889" s="18"/>
      <c r="F889" s="18"/>
      <c r="G889" s="18"/>
      <c r="H889" s="72"/>
      <c r="I889" s="72"/>
    </row>
    <row r="890">
      <c r="B890" s="18"/>
      <c r="D890" s="18"/>
      <c r="E890" s="18"/>
      <c r="F890" s="18"/>
      <c r="G890" s="18"/>
      <c r="H890" s="72"/>
      <c r="I890" s="72"/>
    </row>
    <row r="891">
      <c r="B891" s="18"/>
      <c r="D891" s="18"/>
      <c r="E891" s="18"/>
      <c r="F891" s="18"/>
      <c r="G891" s="18"/>
      <c r="H891" s="72"/>
      <c r="I891" s="72"/>
    </row>
    <row r="892">
      <c r="B892" s="18"/>
      <c r="D892" s="18"/>
      <c r="E892" s="18"/>
      <c r="F892" s="18"/>
      <c r="G892" s="18"/>
      <c r="H892" s="72"/>
      <c r="I892" s="72"/>
    </row>
    <row r="893">
      <c r="B893" s="18"/>
      <c r="D893" s="18"/>
      <c r="E893" s="18"/>
      <c r="F893" s="18"/>
      <c r="G893" s="18"/>
      <c r="H893" s="72"/>
      <c r="I893" s="72"/>
    </row>
    <row r="894">
      <c r="B894" s="18"/>
      <c r="D894" s="18"/>
      <c r="E894" s="18"/>
      <c r="F894" s="18"/>
      <c r="G894" s="18"/>
      <c r="H894" s="72"/>
      <c r="I894" s="72"/>
    </row>
    <row r="895">
      <c r="B895" s="18"/>
      <c r="D895" s="18"/>
      <c r="E895" s="18"/>
      <c r="F895" s="18"/>
      <c r="G895" s="18"/>
      <c r="H895" s="72"/>
      <c r="I895" s="72"/>
    </row>
    <row r="896">
      <c r="B896" s="18"/>
      <c r="D896" s="18"/>
      <c r="E896" s="18"/>
      <c r="F896" s="18"/>
      <c r="G896" s="18"/>
      <c r="H896" s="72"/>
      <c r="I896" s="72"/>
    </row>
    <row r="897">
      <c r="B897" s="18"/>
      <c r="D897" s="18"/>
      <c r="E897" s="18"/>
      <c r="F897" s="18"/>
      <c r="G897" s="18"/>
      <c r="H897" s="72"/>
      <c r="I897" s="72"/>
    </row>
    <row r="898">
      <c r="B898" s="18"/>
      <c r="D898" s="18"/>
      <c r="E898" s="18"/>
      <c r="F898" s="18"/>
      <c r="G898" s="18"/>
      <c r="H898" s="72"/>
      <c r="I898" s="72"/>
    </row>
    <row r="899">
      <c r="B899" s="18"/>
      <c r="D899" s="18"/>
      <c r="E899" s="18"/>
      <c r="F899" s="18"/>
      <c r="G899" s="18"/>
      <c r="H899" s="72"/>
      <c r="I899" s="72"/>
    </row>
    <row r="900">
      <c r="B900" s="18"/>
      <c r="D900" s="18"/>
      <c r="E900" s="18"/>
      <c r="F900" s="18"/>
      <c r="G900" s="18"/>
      <c r="H900" s="72"/>
      <c r="I900" s="72"/>
    </row>
    <row r="901">
      <c r="B901" s="18"/>
      <c r="D901" s="18"/>
      <c r="E901" s="18"/>
      <c r="F901" s="18"/>
      <c r="G901" s="18"/>
      <c r="H901" s="72"/>
      <c r="I901" s="72"/>
    </row>
    <row r="902">
      <c r="B902" s="18"/>
      <c r="D902" s="18"/>
      <c r="E902" s="18"/>
      <c r="F902" s="18"/>
      <c r="G902" s="18"/>
      <c r="H902" s="72"/>
      <c r="I902" s="72"/>
    </row>
    <row r="903">
      <c r="B903" s="18"/>
      <c r="D903" s="18"/>
      <c r="E903" s="18"/>
      <c r="F903" s="18"/>
      <c r="G903" s="18"/>
      <c r="H903" s="72"/>
      <c r="I903" s="72"/>
    </row>
    <row r="904">
      <c r="B904" s="18"/>
      <c r="D904" s="18"/>
      <c r="E904" s="18"/>
      <c r="F904" s="18"/>
      <c r="G904" s="18"/>
      <c r="H904" s="72"/>
      <c r="I904" s="72"/>
    </row>
    <row r="905">
      <c r="B905" s="18"/>
      <c r="D905" s="18"/>
      <c r="E905" s="18"/>
      <c r="F905" s="18"/>
      <c r="G905" s="18"/>
      <c r="H905" s="72"/>
      <c r="I905" s="72"/>
    </row>
    <row r="906">
      <c r="B906" s="18"/>
      <c r="D906" s="18"/>
      <c r="E906" s="18"/>
      <c r="F906" s="18"/>
      <c r="G906" s="18"/>
      <c r="H906" s="72"/>
      <c r="I906" s="72"/>
    </row>
    <row r="907">
      <c r="B907" s="18"/>
      <c r="D907" s="18"/>
      <c r="E907" s="18"/>
      <c r="F907" s="18"/>
      <c r="G907" s="18"/>
      <c r="H907" s="72"/>
      <c r="I907" s="72"/>
    </row>
    <row r="908">
      <c r="B908" s="18"/>
      <c r="D908" s="18"/>
      <c r="E908" s="18"/>
      <c r="F908" s="18"/>
      <c r="G908" s="18"/>
      <c r="H908" s="72"/>
      <c r="I908" s="72"/>
    </row>
    <row r="909">
      <c r="B909" s="18"/>
      <c r="D909" s="18"/>
      <c r="E909" s="18"/>
      <c r="F909" s="18"/>
      <c r="G909" s="18"/>
      <c r="H909" s="72"/>
      <c r="I909" s="72"/>
    </row>
    <row r="910">
      <c r="B910" s="18"/>
      <c r="D910" s="18"/>
      <c r="E910" s="18"/>
      <c r="F910" s="18"/>
      <c r="G910" s="18"/>
      <c r="H910" s="72"/>
      <c r="I910" s="72"/>
    </row>
    <row r="911">
      <c r="B911" s="18"/>
      <c r="D911" s="18"/>
      <c r="E911" s="18"/>
      <c r="F911" s="18"/>
      <c r="G911" s="18"/>
      <c r="H911" s="72"/>
      <c r="I911" s="72"/>
    </row>
    <row r="912">
      <c r="B912" s="18"/>
      <c r="D912" s="18"/>
      <c r="E912" s="18"/>
      <c r="F912" s="18"/>
      <c r="G912" s="18"/>
      <c r="H912" s="72"/>
      <c r="I912" s="72"/>
    </row>
    <row r="913">
      <c r="B913" s="18"/>
      <c r="D913" s="18"/>
      <c r="E913" s="18"/>
      <c r="F913" s="18"/>
      <c r="G913" s="18"/>
      <c r="H913" s="72"/>
      <c r="I913" s="72"/>
    </row>
    <row r="914">
      <c r="B914" s="18"/>
      <c r="D914" s="18"/>
      <c r="E914" s="18"/>
      <c r="F914" s="18"/>
      <c r="G914" s="18"/>
      <c r="H914" s="72"/>
      <c r="I914" s="72"/>
    </row>
    <row r="915">
      <c r="B915" s="18"/>
      <c r="D915" s="18"/>
      <c r="E915" s="18"/>
      <c r="F915" s="18"/>
      <c r="G915" s="18"/>
      <c r="H915" s="72"/>
      <c r="I915" s="72"/>
    </row>
    <row r="916">
      <c r="B916" s="18"/>
      <c r="D916" s="18"/>
      <c r="E916" s="18"/>
      <c r="F916" s="18"/>
      <c r="G916" s="18"/>
      <c r="H916" s="72"/>
      <c r="I916" s="72"/>
    </row>
    <row r="917">
      <c r="B917" s="18"/>
      <c r="D917" s="18"/>
      <c r="E917" s="18"/>
      <c r="F917" s="18"/>
      <c r="G917" s="18"/>
      <c r="H917" s="72"/>
      <c r="I917" s="72"/>
    </row>
    <row r="918">
      <c r="B918" s="18"/>
      <c r="D918" s="18"/>
      <c r="E918" s="18"/>
      <c r="F918" s="18"/>
      <c r="G918" s="18"/>
      <c r="H918" s="72"/>
      <c r="I918" s="72"/>
    </row>
    <row r="919">
      <c r="B919" s="18"/>
      <c r="D919" s="18"/>
      <c r="E919" s="18"/>
      <c r="F919" s="18"/>
      <c r="G919" s="18"/>
      <c r="H919" s="72"/>
      <c r="I919" s="72"/>
    </row>
    <row r="920">
      <c r="B920" s="18"/>
      <c r="D920" s="18"/>
      <c r="E920" s="18"/>
      <c r="F920" s="18"/>
      <c r="G920" s="18"/>
      <c r="H920" s="72"/>
      <c r="I920" s="72"/>
    </row>
    <row r="921">
      <c r="B921" s="18"/>
      <c r="D921" s="18"/>
      <c r="E921" s="18"/>
      <c r="F921" s="18"/>
      <c r="G921" s="18"/>
      <c r="H921" s="72"/>
      <c r="I921" s="72"/>
    </row>
    <row r="922">
      <c r="B922" s="18"/>
      <c r="D922" s="18"/>
      <c r="E922" s="18"/>
      <c r="F922" s="18"/>
      <c r="G922" s="18"/>
      <c r="H922" s="72"/>
      <c r="I922" s="72"/>
    </row>
    <row r="923">
      <c r="B923" s="18"/>
      <c r="D923" s="18"/>
      <c r="E923" s="18"/>
      <c r="F923" s="18"/>
      <c r="G923" s="18"/>
      <c r="H923" s="72"/>
      <c r="I923" s="72"/>
    </row>
    <row r="924">
      <c r="B924" s="18"/>
      <c r="D924" s="18"/>
      <c r="E924" s="18"/>
      <c r="F924" s="18"/>
      <c r="G924" s="18"/>
      <c r="H924" s="72"/>
      <c r="I924" s="72"/>
    </row>
    <row r="925">
      <c r="B925" s="18"/>
      <c r="D925" s="18"/>
      <c r="E925" s="18"/>
      <c r="F925" s="18"/>
      <c r="G925" s="18"/>
      <c r="H925" s="72"/>
      <c r="I925" s="72"/>
    </row>
    <row r="926">
      <c r="B926" s="18"/>
      <c r="D926" s="18"/>
      <c r="E926" s="18"/>
      <c r="F926" s="18"/>
      <c r="G926" s="18"/>
      <c r="H926" s="72"/>
      <c r="I926" s="72"/>
    </row>
    <row r="927">
      <c r="B927" s="18"/>
      <c r="D927" s="18"/>
      <c r="E927" s="18"/>
      <c r="F927" s="18"/>
      <c r="G927" s="18"/>
      <c r="H927" s="72"/>
      <c r="I927" s="72"/>
    </row>
    <row r="928">
      <c r="B928" s="18"/>
      <c r="D928" s="18"/>
      <c r="E928" s="18"/>
      <c r="F928" s="18"/>
      <c r="G928" s="18"/>
      <c r="H928" s="72"/>
      <c r="I928" s="72"/>
    </row>
    <row r="929">
      <c r="B929" s="18"/>
      <c r="D929" s="18"/>
      <c r="E929" s="18"/>
      <c r="F929" s="18"/>
      <c r="G929" s="18"/>
      <c r="H929" s="72"/>
      <c r="I929" s="72"/>
    </row>
    <row r="930">
      <c r="B930" s="18"/>
      <c r="D930" s="18"/>
      <c r="E930" s="18"/>
      <c r="F930" s="18"/>
      <c r="G930" s="18"/>
      <c r="H930" s="72"/>
      <c r="I930" s="72"/>
    </row>
    <row r="931">
      <c r="B931" s="18"/>
      <c r="D931" s="18"/>
      <c r="E931" s="18"/>
      <c r="F931" s="18"/>
      <c r="G931" s="18"/>
      <c r="H931" s="72"/>
      <c r="I931" s="72"/>
    </row>
    <row r="932">
      <c r="B932" s="18"/>
      <c r="D932" s="18"/>
      <c r="E932" s="18"/>
      <c r="F932" s="18"/>
      <c r="G932" s="18"/>
      <c r="H932" s="72"/>
      <c r="I932" s="72"/>
    </row>
    <row r="933">
      <c r="B933" s="18"/>
      <c r="D933" s="18"/>
      <c r="E933" s="18"/>
      <c r="F933" s="18"/>
      <c r="G933" s="18"/>
      <c r="H933" s="72"/>
      <c r="I933" s="72"/>
    </row>
    <row r="934">
      <c r="B934" s="18"/>
      <c r="D934" s="18"/>
      <c r="E934" s="18"/>
      <c r="F934" s="18"/>
      <c r="G934" s="18"/>
      <c r="H934" s="72"/>
      <c r="I934" s="72"/>
    </row>
    <row r="935">
      <c r="B935" s="18"/>
      <c r="D935" s="18"/>
      <c r="E935" s="18"/>
      <c r="F935" s="18"/>
      <c r="G935" s="18"/>
      <c r="H935" s="72"/>
      <c r="I935" s="72"/>
    </row>
    <row r="936">
      <c r="B936" s="18"/>
      <c r="D936" s="18"/>
      <c r="E936" s="18"/>
      <c r="F936" s="18"/>
      <c r="G936" s="18"/>
      <c r="H936" s="72"/>
      <c r="I936" s="72"/>
    </row>
    <row r="937">
      <c r="B937" s="18"/>
      <c r="D937" s="18"/>
      <c r="E937" s="18"/>
      <c r="F937" s="18"/>
      <c r="G937" s="18"/>
      <c r="H937" s="72"/>
      <c r="I937" s="72"/>
    </row>
    <row r="938">
      <c r="B938" s="18"/>
      <c r="D938" s="18"/>
      <c r="E938" s="18"/>
      <c r="F938" s="18"/>
      <c r="G938" s="18"/>
      <c r="H938" s="72"/>
      <c r="I938" s="72"/>
    </row>
    <row r="939">
      <c r="B939" s="18"/>
      <c r="D939" s="18"/>
      <c r="E939" s="18"/>
      <c r="F939" s="18"/>
      <c r="G939" s="18"/>
      <c r="H939" s="72"/>
      <c r="I939" s="72"/>
    </row>
    <row r="940">
      <c r="B940" s="18"/>
      <c r="D940" s="18"/>
      <c r="E940" s="18"/>
      <c r="F940" s="18"/>
      <c r="G940" s="18"/>
      <c r="H940" s="72"/>
      <c r="I940" s="72"/>
    </row>
    <row r="941">
      <c r="B941" s="18"/>
      <c r="D941" s="18"/>
      <c r="E941" s="18"/>
      <c r="F941" s="18"/>
      <c r="G941" s="18"/>
      <c r="H941" s="72"/>
      <c r="I941" s="72"/>
    </row>
    <row r="942">
      <c r="B942" s="18"/>
      <c r="D942" s="18"/>
      <c r="E942" s="18"/>
      <c r="F942" s="18"/>
      <c r="G942" s="18"/>
      <c r="H942" s="72"/>
      <c r="I942" s="72"/>
    </row>
    <row r="943">
      <c r="B943" s="18"/>
      <c r="D943" s="18"/>
      <c r="E943" s="18"/>
      <c r="F943" s="18"/>
      <c r="G943" s="18"/>
      <c r="H943" s="72"/>
      <c r="I943" s="72"/>
    </row>
    <row r="944">
      <c r="B944" s="18"/>
      <c r="D944" s="18"/>
      <c r="E944" s="18"/>
      <c r="F944" s="18"/>
      <c r="G944" s="18"/>
      <c r="H944" s="72"/>
      <c r="I944" s="72"/>
    </row>
    <row r="945">
      <c r="B945" s="18"/>
      <c r="D945" s="18"/>
      <c r="E945" s="18"/>
      <c r="F945" s="18"/>
      <c r="G945" s="18"/>
      <c r="H945" s="72"/>
      <c r="I945" s="72"/>
    </row>
    <row r="946">
      <c r="B946" s="18"/>
      <c r="D946" s="18"/>
      <c r="E946" s="18"/>
      <c r="F946" s="18"/>
      <c r="G946" s="18"/>
      <c r="H946" s="72"/>
      <c r="I946" s="72"/>
    </row>
    <row r="947">
      <c r="B947" s="18"/>
      <c r="D947" s="18"/>
      <c r="E947" s="18"/>
      <c r="F947" s="18"/>
      <c r="G947" s="18"/>
      <c r="H947" s="72"/>
      <c r="I947" s="72"/>
    </row>
    <row r="948">
      <c r="B948" s="18"/>
      <c r="D948" s="18"/>
      <c r="E948" s="18"/>
      <c r="F948" s="18"/>
      <c r="G948" s="18"/>
      <c r="H948" s="72"/>
      <c r="I948" s="72"/>
    </row>
    <row r="949">
      <c r="B949" s="18"/>
      <c r="D949" s="18"/>
      <c r="E949" s="18"/>
      <c r="F949" s="18"/>
      <c r="G949" s="18"/>
      <c r="H949" s="72"/>
      <c r="I949" s="72"/>
    </row>
    <row r="950">
      <c r="B950" s="18"/>
      <c r="D950" s="18"/>
      <c r="E950" s="18"/>
      <c r="F950" s="18"/>
      <c r="G950" s="18"/>
      <c r="H950" s="72"/>
      <c r="I950" s="72"/>
    </row>
    <row r="951">
      <c r="B951" s="18"/>
      <c r="D951" s="18"/>
      <c r="E951" s="18"/>
      <c r="F951" s="18"/>
      <c r="G951" s="18"/>
      <c r="H951" s="72"/>
      <c r="I951" s="72"/>
    </row>
    <row r="952">
      <c r="B952" s="18"/>
      <c r="D952" s="18"/>
      <c r="E952" s="18"/>
      <c r="F952" s="18"/>
      <c r="G952" s="18"/>
      <c r="H952" s="72"/>
      <c r="I952" s="72"/>
    </row>
    <row r="953">
      <c r="B953" s="18"/>
      <c r="D953" s="18"/>
      <c r="E953" s="18"/>
      <c r="F953" s="18"/>
      <c r="G953" s="18"/>
      <c r="H953" s="72"/>
      <c r="I953" s="72"/>
    </row>
    <row r="954">
      <c r="B954" s="18"/>
      <c r="D954" s="18"/>
      <c r="E954" s="18"/>
      <c r="F954" s="18"/>
      <c r="G954" s="18"/>
      <c r="H954" s="72"/>
      <c r="I954" s="72"/>
    </row>
    <row r="955">
      <c r="B955" s="18"/>
      <c r="D955" s="18"/>
      <c r="E955" s="18"/>
      <c r="F955" s="18"/>
      <c r="G955" s="18"/>
      <c r="H955" s="72"/>
      <c r="I955" s="72"/>
    </row>
    <row r="956">
      <c r="B956" s="18"/>
      <c r="D956" s="18"/>
      <c r="E956" s="18"/>
      <c r="F956" s="18"/>
      <c r="G956" s="18"/>
      <c r="H956" s="72"/>
      <c r="I956" s="72"/>
    </row>
    <row r="957">
      <c r="B957" s="18"/>
      <c r="D957" s="18"/>
      <c r="E957" s="18"/>
      <c r="F957" s="18"/>
      <c r="G957" s="18"/>
      <c r="H957" s="72"/>
      <c r="I957" s="72"/>
    </row>
    <row r="958">
      <c r="B958" s="18"/>
      <c r="D958" s="18"/>
      <c r="E958" s="18"/>
      <c r="F958" s="18"/>
      <c r="G958" s="18"/>
      <c r="H958" s="72"/>
      <c r="I958" s="72"/>
    </row>
    <row r="959">
      <c r="B959" s="18"/>
      <c r="D959" s="18"/>
      <c r="E959" s="18"/>
      <c r="F959" s="18"/>
      <c r="G959" s="18"/>
      <c r="H959" s="72"/>
      <c r="I959" s="72"/>
    </row>
    <row r="960">
      <c r="B960" s="18"/>
      <c r="D960" s="18"/>
      <c r="E960" s="18"/>
      <c r="F960" s="18"/>
      <c r="G960" s="18"/>
      <c r="H960" s="72"/>
      <c r="I960" s="72"/>
    </row>
    <row r="961">
      <c r="B961" s="18"/>
      <c r="D961" s="18"/>
      <c r="E961" s="18"/>
      <c r="F961" s="18"/>
      <c r="G961" s="18"/>
      <c r="H961" s="72"/>
      <c r="I961" s="72"/>
    </row>
    <row r="962">
      <c r="B962" s="18"/>
      <c r="D962" s="18"/>
      <c r="E962" s="18"/>
      <c r="F962" s="18"/>
      <c r="G962" s="18"/>
      <c r="H962" s="72"/>
      <c r="I962" s="72"/>
    </row>
    <row r="963">
      <c r="B963" s="18"/>
      <c r="D963" s="18"/>
      <c r="E963" s="18"/>
      <c r="F963" s="18"/>
      <c r="G963" s="18"/>
      <c r="H963" s="72"/>
      <c r="I963" s="72"/>
    </row>
    <row r="964">
      <c r="B964" s="18"/>
      <c r="D964" s="18"/>
      <c r="E964" s="18"/>
      <c r="F964" s="18"/>
      <c r="G964" s="18"/>
      <c r="H964" s="72"/>
      <c r="I964" s="72"/>
    </row>
    <row r="965">
      <c r="B965" s="18"/>
      <c r="D965" s="18"/>
      <c r="E965" s="18"/>
      <c r="F965" s="18"/>
      <c r="G965" s="18"/>
      <c r="H965" s="72"/>
      <c r="I965" s="72"/>
    </row>
    <row r="966">
      <c r="B966" s="18"/>
      <c r="D966" s="18"/>
      <c r="E966" s="18"/>
      <c r="F966" s="18"/>
      <c r="G966" s="18"/>
      <c r="H966" s="72"/>
      <c r="I966" s="72"/>
    </row>
    <row r="967">
      <c r="B967" s="18"/>
      <c r="D967" s="18"/>
      <c r="E967" s="18"/>
      <c r="F967" s="18"/>
      <c r="G967" s="18"/>
      <c r="H967" s="72"/>
      <c r="I967" s="72"/>
    </row>
    <row r="968">
      <c r="B968" s="18"/>
      <c r="D968" s="18"/>
      <c r="E968" s="18"/>
      <c r="F968" s="18"/>
      <c r="G968" s="18"/>
      <c r="H968" s="72"/>
      <c r="I968" s="72"/>
    </row>
    <row r="969">
      <c r="B969" s="18"/>
      <c r="D969" s="18"/>
      <c r="E969" s="18"/>
      <c r="F969" s="18"/>
      <c r="G969" s="18"/>
      <c r="H969" s="72"/>
      <c r="I969" s="72"/>
    </row>
    <row r="970">
      <c r="B970" s="18"/>
      <c r="D970" s="18"/>
      <c r="E970" s="18"/>
      <c r="F970" s="18"/>
      <c r="G970" s="18"/>
      <c r="H970" s="72"/>
      <c r="I970" s="72"/>
    </row>
    <row r="971">
      <c r="B971" s="18"/>
      <c r="D971" s="18"/>
      <c r="E971" s="18"/>
      <c r="F971" s="18"/>
      <c r="G971" s="18"/>
      <c r="H971" s="72"/>
      <c r="I971" s="72"/>
    </row>
    <row r="972">
      <c r="B972" s="18"/>
      <c r="D972" s="18"/>
      <c r="E972" s="18"/>
      <c r="F972" s="18"/>
      <c r="G972" s="18"/>
      <c r="H972" s="72"/>
      <c r="I972" s="72"/>
    </row>
    <row r="973">
      <c r="B973" s="18"/>
      <c r="D973" s="18"/>
      <c r="E973" s="18"/>
      <c r="F973" s="18"/>
      <c r="G973" s="18"/>
      <c r="H973" s="72"/>
      <c r="I973" s="72"/>
    </row>
    <row r="974">
      <c r="B974" s="18"/>
      <c r="D974" s="18"/>
      <c r="E974" s="18"/>
      <c r="F974" s="18"/>
      <c r="G974" s="18"/>
      <c r="H974" s="72"/>
      <c r="I974" s="72"/>
    </row>
    <row r="975">
      <c r="B975" s="18"/>
      <c r="D975" s="18"/>
      <c r="E975" s="18"/>
      <c r="F975" s="18"/>
      <c r="G975" s="18"/>
      <c r="H975" s="72"/>
      <c r="I975" s="72"/>
    </row>
    <row r="976">
      <c r="B976" s="18"/>
      <c r="D976" s="18"/>
      <c r="E976" s="18"/>
      <c r="F976" s="18"/>
      <c r="G976" s="18"/>
      <c r="H976" s="72"/>
      <c r="I976" s="72"/>
    </row>
    <row r="977">
      <c r="B977" s="18"/>
      <c r="D977" s="18"/>
      <c r="E977" s="18"/>
      <c r="F977" s="18"/>
      <c r="G977" s="18"/>
      <c r="H977" s="72"/>
      <c r="I977" s="72"/>
    </row>
    <row r="978">
      <c r="B978" s="18"/>
      <c r="D978" s="18"/>
      <c r="E978" s="18"/>
      <c r="F978" s="18"/>
      <c r="G978" s="18"/>
      <c r="H978" s="72"/>
      <c r="I978" s="72"/>
    </row>
    <row r="979">
      <c r="B979" s="18"/>
      <c r="D979" s="18"/>
      <c r="E979" s="18"/>
      <c r="F979" s="18"/>
      <c r="G979" s="18"/>
      <c r="H979" s="72"/>
      <c r="I979" s="72"/>
    </row>
    <row r="980">
      <c r="B980" s="18"/>
      <c r="D980" s="18"/>
      <c r="E980" s="18"/>
      <c r="F980" s="18"/>
      <c r="G980" s="18"/>
      <c r="H980" s="72"/>
      <c r="I980" s="72"/>
    </row>
    <row r="981">
      <c r="B981" s="18"/>
      <c r="D981" s="18"/>
      <c r="E981" s="18"/>
      <c r="F981" s="18"/>
      <c r="G981" s="18"/>
      <c r="H981" s="72"/>
      <c r="I981" s="72"/>
    </row>
    <row r="982">
      <c r="B982" s="18"/>
      <c r="D982" s="18"/>
      <c r="E982" s="18"/>
      <c r="F982" s="18"/>
      <c r="G982" s="18"/>
      <c r="H982" s="72"/>
      <c r="I982" s="72"/>
    </row>
    <row r="983">
      <c r="B983" s="18"/>
      <c r="D983" s="18"/>
      <c r="E983" s="18"/>
      <c r="F983" s="18"/>
      <c r="G983" s="18"/>
      <c r="H983" s="72"/>
      <c r="I983" s="72"/>
    </row>
    <row r="984">
      <c r="B984" s="18"/>
      <c r="D984" s="18"/>
      <c r="E984" s="18"/>
      <c r="F984" s="18"/>
      <c r="G984" s="18"/>
      <c r="H984" s="72"/>
      <c r="I984" s="72"/>
    </row>
    <row r="985">
      <c r="B985" s="18"/>
      <c r="D985" s="18"/>
      <c r="E985" s="18"/>
      <c r="F985" s="18"/>
      <c r="G985" s="18"/>
      <c r="H985" s="72"/>
      <c r="I985" s="72"/>
    </row>
    <row r="986">
      <c r="B986" s="18"/>
      <c r="D986" s="18"/>
      <c r="E986" s="18"/>
      <c r="F986" s="18"/>
      <c r="G986" s="18"/>
      <c r="H986" s="72"/>
      <c r="I986" s="72"/>
    </row>
    <row r="987">
      <c r="B987" s="18"/>
      <c r="D987" s="18"/>
      <c r="E987" s="18"/>
      <c r="F987" s="18"/>
      <c r="G987" s="18"/>
      <c r="H987" s="72"/>
      <c r="I987" s="72"/>
    </row>
    <row r="988">
      <c r="B988" s="18"/>
      <c r="D988" s="18"/>
      <c r="E988" s="18"/>
      <c r="F988" s="18"/>
      <c r="G988" s="18"/>
      <c r="H988" s="72"/>
      <c r="I988" s="72"/>
    </row>
    <row r="989">
      <c r="B989" s="18"/>
      <c r="D989" s="18"/>
      <c r="E989" s="18"/>
      <c r="F989" s="18"/>
      <c r="G989" s="18"/>
      <c r="H989" s="72"/>
      <c r="I989" s="72"/>
    </row>
    <row r="990">
      <c r="B990" s="18"/>
      <c r="D990" s="18"/>
      <c r="E990" s="18"/>
      <c r="F990" s="18"/>
      <c r="G990" s="18"/>
      <c r="H990" s="72"/>
      <c r="I990" s="72"/>
    </row>
    <row r="991">
      <c r="B991" s="18"/>
      <c r="D991" s="18"/>
      <c r="E991" s="18"/>
      <c r="F991" s="18"/>
      <c r="G991" s="18"/>
      <c r="H991" s="72"/>
      <c r="I991" s="72"/>
    </row>
    <row r="992">
      <c r="B992" s="18"/>
      <c r="D992" s="18"/>
      <c r="E992" s="18"/>
      <c r="F992" s="18"/>
      <c r="G992" s="18"/>
      <c r="H992" s="72"/>
      <c r="I992" s="72"/>
    </row>
    <row r="993">
      <c r="B993" s="18"/>
      <c r="D993" s="18"/>
      <c r="E993" s="18"/>
      <c r="F993" s="18"/>
      <c r="G993" s="18"/>
      <c r="H993" s="72"/>
      <c r="I993" s="72"/>
    </row>
    <row r="994">
      <c r="B994" s="18"/>
      <c r="D994" s="18"/>
      <c r="E994" s="18"/>
      <c r="F994" s="18"/>
      <c r="G994" s="18"/>
      <c r="H994" s="72"/>
      <c r="I994" s="72"/>
    </row>
    <row r="995">
      <c r="B995" s="18"/>
      <c r="D995" s="18"/>
      <c r="E995" s="18"/>
      <c r="F995" s="18"/>
      <c r="G995" s="18"/>
      <c r="H995" s="72"/>
      <c r="I995" s="72"/>
    </row>
    <row r="996">
      <c r="B996" s="18"/>
      <c r="D996" s="18"/>
      <c r="E996" s="18"/>
      <c r="F996" s="18"/>
      <c r="G996" s="18"/>
      <c r="H996" s="72"/>
      <c r="I996" s="72"/>
    </row>
    <row r="997">
      <c r="B997" s="18"/>
      <c r="D997" s="18"/>
      <c r="E997" s="18"/>
      <c r="F997" s="18"/>
      <c r="G997" s="18"/>
      <c r="H997" s="72"/>
      <c r="I997" s="72"/>
    </row>
    <row r="998">
      <c r="B998" s="18"/>
      <c r="D998" s="18"/>
      <c r="E998" s="18"/>
      <c r="F998" s="18"/>
      <c r="G998" s="18"/>
      <c r="H998" s="72"/>
      <c r="I998" s="72"/>
    </row>
    <row r="999">
      <c r="B999" s="18"/>
      <c r="D999" s="18"/>
      <c r="E999" s="18"/>
      <c r="F999" s="18"/>
      <c r="G999" s="18"/>
      <c r="H999" s="72"/>
      <c r="I999" s="72"/>
    </row>
    <row r="1000">
      <c r="B1000" s="18"/>
      <c r="D1000" s="18"/>
      <c r="E1000" s="18"/>
      <c r="F1000" s="18"/>
      <c r="G1000" s="18"/>
      <c r="H1000" s="72"/>
      <c r="I1000" s="72"/>
    </row>
  </sheetData>
  <drawing r:id="rId1"/>
</worksheet>
</file>